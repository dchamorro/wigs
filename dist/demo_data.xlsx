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1. Smart User 500" sheetId="2" state="visible" r:id="rId2"/>
    <sheet name="2. MV Advisory" sheetId="3" state="visible" r:id="rId3"/>
    <sheet name="3. Negocios +30K GP" sheetId="4" state="visible" r:id="rId4"/>
    <sheet name="4. Entregas 100%" sheetId="5" state="visible" r:id="rId5"/>
    <sheet name="5. MV Datacenter" sheetId="6" state="visible" r:id="rId6"/>
    <sheet name="6. Cero Expired" sheetId="7" state="visible" r:id="rId7"/>
    <sheet name="7. MV Digital Sol" sheetId="8" state="visible" r:id="rId8"/>
    <sheet name="8. GP 16%" sheetId="9" state="visible" r:id="rId9"/>
    <sheet name="9. CSAT" sheetId="10" state="visible" r:id="rId10"/>
    <sheet name="10. Apalancamiento" sheetId="11" state="visible" r:id="rId11"/>
    <sheet name="11. Recuperar DS" sheetId="12" state="visible" r:id="rId12"/>
    <sheet name="12. Utilizacion" sheetId="13" state="visible" r:id="rId13"/>
    <sheet name="2027" sheetId="14" state="visible" r:id="rId14"/>
    <sheet name="2028" sheetId="15" state="visible" r:id="rId15"/>
    <sheet name="2029" sheetId="16" state="visible" r:id="rId16"/>
    <sheet name="Instrucciones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0.0%"/>
    <numFmt numFmtId="166" formatCode="mmm\-yy"/>
    <numFmt numFmtId="167" formatCode="0.0"/>
    <numFmt numFmtId="168" formatCode="dd\-mmm\-yy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 wrapText="1"/>
    </xf>
    <xf numFmtId="3" fontId="13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top" wrapText="1"/>
    </xf>
    <xf numFmtId="164" fontId="13" fillId="3" borderId="1" applyAlignment="1" pivotButton="0" quotePrefix="0" xfId="0">
      <alignment horizontal="general" vertical="bottom"/>
    </xf>
    <xf numFmtId="0" fontId="13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general" vertical="bottom"/>
    </xf>
    <xf numFmtId="165" fontId="13" fillId="3" borderId="1" applyAlignment="1" pivotButton="0" quotePrefix="0" xfId="0">
      <alignment horizontal="general" vertical="bottom"/>
    </xf>
    <xf numFmtId="164" fontId="13" fillId="0" borderId="1" applyAlignment="1" pivotButton="0" quotePrefix="0" xfId="0">
      <alignment horizontal="general" vertical="bottom"/>
    </xf>
    <xf numFmtId="3" fontId="13" fillId="3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center" vertical="center"/>
    </xf>
    <xf numFmtId="3" fontId="18" fillId="0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8" fontId="8" fillId="3" borderId="1" applyAlignment="1" pivotButton="0" quotePrefix="0" xfId="0">
      <alignment horizontal="general" vertical="bottom"/>
    </xf>
    <xf numFmtId="3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center" vertical="center"/>
    </xf>
    <xf numFmtId="9" fontId="20" fillId="3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167" fontId="9" fillId="4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bottom"/>
    </xf>
    <xf numFmtId="167" fontId="8" fillId="0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top" wrapText="1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9" fillId="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 wrapText="1"/>
    </xf>
    <xf numFmtId="3" fontId="13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top" wrapText="1"/>
    </xf>
    <xf numFmtId="164" fontId="13" fillId="3" borderId="1" applyAlignment="1" pivotButton="0" quotePrefix="0" xfId="0">
      <alignment horizontal="general" vertical="bottom"/>
    </xf>
    <xf numFmtId="0" fontId="13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general" vertical="bottom"/>
    </xf>
    <xf numFmtId="165" fontId="13" fillId="3" borderId="1" applyAlignment="1" pivotButton="0" quotePrefix="0" xfId="0">
      <alignment horizontal="general" vertical="bottom"/>
    </xf>
    <xf numFmtId="164" fontId="13" fillId="0" borderId="1" applyAlignment="1" pivotButton="0" quotePrefix="0" xfId="0">
      <alignment horizontal="general" vertical="bottom"/>
    </xf>
    <xf numFmtId="3" fontId="13" fillId="3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center" vertical="center"/>
    </xf>
    <xf numFmtId="3" fontId="18" fillId="0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center" vertical="center"/>
    </xf>
    <xf numFmtId="168" fontId="8" fillId="3" borderId="1" applyAlignment="1" pivotButton="0" quotePrefix="0" xfId="0">
      <alignment horizontal="general" vertical="bottom"/>
    </xf>
    <xf numFmtId="3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center" vertical="center"/>
    </xf>
    <xf numFmtId="9" fontId="20" fillId="3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8" fillId="0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167" fontId="9" fillId="4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bottom"/>
    </xf>
    <xf numFmtId="167" fontId="8" fillId="0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top" wrapText="1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9" fillId="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Dashboard!D21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Dashboard!$A$22:$A$33</f>
              <strCache>
                <ptCount val="12"/>
                <pt idx="0">
                  <v>Jan-27</v>
                </pt>
                <pt idx="1">
                  <v>Feb-27</v>
                </pt>
                <pt idx="2">
                  <v>Mar-27</v>
                </pt>
                <pt idx="3">
                  <v>Apr-27</v>
                </pt>
                <pt idx="4">
                  <v>May-27</v>
                </pt>
                <pt idx="5">
                  <v>Jun-27</v>
                </pt>
                <pt idx="6">
                  <v>Jul-27</v>
                </pt>
                <pt idx="7">
                  <v>Aug-27</v>
                </pt>
                <pt idx="8">
                  <v>Sep-27</v>
                </pt>
                <pt idx="9">
                  <v>Oct-27</v>
                </pt>
                <pt idx="10">
                  <v>Nov-27</v>
                </pt>
                <pt idx="11">
                  <v>Dec-27</v>
                </pt>
              </strCache>
            </strRef>
          </cat>
          <val>
            <numRef>
              <f>Dashboard!$D$22:$D$33</f>
              <numCache>
                <formatCode>\$#,##0</formatCode>
                <ptCount val="12"/>
                <pt idx="0">
                  <v>83333.3333333333</v>
                </pt>
                <pt idx="1">
                  <v>166666.666666667</v>
                </pt>
                <pt idx="2">
                  <v>250000</v>
                </pt>
                <pt idx="3">
                  <v>333333.333333333</v>
                </pt>
                <pt idx="4">
                  <v>416666.666666667</v>
                </pt>
                <pt idx="5">
                  <v>500000</v>
                </pt>
                <pt idx="6">
                  <v>583333.333333333</v>
                </pt>
                <pt idx="7">
                  <v>666666.666666667</v>
                </pt>
                <pt idx="8">
                  <v>750000</v>
                </pt>
                <pt idx="9">
                  <v>833333.333333333</v>
                </pt>
                <pt idx="10">
                  <v>916666.666666667</v>
                </pt>
                <pt idx="11">
                  <v>1000000</v>
                </pt>
              </numCache>
            </numRef>
          </val>
          <smooth val="1"/>
        </ser>
        <ser>
          <idx val="1"/>
          <order val="1"/>
          <tx>
            <strRef>
              <f>Dashboard!E21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Dashboard!$A$22:$A$33</f>
              <strCache>
                <ptCount val="12"/>
                <pt idx="0">
                  <v>Jan-27</v>
                </pt>
                <pt idx="1">
                  <v>Feb-27</v>
                </pt>
                <pt idx="2">
                  <v>Mar-27</v>
                </pt>
                <pt idx="3">
                  <v>Apr-27</v>
                </pt>
                <pt idx="4">
                  <v>May-27</v>
                </pt>
                <pt idx="5">
                  <v>Jun-27</v>
                </pt>
                <pt idx="6">
                  <v>Jul-27</v>
                </pt>
                <pt idx="7">
                  <v>Aug-27</v>
                </pt>
                <pt idx="8">
                  <v>Sep-27</v>
                </pt>
                <pt idx="9">
                  <v>Oct-27</v>
                </pt>
                <pt idx="10">
                  <v>Nov-27</v>
                </pt>
                <pt idx="11">
                  <v>Dec-27</v>
                </pt>
              </strCache>
            </strRef>
          </cat>
          <val>
            <numRef>
              <f>Dashboard!$E$22:$E$33</f>
              <numCache>
                <formatCode>\$#,##0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96901920"/>
        <axId val="42734147"/>
      </lineChart>
      <catAx>
        <axId val="96901920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734147"/>
        <crosses val="autoZero"/>
        <auto val="1"/>
        <lblAlgn val="ctr"/>
        <lblOffset val="100"/>
        <noMultiLvlLbl val="0"/>
      </catAx>
      <valAx>
        <axId val="427341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$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90192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'1. Smart User 500'!E10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'1. Smart User 500'!$B$11:$B$39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'1. Smart User 500'!$E$11:$E$39</f>
              <numCache>
                <formatCode>#,##0</formatCode>
                <ptCount val="29"/>
                <pt idx="0">
                  <v>17.2413793103448</v>
                </pt>
                <pt idx="1">
                  <v>34.4827586206897</v>
                </pt>
                <pt idx="2">
                  <v>51.7241379310345</v>
                </pt>
                <pt idx="3">
                  <v>68.9655172413793</v>
                </pt>
                <pt idx="4">
                  <v>86.2068965517241</v>
                </pt>
                <pt idx="5">
                  <v>103.448275862069</v>
                </pt>
                <pt idx="6">
                  <v>120.689655172414</v>
                </pt>
                <pt idx="7">
                  <v>137.931034482759</v>
                </pt>
                <pt idx="8">
                  <v>155.172413793103</v>
                </pt>
                <pt idx="9">
                  <v>172.413793103448</v>
                </pt>
                <pt idx="10">
                  <v>189.655172413793</v>
                </pt>
                <pt idx="11">
                  <v>206.896551724138</v>
                </pt>
                <pt idx="12">
                  <v>224.137931034483</v>
                </pt>
                <pt idx="13">
                  <v>241.379310344828</v>
                </pt>
                <pt idx="14">
                  <v>258.620689655172</v>
                </pt>
                <pt idx="15">
                  <v>275.862068965517</v>
                </pt>
                <pt idx="16">
                  <v>293.103448275862</v>
                </pt>
                <pt idx="17">
                  <v>310.344827586207</v>
                </pt>
                <pt idx="18">
                  <v>327.586206896552</v>
                </pt>
                <pt idx="19">
                  <v>344.827586206897</v>
                </pt>
                <pt idx="20">
                  <v>362.068965517241</v>
                </pt>
                <pt idx="21">
                  <v>379.310344827586</v>
                </pt>
                <pt idx="22">
                  <v>396.551724137931</v>
                </pt>
                <pt idx="23">
                  <v>413.793103448276</v>
                </pt>
                <pt idx="24">
                  <v>431.034482758621</v>
                </pt>
                <pt idx="25">
                  <v>448.275862068966</v>
                </pt>
                <pt idx="26">
                  <v>465.51724137931</v>
                </pt>
                <pt idx="27">
                  <v>482.758620689655</v>
                </pt>
                <pt idx="28">
                  <v>500</v>
                </pt>
              </numCache>
            </numRef>
          </val>
          <smooth val="1"/>
        </ser>
        <ser>
          <idx val="1"/>
          <order val="1"/>
          <tx>
            <strRef>
              <f>'1. Smart User 500'!F10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'1. Smart User 500'!$B$11:$B$39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'1. Smart User 500'!$F$11:$F$39</f>
              <numCache>
                <formatCode>#,##0</formatCode>
                <ptCount val="2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10709604"/>
        <axId val="65566530"/>
      </lineChart>
      <catAx>
        <axId val="10709604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566530"/>
        <crosses val="autoZero"/>
        <auto val="1"/>
        <lblAlgn val="ctr"/>
        <lblOffset val="100"/>
        <noMultiLvlLbl val="0"/>
      </catAx>
      <valAx>
        <axId val="655665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70960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'2. MV Advisory'!E10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'2. MV Advisory'!$B$11:$B$52</f>
              <strCache>
                <ptCount val="42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</strCache>
            </strRef>
          </cat>
          <val>
            <numRef>
              <f>'2. MV Advisory'!$E$11:$E$52</f>
              <numCache>
                <formatCode>\$#,##0</formatCode>
                <ptCount val="42"/>
                <pt idx="0">
                  <v>238.095238095238</v>
                </pt>
                <pt idx="1">
                  <v>476.190476190476</v>
                </pt>
                <pt idx="2">
                  <v>714.285714285714</v>
                </pt>
                <pt idx="3">
                  <v>952.380952380952</v>
                </pt>
                <pt idx="4">
                  <v>1190.47619047619</v>
                </pt>
                <pt idx="5">
                  <v>1428.57142857143</v>
                </pt>
                <pt idx="6">
                  <v>1666.66666666667</v>
                </pt>
                <pt idx="7">
                  <v>1904.7619047619</v>
                </pt>
                <pt idx="8">
                  <v>2142.85714285714</v>
                </pt>
                <pt idx="9">
                  <v>2380.95238095238</v>
                </pt>
                <pt idx="10">
                  <v>2619.04761904762</v>
                </pt>
                <pt idx="11">
                  <v>2857.14285714286</v>
                </pt>
                <pt idx="12">
                  <v>3095.2380952381</v>
                </pt>
                <pt idx="13">
                  <v>3333.33333333333</v>
                </pt>
                <pt idx="14">
                  <v>3571.42857142857</v>
                </pt>
                <pt idx="15">
                  <v>3809.52380952381</v>
                </pt>
                <pt idx="16">
                  <v>4047.61904761905</v>
                </pt>
                <pt idx="17">
                  <v>4285.71428571429</v>
                </pt>
                <pt idx="18">
                  <v>4523.80952380952</v>
                </pt>
                <pt idx="19">
                  <v>4761.90476190476</v>
                </pt>
                <pt idx="20">
                  <v>5000</v>
                </pt>
                <pt idx="21">
                  <v>5238.09523809524</v>
                </pt>
                <pt idx="22">
                  <v>5476.19047619048</v>
                </pt>
                <pt idx="23">
                  <v>5714.28571428572</v>
                </pt>
                <pt idx="24">
                  <v>5952.38095238095</v>
                </pt>
                <pt idx="25">
                  <v>6190.47619047619</v>
                </pt>
                <pt idx="26">
                  <v>6428.57142857143</v>
                </pt>
                <pt idx="27">
                  <v>6666.66666666667</v>
                </pt>
                <pt idx="28">
                  <v>6904.76190476191</v>
                </pt>
                <pt idx="29">
                  <v>7142.85714285714</v>
                </pt>
                <pt idx="30">
                  <v>7380.95238095238</v>
                </pt>
                <pt idx="31">
                  <v>7619.04761904762</v>
                </pt>
                <pt idx="32">
                  <v>7857.14285714286</v>
                </pt>
                <pt idx="33">
                  <v>8095.2380952381</v>
                </pt>
                <pt idx="34">
                  <v>8333.33333333333</v>
                </pt>
                <pt idx="35">
                  <v>8571.428571428571</v>
                </pt>
                <pt idx="36">
                  <v>8809.523809523809</v>
                </pt>
                <pt idx="37">
                  <v>9047.61904761905</v>
                </pt>
                <pt idx="38">
                  <v>9285.71428571429</v>
                </pt>
                <pt idx="39">
                  <v>9523.80952380953</v>
                </pt>
                <pt idx="40">
                  <v>9761.90476190476</v>
                </pt>
                <pt idx="41">
                  <v>10000</v>
                </pt>
              </numCache>
            </numRef>
          </val>
          <smooth val="1"/>
        </ser>
        <ser>
          <idx val="1"/>
          <order val="1"/>
          <tx>
            <strRef>
              <f>'2. MV Advisory'!F10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'2. MV Advisory'!$B$11:$B$52</f>
              <strCache>
                <ptCount val="42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</strCache>
            </strRef>
          </cat>
          <val>
            <numRef>
              <f>'2. MV Advisory'!$F$11:$F$52</f>
              <numCache>
                <formatCode>\$#,##0</formatCode>
                <ptCount val="4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48883252"/>
        <axId val="3004145"/>
      </lineChart>
      <catAx>
        <axId val="48883252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4145"/>
        <crosses val="autoZero"/>
        <auto val="1"/>
        <lblAlgn val="ctr"/>
        <lblOffset val="100"/>
        <noMultiLvlLbl val="0"/>
      </catAx>
      <valAx>
        <axId val="300414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$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888325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'3. Negocios +30K GP'!E10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'3. Negocios +30K GP'!$B$11:$B$91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'3. Negocios +30K GP'!$E$11:$E$91</f>
              <numCache>
                <formatCode>#,##0</formatCode>
                <ptCount val="81"/>
                <pt idx="0">
                  <v>0.123456790123457</v>
                </pt>
                <pt idx="1">
                  <v>0.246913580246914</v>
                </pt>
                <pt idx="2">
                  <v>0.37037037037037</v>
                </pt>
                <pt idx="3">
                  <v>0.493827160493827</v>
                </pt>
                <pt idx="4">
                  <v>0.617283950617284</v>
                </pt>
                <pt idx="5">
                  <v>0.740740740740741</v>
                </pt>
                <pt idx="6">
                  <v>0.864197530864198</v>
                </pt>
                <pt idx="7">
                  <v>0.987654320987654</v>
                </pt>
                <pt idx="8">
                  <v>1.11111111111111</v>
                </pt>
                <pt idx="9">
                  <v>1.23456790123457</v>
                </pt>
                <pt idx="10">
                  <v>1.35802469135802</v>
                </pt>
                <pt idx="11">
                  <v>1.48148148148148</v>
                </pt>
                <pt idx="12">
                  <v>1.60493827160494</v>
                </pt>
                <pt idx="13">
                  <v>1.7283950617284</v>
                </pt>
                <pt idx="14">
                  <v>1.85185185185185</v>
                </pt>
                <pt idx="15">
                  <v>1.97530864197531</v>
                </pt>
                <pt idx="16">
                  <v>2.09876543209877</v>
                </pt>
                <pt idx="17">
                  <v>2.22222222222222</v>
                </pt>
                <pt idx="18">
                  <v>2.34567901234568</v>
                </pt>
                <pt idx="19">
                  <v>2.46913580246914</v>
                </pt>
                <pt idx="20">
                  <v>2.59259259259259</v>
                </pt>
                <pt idx="21">
                  <v>2.71604938271605</v>
                </pt>
                <pt idx="22">
                  <v>2.83950617283951</v>
                </pt>
                <pt idx="23">
                  <v>2.96296296296296</v>
                </pt>
                <pt idx="24">
                  <v>3.08641975308642</v>
                </pt>
                <pt idx="25">
                  <v>3.20987654320988</v>
                </pt>
                <pt idx="26">
                  <v>3.33333333333333</v>
                </pt>
                <pt idx="27">
                  <v>3.45679012345679</v>
                </pt>
                <pt idx="28">
                  <v>3.58024691358025</v>
                </pt>
                <pt idx="29">
                  <v>3.7037037037037</v>
                </pt>
                <pt idx="30">
                  <v>3.82716049382716</v>
                </pt>
                <pt idx="31">
                  <v>3.95061728395062</v>
                </pt>
                <pt idx="32">
                  <v>4.07407407407407</v>
                </pt>
                <pt idx="33">
                  <v>4.19753086419753</v>
                </pt>
                <pt idx="34">
                  <v>4.32098765432099</v>
                </pt>
                <pt idx="35">
                  <v>4.44444444444445</v>
                </pt>
                <pt idx="36">
                  <v>4.5679012345679</v>
                </pt>
                <pt idx="37">
                  <v>4.69135802469136</v>
                </pt>
                <pt idx="38">
                  <v>4.81481481481482</v>
                </pt>
                <pt idx="39">
                  <v>4.93827160493827</v>
                </pt>
                <pt idx="40">
                  <v>5.06172839506173</v>
                </pt>
                <pt idx="41">
                  <v>5.18518518518519</v>
                </pt>
                <pt idx="42">
                  <v>5.30864197530864</v>
                </pt>
                <pt idx="43">
                  <v>5.4320987654321</v>
                </pt>
                <pt idx="44">
                  <v>5.55555555555556</v>
                </pt>
                <pt idx="45">
                  <v>5.67901234567901</v>
                </pt>
                <pt idx="46">
                  <v>5.80246913580247</v>
                </pt>
                <pt idx="47">
                  <v>5.92592592592593</v>
                </pt>
                <pt idx="48">
                  <v>6.04938271604938</v>
                </pt>
                <pt idx="49">
                  <v>6.17283950617284</v>
                </pt>
                <pt idx="50">
                  <v>6.2962962962963</v>
                </pt>
                <pt idx="51">
                  <v>6.41975308641975</v>
                </pt>
                <pt idx="52">
                  <v>6.54320987654321</v>
                </pt>
                <pt idx="53">
                  <v>6.66666666666667</v>
                </pt>
                <pt idx="54">
                  <v>6.79012345679012</v>
                </pt>
                <pt idx="55">
                  <v>6.91358024691358</v>
                </pt>
                <pt idx="56">
                  <v>7.03703703703704</v>
                </pt>
                <pt idx="57">
                  <v>7.16049382716049</v>
                </pt>
                <pt idx="58">
                  <v>7.28395061728395</v>
                </pt>
                <pt idx="59">
                  <v>7.40740740740741</v>
                </pt>
                <pt idx="60">
                  <v>7.53086419753086</v>
                </pt>
                <pt idx="61">
                  <v>7.65432098765432</v>
                </pt>
                <pt idx="62">
                  <v>7.77777777777778</v>
                </pt>
                <pt idx="63">
                  <v>7.90123456790123</v>
                </pt>
                <pt idx="64">
                  <v>8.02469135802469</v>
                </pt>
                <pt idx="65">
                  <v>8.148148148148151</v>
                </pt>
                <pt idx="66">
                  <v>8.271604938271601</v>
                </pt>
                <pt idx="67">
                  <v>8.39506172839506</v>
                </pt>
                <pt idx="68">
                  <v>8.518518518518521</v>
                </pt>
                <pt idx="69">
                  <v>8.64197530864198</v>
                </pt>
                <pt idx="70">
                  <v>8.76543209876543</v>
                </pt>
                <pt idx="71">
                  <v>8.888888888888889</v>
                </pt>
                <pt idx="72">
                  <v>9.01234567901235</v>
                </pt>
                <pt idx="73">
                  <v>9.1358024691358</v>
                </pt>
                <pt idx="74">
                  <v>9.25925925925926</v>
                </pt>
                <pt idx="75">
                  <v>9.38271604938272</v>
                </pt>
                <pt idx="76">
                  <v>9.506172839506171</v>
                </pt>
                <pt idx="77">
                  <v>9.62962962962963</v>
                </pt>
                <pt idx="78">
                  <v>9.753086419753091</v>
                </pt>
                <pt idx="79">
                  <v>9.876543209876541</v>
                </pt>
                <pt idx="80">
                  <v>10</v>
                </pt>
              </numCache>
            </numRef>
          </val>
          <smooth val="1"/>
        </ser>
        <ser>
          <idx val="1"/>
          <order val="1"/>
          <tx>
            <strRef>
              <f>'3. Negocios +30K GP'!F10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'3. Negocios +30K GP'!$B$11:$B$91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'3. Negocios +30K GP'!$F$11:$F$91</f>
              <numCache>
                <formatCode>#,##0</formatCode>
                <ptCount val="8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14571691"/>
        <axId val="11913909"/>
      </lineChart>
      <catAx>
        <axId val="14571691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1913909"/>
        <crosses val="autoZero"/>
        <auto val="1"/>
        <lblAlgn val="ctr"/>
        <lblOffset val="100"/>
        <noMultiLvlLbl val="0"/>
      </catAx>
      <valAx>
        <axId val="1191390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57169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'4. Entregas 100%'!C10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'4. Entregas 100%'!$B$11:$B$91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'4. Entregas 100%'!$C$11:$C$91</f>
              <numCache>
                <formatCode>0.0%</formatCode>
                <ptCount val="8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</numCache>
            </numRef>
          </val>
          <smooth val="1"/>
        </ser>
        <ser>
          <idx val="1"/>
          <order val="1"/>
          <tx>
            <strRef>
              <f>'4. Entregas 100%'!D10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'4. Entregas 100%'!$B$11:$B$91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'4. Entregas 100%'!$D$11:$D$91</f>
              <numCache>
                <formatCode>General</formatCode>
                <ptCount val="81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79581754"/>
        <axId val="51134895"/>
      </lineChart>
      <catAx>
        <axId val="79581754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134895"/>
        <crosses val="autoZero"/>
        <auto val="1"/>
        <lblAlgn val="ctr"/>
        <lblOffset val="100"/>
        <noMultiLvlLbl val="0"/>
      </catAx>
      <valAx>
        <axId val="511348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958175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'5. MV Datacenter'!E10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'5. MV Datacenter'!$B$11:$B$91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'5. MV Datacenter'!$E$11:$E$91</f>
              <numCache>
                <formatCode>\$#,##0</formatCode>
                <ptCount val="81"/>
                <pt idx="0">
                  <v>246.913580246914</v>
                </pt>
                <pt idx="1">
                  <v>493.827160493827</v>
                </pt>
                <pt idx="2">
                  <v>740.740740740741</v>
                </pt>
                <pt idx="3">
                  <v>987.654320987654</v>
                </pt>
                <pt idx="4">
                  <v>1234.56790123457</v>
                </pt>
                <pt idx="5">
                  <v>1481.48148148148</v>
                </pt>
                <pt idx="6">
                  <v>1728.3950617284</v>
                </pt>
                <pt idx="7">
                  <v>1975.30864197531</v>
                </pt>
                <pt idx="8">
                  <v>2222.22222222222</v>
                </pt>
                <pt idx="9">
                  <v>2469.13580246914</v>
                </pt>
                <pt idx="10">
                  <v>2716.04938271605</v>
                </pt>
                <pt idx="11">
                  <v>2962.96296296296</v>
                </pt>
                <pt idx="12">
                  <v>3209.87654320988</v>
                </pt>
                <pt idx="13">
                  <v>3456.79012345679</v>
                </pt>
                <pt idx="14">
                  <v>3703.7037037037</v>
                </pt>
                <pt idx="15">
                  <v>3950.61728395062</v>
                </pt>
                <pt idx="16">
                  <v>4197.53086419753</v>
                </pt>
                <pt idx="17">
                  <v>4444.44444444444</v>
                </pt>
                <pt idx="18">
                  <v>4691.35802469136</v>
                </pt>
                <pt idx="19">
                  <v>4938.27160493827</v>
                </pt>
                <pt idx="20">
                  <v>5185.18518518519</v>
                </pt>
                <pt idx="21">
                  <v>5432.0987654321</v>
                </pt>
                <pt idx="22">
                  <v>5679.01234567901</v>
                </pt>
                <pt idx="23">
                  <v>5925.92592592593</v>
                </pt>
                <pt idx="24">
                  <v>6172.83950617284</v>
                </pt>
                <pt idx="25">
                  <v>6419.75308641975</v>
                </pt>
                <pt idx="26">
                  <v>6666.66666666667</v>
                </pt>
                <pt idx="27">
                  <v>6913.58024691358</v>
                </pt>
                <pt idx="28">
                  <v>7160.49382716049</v>
                </pt>
                <pt idx="29">
                  <v>7407.40740740741</v>
                </pt>
                <pt idx="30">
                  <v>7654.32098765432</v>
                </pt>
                <pt idx="31">
                  <v>7901.23456790123</v>
                </pt>
                <pt idx="32">
                  <v>8148.14814814815</v>
                </pt>
                <pt idx="33">
                  <v>8395.06172839506</v>
                </pt>
                <pt idx="34">
                  <v>8641.975308641981</v>
                </pt>
                <pt idx="35">
                  <v>8888.888888888891</v>
                </pt>
                <pt idx="36">
                  <v>9135.8024691358</v>
                </pt>
                <pt idx="37">
                  <v>9382.71604938272</v>
                </pt>
                <pt idx="38">
                  <v>9629.62962962963</v>
                </pt>
                <pt idx="39">
                  <v>9876.54320987654</v>
                </pt>
                <pt idx="40">
                  <v>10123.4567901235</v>
                </pt>
                <pt idx="41">
                  <v>10370.3703703704</v>
                </pt>
                <pt idx="42">
                  <v>10617.2839506173</v>
                </pt>
                <pt idx="43">
                  <v>10864.1975308642</v>
                </pt>
                <pt idx="44">
                  <v>11111.1111111111</v>
                </pt>
                <pt idx="45">
                  <v>11358.024691358</v>
                </pt>
                <pt idx="46">
                  <v>11604.9382716049</v>
                </pt>
                <pt idx="47">
                  <v>11851.8518518519</v>
                </pt>
                <pt idx="48">
                  <v>12098.7654320988</v>
                </pt>
                <pt idx="49">
                  <v>12345.6790123457</v>
                </pt>
                <pt idx="50">
                  <v>12592.5925925926</v>
                </pt>
                <pt idx="51">
                  <v>12839.5061728395</v>
                </pt>
                <pt idx="52">
                  <v>13086.4197530864</v>
                </pt>
                <pt idx="53">
                  <v>13333.3333333333</v>
                </pt>
                <pt idx="54">
                  <v>13580.2469135802</v>
                </pt>
                <pt idx="55">
                  <v>13827.1604938272</v>
                </pt>
                <pt idx="56">
                  <v>14074.0740740741</v>
                </pt>
                <pt idx="57">
                  <v>14320.987654321</v>
                </pt>
                <pt idx="58">
                  <v>14567.9012345679</v>
                </pt>
                <pt idx="59">
                  <v>14814.8148148148</v>
                </pt>
                <pt idx="60">
                  <v>15061.7283950617</v>
                </pt>
                <pt idx="61">
                  <v>15308.6419753086</v>
                </pt>
                <pt idx="62">
                  <v>15555.5555555556</v>
                </pt>
                <pt idx="63">
                  <v>15802.4691358025</v>
                </pt>
                <pt idx="64">
                  <v>16049.3827160494</v>
                </pt>
                <pt idx="65">
                  <v>16296.2962962963</v>
                </pt>
                <pt idx="66">
                  <v>16543.2098765432</v>
                </pt>
                <pt idx="67">
                  <v>16790.1234567901</v>
                </pt>
                <pt idx="68">
                  <v>17037.037037037</v>
                </pt>
                <pt idx="69">
                  <v>17283.950617284</v>
                </pt>
                <pt idx="70">
                  <v>17530.8641975309</v>
                </pt>
                <pt idx="71">
                  <v>17777.7777777778</v>
                </pt>
                <pt idx="72">
                  <v>18024.6913580247</v>
                </pt>
                <pt idx="73">
                  <v>18271.6049382716</v>
                </pt>
                <pt idx="74">
                  <v>18518.5185185185</v>
                </pt>
                <pt idx="75">
                  <v>18765.4320987654</v>
                </pt>
                <pt idx="76">
                  <v>19012.3456790123</v>
                </pt>
                <pt idx="77">
                  <v>19259.2592592593</v>
                </pt>
                <pt idx="78">
                  <v>19506.1728395062</v>
                </pt>
                <pt idx="79">
                  <v>19753.0864197531</v>
                </pt>
                <pt idx="80">
                  <v>20000</v>
                </pt>
              </numCache>
            </numRef>
          </val>
          <smooth val="1"/>
        </ser>
        <ser>
          <idx val="1"/>
          <order val="1"/>
          <tx>
            <strRef>
              <f>'5. MV Datacenter'!F10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'5. MV Datacenter'!$B$11:$B$91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'5. MV Datacenter'!$F$11:$F$91</f>
              <numCache>
                <formatCode>\$#,##0</formatCode>
                <ptCount val="8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69436279"/>
        <axId val="85933130"/>
      </lineChart>
      <catAx>
        <axId val="69436279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5933130"/>
        <crosses val="autoZero"/>
        <auto val="1"/>
        <lblAlgn val="ctr"/>
        <lblOffset val="100"/>
        <noMultiLvlLbl val="0"/>
      </catAx>
      <valAx>
        <axId val="859331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$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943627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'6. Cero Expired'!C10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'6. Cero Expired'!$B$11:$B$91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'6. Cero Expired'!$C$11:$C$91</f>
              <numCache>
                <formatCode>#,##0</formatCode>
                <ptCount val="8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</numCache>
            </numRef>
          </val>
          <smooth val="1"/>
        </ser>
        <ser>
          <idx val="1"/>
          <order val="1"/>
          <tx>
            <strRef>
              <f>'6. Cero Expired'!D10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'6. Cero Expired'!$B$11:$B$91</f>
              <strCache>
                <ptCount val="81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  <pt idx="46">
                  <v>03-May-27</v>
                </pt>
                <pt idx="47">
                  <v>10-May-27</v>
                </pt>
                <pt idx="48">
                  <v>17-May-27</v>
                </pt>
                <pt idx="49">
                  <v>24-May-27</v>
                </pt>
                <pt idx="50">
                  <v>31-May-27</v>
                </pt>
                <pt idx="51">
                  <v>07-Jun-27</v>
                </pt>
                <pt idx="52">
                  <v>14-Jun-27</v>
                </pt>
                <pt idx="53">
                  <v>21-Jun-27</v>
                </pt>
                <pt idx="54">
                  <v>28-Jun-27</v>
                </pt>
                <pt idx="55">
                  <v>05-Jul-27</v>
                </pt>
                <pt idx="56">
                  <v>12-Jul-27</v>
                </pt>
                <pt idx="57">
                  <v>19-Jul-27</v>
                </pt>
                <pt idx="58">
                  <v>26-Jul-27</v>
                </pt>
                <pt idx="59">
                  <v>02-Aug-27</v>
                </pt>
                <pt idx="60">
                  <v>09-Aug-27</v>
                </pt>
                <pt idx="61">
                  <v>16-Aug-27</v>
                </pt>
                <pt idx="62">
                  <v>23-Aug-27</v>
                </pt>
                <pt idx="63">
                  <v>30-Aug-27</v>
                </pt>
                <pt idx="64">
                  <v>06-Sep-27</v>
                </pt>
                <pt idx="65">
                  <v>13-Sep-27</v>
                </pt>
                <pt idx="66">
                  <v>20-Sep-27</v>
                </pt>
                <pt idx="67">
                  <v>27-Sep-27</v>
                </pt>
                <pt idx="68">
                  <v>04-Oct-27</v>
                </pt>
                <pt idx="69">
                  <v>11-Oct-27</v>
                </pt>
                <pt idx="70">
                  <v>18-Oct-27</v>
                </pt>
                <pt idx="71">
                  <v>25-Oct-27</v>
                </pt>
                <pt idx="72">
                  <v>01-Nov-27</v>
                </pt>
                <pt idx="73">
                  <v>08-Nov-27</v>
                </pt>
                <pt idx="74">
                  <v>15-Nov-27</v>
                </pt>
                <pt idx="75">
                  <v>22-Nov-27</v>
                </pt>
                <pt idx="76">
                  <v>29-Nov-27</v>
                </pt>
                <pt idx="77">
                  <v>06-Dec-27</v>
                </pt>
                <pt idx="78">
                  <v>13-Dec-27</v>
                </pt>
                <pt idx="79">
                  <v>20-Dec-27</v>
                </pt>
                <pt idx="80">
                  <v>27-Dec-27</v>
                </pt>
              </strCache>
            </strRef>
          </cat>
          <val>
            <numRef>
              <f>'6. Cero Expired'!$D$11:$D$91</f>
              <numCache>
                <formatCode>General</formatCode>
                <ptCount val="81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40618697"/>
        <axId val="65861906"/>
      </lineChart>
      <catAx>
        <axId val="40618697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861906"/>
        <crosses val="autoZero"/>
        <auto val="1"/>
        <lblAlgn val="ctr"/>
        <lblOffset val="100"/>
        <noMultiLvlLbl val="0"/>
      </catAx>
      <valAx>
        <axId val="658619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061869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'7. MV Digital Sol'!E10</f>
              <strCache>
                <ptCount val="1"/>
                <pt idx="0">
                  <v>Meta acum.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'7. MV Digital Sol'!$B$11:$B$56</f>
              <strCache>
                <ptCount val="46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</strCache>
            </strRef>
          </cat>
          <val>
            <numRef>
              <f>'7. MV Digital Sol'!$E$11:$E$56</f>
              <numCache>
                <formatCode>\$#,##0</formatCode>
                <ptCount val="46"/>
                <pt idx="0">
                  <v>652.173913043478</v>
                </pt>
                <pt idx="1">
                  <v>1304.34782608696</v>
                </pt>
                <pt idx="2">
                  <v>1956.52173913043</v>
                </pt>
                <pt idx="3">
                  <v>2608.69565217391</v>
                </pt>
                <pt idx="4">
                  <v>3260.86956521739</v>
                </pt>
                <pt idx="5">
                  <v>3913.04347826087</v>
                </pt>
                <pt idx="6">
                  <v>4565.21739130435</v>
                </pt>
                <pt idx="7">
                  <v>5217.39130434783</v>
                </pt>
                <pt idx="8">
                  <v>5869.5652173913</v>
                </pt>
                <pt idx="9">
                  <v>6521.73913043478</v>
                </pt>
                <pt idx="10">
                  <v>7173.91304347826</v>
                </pt>
                <pt idx="11">
                  <v>7826.08695652174</v>
                </pt>
                <pt idx="12">
                  <v>8478.26086956522</v>
                </pt>
                <pt idx="13">
                  <v>9130.4347826087</v>
                </pt>
                <pt idx="14">
                  <v>9782.60869565217</v>
                </pt>
                <pt idx="15">
                  <v>10434.7826086957</v>
                </pt>
                <pt idx="16">
                  <v>11086.9565217391</v>
                </pt>
                <pt idx="17">
                  <v>11739.1304347826</v>
                </pt>
                <pt idx="18">
                  <v>12391.3043478261</v>
                </pt>
                <pt idx="19">
                  <v>13043.4782608696</v>
                </pt>
                <pt idx="20">
                  <v>13695.652173913</v>
                </pt>
                <pt idx="21">
                  <v>14347.8260869565</v>
                </pt>
                <pt idx="22">
                  <v>15000</v>
                </pt>
                <pt idx="23">
                  <v>15652.1739130435</v>
                </pt>
                <pt idx="24">
                  <v>16304.347826087</v>
                </pt>
                <pt idx="25">
                  <v>16956.5217391304</v>
                </pt>
                <pt idx="26">
                  <v>17608.6956521739</v>
                </pt>
                <pt idx="27">
                  <v>18260.8695652174</v>
                </pt>
                <pt idx="28">
                  <v>18913.0434782609</v>
                </pt>
                <pt idx="29">
                  <v>19565.2173913043</v>
                </pt>
                <pt idx="30">
                  <v>20217.3913043478</v>
                </pt>
                <pt idx="31">
                  <v>20869.5652173913</v>
                </pt>
                <pt idx="32">
                  <v>21521.7391304348</v>
                </pt>
                <pt idx="33">
                  <v>22173.9130434783</v>
                </pt>
                <pt idx="34">
                  <v>22826.0869565217</v>
                </pt>
                <pt idx="35">
                  <v>23478.2608695652</v>
                </pt>
                <pt idx="36">
                  <v>24130.4347826087</v>
                </pt>
                <pt idx="37">
                  <v>24782.6086956522</v>
                </pt>
                <pt idx="38">
                  <v>25434.7826086957</v>
                </pt>
                <pt idx="39">
                  <v>26086.9565217391</v>
                </pt>
                <pt idx="40">
                  <v>26739.1304347826</v>
                </pt>
                <pt idx="41">
                  <v>27391.3043478261</v>
                </pt>
                <pt idx="42">
                  <v>28043.4782608696</v>
                </pt>
                <pt idx="43">
                  <v>28695.652173913</v>
                </pt>
                <pt idx="44">
                  <v>29347.8260869565</v>
                </pt>
                <pt idx="45">
                  <v>30000</v>
                </pt>
              </numCache>
            </numRef>
          </val>
          <smooth val="1"/>
        </ser>
        <ser>
          <idx val="1"/>
          <order val="1"/>
          <tx>
            <strRef>
              <f>'7. MV Digital Sol'!F10</f>
              <strCache>
                <ptCount val="1"/>
                <pt idx="0">
                  <v>Real acum.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'7. MV Digital Sol'!$B$11:$B$56</f>
              <strCache>
                <ptCount val="46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  <pt idx="29">
                  <v>04-Jan-27</v>
                </pt>
                <pt idx="30">
                  <v>11-Jan-27</v>
                </pt>
                <pt idx="31">
                  <v>18-Jan-27</v>
                </pt>
                <pt idx="32">
                  <v>25-Jan-27</v>
                </pt>
                <pt idx="33">
                  <v>01-Feb-27</v>
                </pt>
                <pt idx="34">
                  <v>08-Feb-27</v>
                </pt>
                <pt idx="35">
                  <v>15-Feb-27</v>
                </pt>
                <pt idx="36">
                  <v>22-Feb-27</v>
                </pt>
                <pt idx="37">
                  <v>01-Mar-27</v>
                </pt>
                <pt idx="38">
                  <v>08-Mar-27</v>
                </pt>
                <pt idx="39">
                  <v>15-Mar-27</v>
                </pt>
                <pt idx="40">
                  <v>22-Mar-27</v>
                </pt>
                <pt idx="41">
                  <v>29-Mar-27</v>
                </pt>
                <pt idx="42">
                  <v>05-Apr-27</v>
                </pt>
                <pt idx="43">
                  <v>12-Apr-27</v>
                </pt>
                <pt idx="44">
                  <v>19-Apr-27</v>
                </pt>
                <pt idx="45">
                  <v>26-Apr-27</v>
                </pt>
              </strCache>
            </strRef>
          </cat>
          <val>
            <numRef>
              <f>'7. MV Digital Sol'!$F$11:$F$56</f>
              <numCache>
                <formatCode>\$#,##0</formatCode>
                <ptCount val="4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92658915"/>
        <axId val="75012643"/>
      </lineChart>
      <catAx>
        <axId val="92658915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5012643"/>
        <crosses val="autoZero"/>
        <auto val="1"/>
        <lblAlgn val="ctr"/>
        <lblOffset val="100"/>
        <noMultiLvlLbl val="0"/>
      </catAx>
      <valAx>
        <axId val="7501264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$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265891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'8. GP 16%'!C10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'8. GP 16%'!$B$11:$B$28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'8. GP 16%'!$C$11:$C$28</f>
              <numCache>
                <formatCode>0.0%</formatCode>
                <ptCount val="18"/>
                <pt idx="0">
                  <v>0.16</v>
                </pt>
                <pt idx="1">
                  <v>0.16</v>
                </pt>
                <pt idx="2">
                  <v>0.16</v>
                </pt>
                <pt idx="3">
                  <v>0.16</v>
                </pt>
                <pt idx="4">
                  <v>0.16</v>
                </pt>
                <pt idx="5">
                  <v>0.16</v>
                </pt>
                <pt idx="6">
                  <v>0.16</v>
                </pt>
                <pt idx="7">
                  <v>0.16</v>
                </pt>
                <pt idx="8">
                  <v>0.16</v>
                </pt>
                <pt idx="9">
                  <v>0.16</v>
                </pt>
                <pt idx="10">
                  <v>0.16</v>
                </pt>
                <pt idx="11">
                  <v>0.16</v>
                </pt>
                <pt idx="12">
                  <v>0.16</v>
                </pt>
                <pt idx="13">
                  <v>0.16</v>
                </pt>
                <pt idx="14">
                  <v>0.16</v>
                </pt>
                <pt idx="15">
                  <v>0.16</v>
                </pt>
                <pt idx="16">
                  <v>0.16</v>
                </pt>
                <pt idx="17">
                  <v>0.16</v>
                </pt>
              </numCache>
            </numRef>
          </val>
          <smooth val="1"/>
        </ser>
        <ser>
          <idx val="1"/>
          <order val="1"/>
          <tx>
            <strRef>
              <f>'8. GP 16%'!D10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'8. GP 16%'!$B$11:$B$28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'8. GP 16%'!$D$11:$D$28</f>
              <numCache>
                <formatCode>General</formatCode>
                <ptCount val="18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27877360"/>
        <axId val="46938438"/>
      </lineChart>
      <catAx>
        <axId val="27877360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938438"/>
        <crosses val="autoZero"/>
        <auto val="1"/>
        <lblAlgn val="ctr"/>
        <lblOffset val="100"/>
        <noMultiLvlLbl val="0"/>
      </catAx>
      <valAx>
        <axId val="469384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87736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'9. CSAT'!C10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'9. CSAT'!$B$11:$B$28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'9. CSAT'!$C$11:$C$28</f>
              <numCache>
                <formatCode>0.0</formatCode>
                <ptCount val="18"/>
                <pt idx="0">
                  <v>4.5</v>
                </pt>
                <pt idx="1">
                  <v>4.5</v>
                </pt>
                <pt idx="2">
                  <v>4.5</v>
                </pt>
                <pt idx="3">
                  <v>4.5</v>
                </pt>
                <pt idx="4">
                  <v>4.5</v>
                </pt>
                <pt idx="5">
                  <v>4.5</v>
                </pt>
                <pt idx="6">
                  <v>4.5</v>
                </pt>
                <pt idx="7">
                  <v>4.5</v>
                </pt>
                <pt idx="8">
                  <v>4.5</v>
                </pt>
                <pt idx="9">
                  <v>4.5</v>
                </pt>
                <pt idx="10">
                  <v>4.5</v>
                </pt>
                <pt idx="11">
                  <v>4.5</v>
                </pt>
                <pt idx="12">
                  <v>4.5</v>
                </pt>
                <pt idx="13">
                  <v>4.5</v>
                </pt>
                <pt idx="14">
                  <v>4.5</v>
                </pt>
                <pt idx="15">
                  <v>4.5</v>
                </pt>
                <pt idx="16">
                  <v>4.5</v>
                </pt>
                <pt idx="17">
                  <v>4.5</v>
                </pt>
              </numCache>
            </numRef>
          </val>
          <smooth val="1"/>
        </ser>
        <ser>
          <idx val="1"/>
          <order val="1"/>
          <tx>
            <strRef>
              <f>'9. CSAT'!D10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'9. CSAT'!$B$11:$B$28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'9. CSAT'!$D$11:$D$28</f>
              <numCache>
                <formatCode>General</formatCode>
                <ptCount val="18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78823596"/>
        <axId val="60964993"/>
      </lineChart>
      <catAx>
        <axId val="78823596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0964993"/>
        <crosses val="autoZero"/>
        <auto val="1"/>
        <lblAlgn val="ctr"/>
        <lblOffset val="100"/>
        <noMultiLvlLbl val="0"/>
      </catAx>
      <valAx>
        <axId val="6096499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823596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'10. Apalancamiento'!C10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'10. Apalancamiento'!$B$11:$B$28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'10. Apalancamiento'!$C$11:$C$28</f>
              <numCache>
                <formatCode>0.0%</formatCode>
                <ptCount val="18"/>
                <pt idx="0">
                  <v>0.09</v>
                </pt>
                <pt idx="1">
                  <v>0.09</v>
                </pt>
                <pt idx="2">
                  <v>0.09</v>
                </pt>
                <pt idx="3">
                  <v>0.09</v>
                </pt>
                <pt idx="4">
                  <v>0.09</v>
                </pt>
                <pt idx="5">
                  <v>0.09</v>
                </pt>
                <pt idx="6">
                  <v>0.09</v>
                </pt>
                <pt idx="7">
                  <v>0.09</v>
                </pt>
                <pt idx="8">
                  <v>0.09</v>
                </pt>
                <pt idx="9">
                  <v>0.09</v>
                </pt>
                <pt idx="10">
                  <v>0.09</v>
                </pt>
                <pt idx="11">
                  <v>0.09</v>
                </pt>
                <pt idx="12">
                  <v>0.09</v>
                </pt>
                <pt idx="13">
                  <v>0.09</v>
                </pt>
                <pt idx="14">
                  <v>0.09</v>
                </pt>
                <pt idx="15">
                  <v>0.09</v>
                </pt>
                <pt idx="16">
                  <v>0.09</v>
                </pt>
                <pt idx="17">
                  <v>0.09</v>
                </pt>
              </numCache>
            </numRef>
          </val>
          <smooth val="1"/>
        </ser>
        <ser>
          <idx val="1"/>
          <order val="1"/>
          <tx>
            <strRef>
              <f>'10. Apalancamiento'!D10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'10. Apalancamiento'!$B$11:$B$28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'10. Apalancamiento'!$D$11:$D$28</f>
              <numCache>
                <formatCode>General</formatCode>
                <ptCount val="18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77850473"/>
        <axId val="41608192"/>
      </lineChart>
      <catAx>
        <axId val="77850473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1608192"/>
        <crosses val="autoZero"/>
        <auto val="1"/>
        <lblAlgn val="ctr"/>
        <lblOffset val="100"/>
        <noMultiLvlLbl val="0"/>
      </catAx>
      <valAx>
        <axId val="416081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7850473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'11. Recuperar DS'!C10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'11. Recuperar DS'!$B$11:$B$28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'11. Recuperar DS'!$C$11:$C$28</f>
              <numCache>
                <formatCode>\$#,##0</formatCode>
                <ptCount val="1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</numCache>
            </numRef>
          </val>
          <smooth val="1"/>
        </ser>
        <ser>
          <idx val="1"/>
          <order val="1"/>
          <tx>
            <strRef>
              <f>'11. Recuperar DS'!D10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'11. Recuperar DS'!$B$11:$B$28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'11. Recuperar DS'!$D$11:$D$28</f>
              <numCache>
                <formatCode>General</formatCode>
                <ptCount val="18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65842525"/>
        <axId val="98210661"/>
      </lineChart>
      <catAx>
        <axId val="65842525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10661"/>
        <crosses val="autoZero"/>
        <auto val="1"/>
        <lblAlgn val="ctr"/>
        <lblOffset val="100"/>
        <noMultiLvlLbl val="0"/>
      </catAx>
      <valAx>
        <axId val="982106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84252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'12. Utilizacion'!C10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'12. Utilizacion'!$B$11:$B$28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'12. Utilizacion'!$C$11:$C$28</f>
              <numCache>
                <formatCode>0.0%</formatCode>
                <ptCount val="18"/>
                <pt idx="0">
                  <v>0.48</v>
                </pt>
                <pt idx="1">
                  <v>0.48</v>
                </pt>
                <pt idx="2">
                  <v>0.48</v>
                </pt>
                <pt idx="3">
                  <v>0.48</v>
                </pt>
                <pt idx="4">
                  <v>0.48</v>
                </pt>
                <pt idx="5">
                  <v>0.48</v>
                </pt>
                <pt idx="6">
                  <v>0.48</v>
                </pt>
                <pt idx="7">
                  <v>0.48</v>
                </pt>
                <pt idx="8">
                  <v>0.48</v>
                </pt>
                <pt idx="9">
                  <v>0.48</v>
                </pt>
                <pt idx="10">
                  <v>0.48</v>
                </pt>
                <pt idx="11">
                  <v>0.48</v>
                </pt>
                <pt idx="12">
                  <v>0.48</v>
                </pt>
                <pt idx="13">
                  <v>0.48</v>
                </pt>
                <pt idx="14">
                  <v>0.48</v>
                </pt>
                <pt idx="15">
                  <v>0.48</v>
                </pt>
                <pt idx="16">
                  <v>0.48</v>
                </pt>
                <pt idx="17">
                  <v>0.48</v>
                </pt>
              </numCache>
            </numRef>
          </val>
          <smooth val="1"/>
        </ser>
        <ser>
          <idx val="1"/>
          <order val="1"/>
          <tx>
            <strRef>
              <f>'12. Utilizacion'!D10</f>
              <strCache>
                <ptCount val="1"/>
                <pt idx="0">
                  <v>Real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'12. Utilizacion'!$B$11:$B$28</f>
              <strCache>
                <ptCount val="18"/>
                <pt idx="0">
                  <v>Jul-26</v>
                </pt>
                <pt idx="1">
                  <v>Aug-26</v>
                </pt>
                <pt idx="2">
                  <v>Sep-26</v>
                </pt>
                <pt idx="3">
                  <v>Oct-26</v>
                </pt>
                <pt idx="4">
                  <v>Nov-26</v>
                </pt>
                <pt idx="5">
                  <v>Dec-26</v>
                </pt>
                <pt idx="6">
                  <v>Jan-27</v>
                </pt>
                <pt idx="7">
                  <v>Feb-27</v>
                </pt>
                <pt idx="8">
                  <v>Mar-27</v>
                </pt>
                <pt idx="9">
                  <v>Apr-27</v>
                </pt>
                <pt idx="10">
                  <v>May-27</v>
                </pt>
                <pt idx="11">
                  <v>Jun-27</v>
                </pt>
                <pt idx="12">
                  <v>Jul-27</v>
                </pt>
                <pt idx="13">
                  <v>Aug-27</v>
                </pt>
                <pt idx="14">
                  <v>Sep-27</v>
                </pt>
                <pt idx="15">
                  <v>Oct-27</v>
                </pt>
                <pt idx="16">
                  <v>Nov-27</v>
                </pt>
                <pt idx="17">
                  <v>Dec-27</v>
                </pt>
              </strCache>
            </strRef>
          </cat>
          <val>
            <numRef>
              <f>'12. Utilizacion'!$D$11:$D$28</f>
              <numCache>
                <formatCode>General</formatCode>
                <ptCount val="18"/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83319684"/>
        <axId val="30883696"/>
      </lineChart>
      <catAx>
        <axId val="83319684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883696"/>
        <crosses val="autoZero"/>
        <auto val="1"/>
        <lblAlgn val="ctr"/>
        <lblOffset val="100"/>
        <noMultiLvlLbl val="0"/>
      </catAx>
      <valAx>
        <axId val="3088369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31968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'2027'!B11</f>
              <strCache>
                <ptCount val="1"/>
                <pt idx="0">
                  <v>GP comprometido (acum.)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'2027'!$A$12:$A$40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'2027'!$B$12:$B$40</f>
              <numCache>
                <formatCode>General</formatCode>
                <ptCount val="29"/>
              </numCache>
            </numRef>
          </val>
          <smooth val="1"/>
        </ser>
        <ser>
          <idx val="1"/>
          <order val="1"/>
          <tx>
            <strRef>
              <f>'2027'!C11</f>
              <strCache>
                <ptCount val="1"/>
                <pt idx="0">
                  <v>GP 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'2027'!$A$12:$A$40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'2027'!$C$12:$C$40</f>
              <numCache>
                <formatCode>\$#,##0</formatCode>
                <ptCount val="29"/>
                <pt idx="0">
                  <v>3360000</v>
                </pt>
                <pt idx="1">
                  <v>3360000</v>
                </pt>
                <pt idx="2">
                  <v>3360000</v>
                </pt>
                <pt idx="3">
                  <v>3360000</v>
                </pt>
                <pt idx="4">
                  <v>3360000</v>
                </pt>
                <pt idx="5">
                  <v>3360000</v>
                </pt>
                <pt idx="6">
                  <v>3360000</v>
                </pt>
                <pt idx="7">
                  <v>3360000</v>
                </pt>
                <pt idx="8">
                  <v>3360000</v>
                </pt>
                <pt idx="9">
                  <v>3360000</v>
                </pt>
                <pt idx="10">
                  <v>3360000</v>
                </pt>
                <pt idx="11">
                  <v>3360000</v>
                </pt>
                <pt idx="12">
                  <v>3360000</v>
                </pt>
                <pt idx="13">
                  <v>3360000</v>
                </pt>
                <pt idx="14">
                  <v>3360000</v>
                </pt>
                <pt idx="15">
                  <v>3360000</v>
                </pt>
                <pt idx="16">
                  <v>3360000</v>
                </pt>
                <pt idx="17">
                  <v>3360000</v>
                </pt>
                <pt idx="18">
                  <v>3360000</v>
                </pt>
                <pt idx="19">
                  <v>3360000</v>
                </pt>
                <pt idx="20">
                  <v>3360000</v>
                </pt>
                <pt idx="21">
                  <v>3360000</v>
                </pt>
                <pt idx="22">
                  <v>3360000</v>
                </pt>
                <pt idx="23">
                  <v>3360000</v>
                </pt>
                <pt idx="24">
                  <v>3360000</v>
                </pt>
                <pt idx="25">
                  <v>3360000</v>
                </pt>
                <pt idx="26">
                  <v>3360000</v>
                </pt>
                <pt idx="27">
                  <v>3360000</v>
                </pt>
                <pt idx="28">
                  <v>3360000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22086008"/>
        <axId val="78427543"/>
      </lineChart>
      <catAx>
        <axId val="22086008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427543"/>
        <crosses val="autoZero"/>
        <auto val="1"/>
        <lblAlgn val="ctr"/>
        <lblOffset val="100"/>
        <noMultiLvlLbl val="0"/>
      </catAx>
      <valAx>
        <axId val="7842754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2086008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'2028'!B11</f>
              <strCache>
                <ptCount val="1"/>
                <pt idx="0">
                  <v>GP comprometido (acum.)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'2028'!$A$12:$A$40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'2028'!$B$12:$B$40</f>
              <numCache>
                <formatCode>General</formatCode>
                <ptCount val="29"/>
              </numCache>
            </numRef>
          </val>
          <smooth val="1"/>
        </ser>
        <ser>
          <idx val="1"/>
          <order val="1"/>
          <tx>
            <strRef>
              <f>'2028'!C11</f>
              <strCache>
                <ptCount val="1"/>
                <pt idx="0">
                  <v>GP 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'2028'!$A$12:$A$40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'2028'!$C$12:$C$40</f>
              <numCache>
                <formatCode>\$#,##0</formatCode>
                <ptCount val="29"/>
                <pt idx="0">
                  <v>4685644</v>
                </pt>
                <pt idx="1">
                  <v>4685644</v>
                </pt>
                <pt idx="2">
                  <v>4685644</v>
                </pt>
                <pt idx="3">
                  <v>4685644</v>
                </pt>
                <pt idx="4">
                  <v>4685644</v>
                </pt>
                <pt idx="5">
                  <v>4685644</v>
                </pt>
                <pt idx="6">
                  <v>4685644</v>
                </pt>
                <pt idx="7">
                  <v>4685644</v>
                </pt>
                <pt idx="8">
                  <v>4685644</v>
                </pt>
                <pt idx="9">
                  <v>4685644</v>
                </pt>
                <pt idx="10">
                  <v>4685644</v>
                </pt>
                <pt idx="11">
                  <v>4685644</v>
                </pt>
                <pt idx="12">
                  <v>4685644</v>
                </pt>
                <pt idx="13">
                  <v>4685644</v>
                </pt>
                <pt idx="14">
                  <v>4685644</v>
                </pt>
                <pt idx="15">
                  <v>4685644</v>
                </pt>
                <pt idx="16">
                  <v>4685644</v>
                </pt>
                <pt idx="17">
                  <v>4685644</v>
                </pt>
                <pt idx="18">
                  <v>4685644</v>
                </pt>
                <pt idx="19">
                  <v>4685644</v>
                </pt>
                <pt idx="20">
                  <v>4685644</v>
                </pt>
                <pt idx="21">
                  <v>4685644</v>
                </pt>
                <pt idx="22">
                  <v>4685644</v>
                </pt>
                <pt idx="23">
                  <v>4685644</v>
                </pt>
                <pt idx="24">
                  <v>4685644</v>
                </pt>
                <pt idx="25">
                  <v>4685644</v>
                </pt>
                <pt idx="26">
                  <v>4685644</v>
                </pt>
                <pt idx="27">
                  <v>4685644</v>
                </pt>
                <pt idx="28">
                  <v>4685644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29554109"/>
        <axId val="60147358"/>
      </lineChart>
      <catAx>
        <axId val="29554109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0147358"/>
        <crosses val="autoZero"/>
        <auto val="1"/>
        <lblAlgn val="ctr"/>
        <lblOffset val="100"/>
        <noMultiLvlLbl val="0"/>
      </catAx>
      <valAx>
        <axId val="6014735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5541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'2029'!B11</f>
              <strCache>
                <ptCount val="1"/>
                <pt idx="0">
                  <v>GP comprometido (acum.)</v>
                </pt>
              </strCache>
            </strRef>
          </tx>
          <spPr>
            <a:solidFill>
              <a:srgbClr val="2E75B6"/>
            </a:solidFill>
            <a:ln w="28080">
              <a:solidFill>
                <a:srgbClr val="2E75B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'2029'!$A$12:$A$40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'2029'!$B$12:$B$40</f>
              <numCache>
                <formatCode>General</formatCode>
                <ptCount val="29"/>
              </numCache>
            </numRef>
          </val>
          <smooth val="1"/>
        </ser>
        <ser>
          <idx val="1"/>
          <order val="1"/>
          <tx>
            <strRef>
              <f>'2029'!C11</f>
              <strCache>
                <ptCount val="1"/>
                <pt idx="0">
                  <v>GP meta</v>
                </pt>
              </strCache>
            </strRef>
          </tx>
          <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'2029'!$A$12:$A$40</f>
              <strCache>
                <ptCount val="29"/>
                <pt idx="0">
                  <v>15-Jun-26</v>
                </pt>
                <pt idx="1">
                  <v>22-Jun-26</v>
                </pt>
                <pt idx="2">
                  <v>29-Jun-26</v>
                </pt>
                <pt idx="3">
                  <v>06-Jul-26</v>
                </pt>
                <pt idx="4">
                  <v>13-Jul-26</v>
                </pt>
                <pt idx="5">
                  <v>20-Jul-26</v>
                </pt>
                <pt idx="6">
                  <v>27-Jul-26</v>
                </pt>
                <pt idx="7">
                  <v>03-Aug-26</v>
                </pt>
                <pt idx="8">
                  <v>10-Aug-26</v>
                </pt>
                <pt idx="9">
                  <v>17-Aug-26</v>
                </pt>
                <pt idx="10">
                  <v>24-Aug-26</v>
                </pt>
                <pt idx="11">
                  <v>31-Aug-26</v>
                </pt>
                <pt idx="12">
                  <v>07-Sep-26</v>
                </pt>
                <pt idx="13">
                  <v>14-Sep-26</v>
                </pt>
                <pt idx="14">
                  <v>21-Sep-26</v>
                </pt>
                <pt idx="15">
                  <v>28-Sep-26</v>
                </pt>
                <pt idx="16">
                  <v>05-Oct-26</v>
                </pt>
                <pt idx="17">
                  <v>12-Oct-26</v>
                </pt>
                <pt idx="18">
                  <v>19-Oct-26</v>
                </pt>
                <pt idx="19">
                  <v>26-Oct-26</v>
                </pt>
                <pt idx="20">
                  <v>02-Nov-26</v>
                </pt>
                <pt idx="21">
                  <v>09-Nov-26</v>
                </pt>
                <pt idx="22">
                  <v>16-Nov-26</v>
                </pt>
                <pt idx="23">
                  <v>23-Nov-26</v>
                </pt>
                <pt idx="24">
                  <v>30-Nov-26</v>
                </pt>
                <pt idx="25">
                  <v>07-Dec-26</v>
                </pt>
                <pt idx="26">
                  <v>14-Dec-26</v>
                </pt>
                <pt idx="27">
                  <v>21-Dec-26</v>
                </pt>
                <pt idx="28">
                  <v>28-Dec-26</v>
                </pt>
              </strCache>
            </strRef>
          </cat>
          <val>
            <numRef>
              <f>'2029'!$C$12:$C$40</f>
              <numCache>
                <formatCode>\$#,##0</formatCode>
                <ptCount val="29"/>
                <pt idx="0">
                  <v>5044215</v>
                </pt>
                <pt idx="1">
                  <v>5044215</v>
                </pt>
                <pt idx="2">
                  <v>5044215</v>
                </pt>
                <pt idx="3">
                  <v>5044215</v>
                </pt>
                <pt idx="4">
                  <v>5044215</v>
                </pt>
                <pt idx="5">
                  <v>5044215</v>
                </pt>
                <pt idx="6">
                  <v>5044215</v>
                </pt>
                <pt idx="7">
                  <v>5044215</v>
                </pt>
                <pt idx="8">
                  <v>5044215</v>
                </pt>
                <pt idx="9">
                  <v>5044215</v>
                </pt>
                <pt idx="10">
                  <v>5044215</v>
                </pt>
                <pt idx="11">
                  <v>5044215</v>
                </pt>
                <pt idx="12">
                  <v>5044215</v>
                </pt>
                <pt idx="13">
                  <v>5044215</v>
                </pt>
                <pt idx="14">
                  <v>5044215</v>
                </pt>
                <pt idx="15">
                  <v>5044215</v>
                </pt>
                <pt idx="16">
                  <v>5044215</v>
                </pt>
                <pt idx="17">
                  <v>5044215</v>
                </pt>
                <pt idx="18">
                  <v>5044215</v>
                </pt>
                <pt idx="19">
                  <v>5044215</v>
                </pt>
                <pt idx="20">
                  <v>5044215</v>
                </pt>
                <pt idx="21">
                  <v>5044215</v>
                </pt>
                <pt idx="22">
                  <v>5044215</v>
                </pt>
                <pt idx="23">
                  <v>5044215</v>
                </pt>
                <pt idx="24">
                  <v>5044215</v>
                </pt>
                <pt idx="25">
                  <v>5044215</v>
                </pt>
                <pt idx="26">
                  <v>5044215</v>
                </pt>
                <pt idx="27">
                  <v>5044215</v>
                </pt>
                <pt idx="28">
                  <v>5044215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48827494"/>
        <axId val="11020097"/>
      </lineChart>
      <catAx>
        <axId val="48827494"/>
        <scaling>
          <orientation val="minMax"/>
        </scaling>
        <delete val="0"/>
        <axPos val="b"/>
        <numFmt formatCode="dd\-mmm\-yy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1020097"/>
        <crosses val="autoZero"/>
        <auto val="1"/>
        <lblAlgn val="ctr"/>
        <lblOffset val="100"/>
        <noMultiLvlLbl val="0"/>
      </catAx>
      <valAx>
        <axId val="11020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88274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0</colOff>
      <row>17</row>
      <rowOff>0</rowOff>
    </from>
    <to>
      <col>16</col>
      <colOff>147600</colOff>
      <row>32</row>
      <rowOff>22320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25</col>
      <colOff>0</colOff>
      <row>1</row>
      <rowOff>0</rowOff>
    </from>
    <to>
      <col>34</col>
      <colOff>256320</colOff>
      <row>14</row>
      <rowOff>60120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6</col>
      <colOff>0</colOff>
      <row>3</row>
      <rowOff>0</rowOff>
    </from>
    <to>
      <col>15</col>
      <colOff>255960</colOff>
      <row>17</row>
      <rowOff>70560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6</col>
      <colOff>0</colOff>
      <row>3</row>
      <rowOff>0</rowOff>
    </from>
    <to>
      <col>15</col>
      <colOff>255960</colOff>
      <row>17</row>
      <rowOff>70560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6</col>
      <colOff>0</colOff>
      <row>3</row>
      <rowOff>0</rowOff>
    </from>
    <to>
      <col>15</col>
      <colOff>255960</colOff>
      <row>17</row>
      <rowOff>70560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Tablero_WIG_4DX_GBM.xlsx" TargetMode="External" Id="rId1" /><Relationship Type="http://schemas.openxmlformats.org/officeDocument/2006/relationships/hyperlink" Target="Tablero_WIG_4DX_GBM.xlsx" TargetMode="External" Id="rId2" /><Relationship Type="http://schemas.openxmlformats.org/officeDocument/2006/relationships/hyperlink" Target="Tablero_WIG_4DX_GBM.xlsx" TargetMode="External" Id="rId3" /><Relationship Type="http://schemas.openxmlformats.org/officeDocument/2006/relationships/hyperlink" Target="Tablero_WIG_4DX_GBM.xlsx" TargetMode="External" Id="rId4" /><Relationship Type="http://schemas.openxmlformats.org/officeDocument/2006/relationships/hyperlink" Target="Tablero_WIG_4DX_GBM.xlsx" TargetMode="External" Id="rId5" /><Relationship Type="http://schemas.openxmlformats.org/officeDocument/2006/relationships/hyperlink" Target="Tablero_WIG_4DX_GBM.xlsx" TargetMode="External" Id="rId6" /><Relationship Type="http://schemas.openxmlformats.org/officeDocument/2006/relationships/hyperlink" Target="Tablero_WIG_4DX_GBM.xlsx" TargetMode="External" Id="rId7" /><Relationship Type="http://schemas.openxmlformats.org/officeDocument/2006/relationships/hyperlink" Target="Tablero_WIG_4DX_GBM.xlsx" TargetMode="External" Id="rId8" /><Relationship Type="http://schemas.openxmlformats.org/officeDocument/2006/relationships/hyperlink" Target="Tablero_WIG_4DX_GBM.xlsx" TargetMode="External" Id="rId9" /><Relationship Type="http://schemas.openxmlformats.org/officeDocument/2006/relationships/hyperlink" Target="Tablero_WIG_4DX_GBM.xlsx" TargetMode="External" Id="rId10" /><Relationship Type="http://schemas.openxmlformats.org/officeDocument/2006/relationships/hyperlink" Target="Tablero_WIG_4DX_GBM.xlsx" TargetMode="External" Id="rId11" /><Relationship Type="http://schemas.openxmlformats.org/officeDocument/2006/relationships/hyperlink" Target="Tablero_WIG_4DX_GBM.xlsx" TargetMode="External" Id="rId12" /><Relationship Type="http://schemas.openxmlformats.org/officeDocument/2006/relationships/hyperlink" Target="Tablero_WIG_4DX_GBM.xlsx" TargetMode="External" Id="rId13" /><Relationship Type="http://schemas.openxmlformats.org/officeDocument/2006/relationships/hyperlink" Target="Tablero_WIG_4DX_GBM.xlsx" TargetMode="External" Id="rId14" /><Relationship Type="http://schemas.openxmlformats.org/officeDocument/2006/relationships/hyperlink" Target="Tablero_WIG_4DX_GBM.xlsx" TargetMode="External" Id="rId15" /><Relationship Type="http://schemas.openxmlformats.org/officeDocument/2006/relationships/drawing" Target="/xl/drawings/drawing1.xml" Id="rId1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52" customWidth="1" style="86" min="2" max="2"/>
    <col width="16" customWidth="1" style="86" min="3" max="3"/>
    <col width="30" customWidth="1" style="86" min="4" max="4"/>
    <col width="11" customWidth="1" style="86" min="5" max="7"/>
    <col width="16" customWidth="1" style="86" min="8" max="8"/>
  </cols>
  <sheetData>
    <row r="1" ht="19.7" customHeight="1" s="87">
      <c r="A1" s="88" t="inlineStr">
        <is>
          <t>Tablero 4DX — GBM Nicaragua</t>
        </is>
      </c>
    </row>
    <row r="2" ht="15" customHeight="1" s="87">
      <c r="A2" s="89" t="inlineStr">
        <is>
          <t>WIG de la compañía: Construir la utilidad neta (NAT) de Nicaragua — $1M en 2027, $2M (7%) en 2028, $2.4M (8%) en 2029</t>
        </is>
      </c>
    </row>
    <row r="4" ht="15" customHeight="1" s="87">
      <c r="A4" s="90" t="inlineStr">
        <is>
          <t>Metas de Utilidad Neta (NAT) 2027 → 2029  (base 2026)</t>
        </is>
      </c>
    </row>
    <row r="5" ht="15" customHeight="1" s="87">
      <c r="A5" s="91" t="inlineStr">
        <is>
          <t>Año</t>
        </is>
      </c>
      <c r="B5" s="91" t="inlineStr">
        <is>
          <t>Ingreso</t>
        </is>
      </c>
      <c r="C5" s="91" t="inlineStr">
        <is>
          <t>GP %</t>
        </is>
      </c>
      <c r="D5" s="91" t="inlineStr">
        <is>
          <t>Meta NAT</t>
        </is>
      </c>
      <c r="E5" s="91" t="inlineStr">
        <is>
          <t>NAT %</t>
        </is>
      </c>
      <c r="F5" s="91" t="inlineStr">
        <is>
          <t>NAT real</t>
        </is>
      </c>
      <c r="G5" s="91" t="inlineStr">
        <is>
          <t>Estado</t>
        </is>
      </c>
      <c r="H5" s="91" t="inlineStr">
        <is>
          <t>Ir a pestaña</t>
        </is>
      </c>
    </row>
    <row r="6" ht="15" customHeight="1" s="87">
      <c r="A6" s="92" t="inlineStr">
        <is>
          <t>2026 (estimado)</t>
        </is>
      </c>
      <c r="B6" s="93" t="n">
        <v>18656000</v>
      </c>
      <c r="C6" s="94" t="n">
        <v>0.144</v>
      </c>
      <c r="D6" s="93" t="n">
        <v>375000</v>
      </c>
      <c r="E6" s="94">
        <f>D6/B6</f>
        <v/>
      </c>
      <c r="F6" s="95" t="n">
        <v>375000</v>
      </c>
      <c r="G6" s="96">
        <f>IF(F6="","—",IF(F6&gt;=D6*0.95,"En meta",IF(F6&gt;=D6*0.8,"Riesgo","Atrasado")))</f>
        <v/>
      </c>
      <c r="H6" s="96" t="n"/>
    </row>
    <row r="7" ht="15" customHeight="1" s="87">
      <c r="A7" s="92" t="inlineStr">
        <is>
          <t>2027 (meta)</t>
        </is>
      </c>
      <c r="B7" s="93" t="n">
        <v>21000000</v>
      </c>
      <c r="C7" s="94" t="n">
        <v>0.16</v>
      </c>
      <c r="D7" s="93" t="n">
        <v>1000000</v>
      </c>
      <c r="E7" s="94">
        <f>D7/B7</f>
        <v/>
      </c>
      <c r="F7" s="95" t="n">
        <v>418000</v>
      </c>
      <c r="G7" s="96">
        <f>IF(F7="","—",IF(F7&gt;=D7*0.95,"En meta",IF(F7&gt;=D7*0.8,"Riesgo","Atrasado")))</f>
        <v/>
      </c>
      <c r="H7" s="97" t="inlineStr">
        <is>
          <t>Ver 2027</t>
        </is>
      </c>
    </row>
    <row r="8" ht="15" customHeight="1" s="87">
      <c r="A8" s="92" t="inlineStr">
        <is>
          <t>2028 (meta)</t>
        </is>
      </c>
      <c r="B8" s="93" t="n">
        <v>28571000</v>
      </c>
      <c r="C8" s="94" t="n">
        <v>0.164</v>
      </c>
      <c r="D8" s="93" t="n">
        <v>2000000</v>
      </c>
      <c r="E8" s="94">
        <f>D8/B8</f>
        <v/>
      </c>
      <c r="F8" s="95" t="n"/>
      <c r="G8" s="96">
        <f>IF(F8="","—",IF(F8&gt;=D8*0.95,"En meta",IF(F8&gt;=D8*0.8,"Riesgo","Atrasado")))</f>
        <v/>
      </c>
      <c r="H8" s="97" t="inlineStr">
        <is>
          <t>Ver 2028</t>
        </is>
      </c>
    </row>
    <row r="9" ht="15" customHeight="1" s="87">
      <c r="A9" s="92" t="inlineStr">
        <is>
          <t>2029 (meta)</t>
        </is>
      </c>
      <c r="B9" s="93" t="n">
        <v>30571000</v>
      </c>
      <c r="C9" s="94" t="n">
        <v>0.165</v>
      </c>
      <c r="D9" s="93" t="n">
        <v>2445680</v>
      </c>
      <c r="E9" s="94">
        <f>D9/B9</f>
        <v/>
      </c>
      <c r="F9" s="95" t="n"/>
      <c r="G9" s="96">
        <f>IF(F9="","—",IF(F9&gt;=D9*0.95,"En meta",IF(F9&gt;=D9*0.8,"Riesgo","Atrasado")))</f>
        <v/>
      </c>
      <c r="H9" s="97" t="inlineStr">
        <is>
          <t>Ver 2029</t>
        </is>
      </c>
    </row>
    <row r="10" ht="15" customHeight="1" s="87">
      <c r="A10" s="98" t="inlineStr">
        <is>
          <t>El tope de impuesto mínimo (3% sobre ventas) fija el piso de impuestos; por eso la meta se gana en GP% y en mantener el costo local plano, no solo en crecer ventas.</t>
        </is>
      </c>
    </row>
    <row r="12" ht="15" customHeight="1" s="87">
      <c r="A12" s="90" t="inlineStr">
        <is>
          <t>Cobertura de backlog — GP comprometido vs meta del año</t>
        </is>
      </c>
    </row>
    <row r="13" ht="23.85" customHeight="1" s="87">
      <c r="A13" s="99" t="inlineStr">
        <is>
          <t>Año</t>
        </is>
      </c>
      <c r="B13" s="99" t="inlineStr">
        <is>
          <t>GP meta</t>
        </is>
      </c>
      <c r="C13" s="99" t="inlineStr">
        <is>
          <t>GP comprometido</t>
        </is>
      </c>
      <c r="D13" s="99" t="inlineStr">
        <is>
          <t>Brecha (falta vender)</t>
        </is>
      </c>
      <c r="E13" s="99" t="inlineStr">
        <is>
          <t>% cobertura</t>
        </is>
      </c>
    </row>
    <row r="14" ht="15" customHeight="1" s="87">
      <c r="A14" s="100" t="n">
        <v>2027</v>
      </c>
      <c r="B14" s="93" t="n">
        <v>3360000</v>
      </c>
      <c r="C14" s="93" t="n">
        <v>2600000</v>
      </c>
      <c r="D14" s="93" t="n">
        <v>760000</v>
      </c>
      <c r="E14" s="94" t="n">
        <v>0.7738095238095238</v>
      </c>
    </row>
    <row r="15" ht="15" customHeight="1" s="87">
      <c r="A15" s="101" t="n">
        <v>2028</v>
      </c>
      <c r="B15" s="102" t="n">
        <v>4685644</v>
      </c>
      <c r="C15" s="102" t="n">
        <v>2500000</v>
      </c>
      <c r="D15" s="102" t="n">
        <v>2185644</v>
      </c>
      <c r="E15" s="103" t="n">
        <v>0.5335445885346817</v>
      </c>
    </row>
    <row r="16" ht="15" customHeight="1" s="87">
      <c r="A16" s="100" t="n">
        <v>2029</v>
      </c>
      <c r="B16" s="93" t="n">
        <v>5044215</v>
      </c>
      <c r="C16" s="93" t="n">
        <v>1550000</v>
      </c>
      <c r="D16" s="93" t="n">
        <v>3494215</v>
      </c>
      <c r="E16" s="94" t="n">
        <v>0.3072826990919301</v>
      </c>
    </row>
    <row r="18" ht="15" customHeight="1" s="87">
      <c r="A18" s="90" t="inlineStr">
        <is>
          <t>Seguimiento mensual NAT — año en curso</t>
        </is>
      </c>
    </row>
    <row r="19" ht="15" customHeight="1" s="87">
      <c r="A19" s="104" t="inlineStr">
        <is>
          <t>Meta anual NAT:</t>
        </is>
      </c>
      <c r="C19" s="105" t="n">
        <v>1000000</v>
      </c>
    </row>
    <row r="21" ht="15" customHeight="1" s="87">
      <c r="A21" s="91" t="inlineStr">
        <is>
          <t>Mes</t>
        </is>
      </c>
      <c r="B21" s="91" t="inlineStr">
        <is>
          <t>Meta mensual</t>
        </is>
      </c>
      <c r="C21" s="91" t="inlineStr">
        <is>
          <t>NAT real</t>
        </is>
      </c>
      <c r="D21" s="91" t="inlineStr">
        <is>
          <t>Meta acum.</t>
        </is>
      </c>
      <c r="E21" s="91" t="inlineStr">
        <is>
          <t>Real acum.</t>
        </is>
      </c>
      <c r="F21" s="91" t="inlineStr">
        <is>
          <t>% avance</t>
        </is>
      </c>
      <c r="G21" s="91" t="inlineStr">
        <is>
          <t>Estado</t>
        </is>
      </c>
    </row>
    <row r="22" ht="15" customHeight="1" s="87">
      <c r="A22" s="106" t="n">
        <v>46388</v>
      </c>
      <c r="B22" s="93" t="n">
        <v>83333.33333333333</v>
      </c>
      <c r="C22" s="95" t="n">
        <v>70000</v>
      </c>
      <c r="D22" s="93" t="n">
        <v>83333.33333333333</v>
      </c>
      <c r="E22" s="93" t="n">
        <v>70000</v>
      </c>
      <c r="F22" s="94" t="n">
        <v>0.8400000000000001</v>
      </c>
      <c r="G22" s="96" t="inlineStr">
        <is>
          <t>Riesgo</t>
        </is>
      </c>
    </row>
    <row r="23" ht="15" customHeight="1" s="87">
      <c r="A23" s="107" t="n">
        <v>46419</v>
      </c>
      <c r="B23" s="102" t="n">
        <v>83333.33333333333</v>
      </c>
      <c r="C23" s="95" t="n">
        <v>78000</v>
      </c>
      <c r="D23" s="102" t="n">
        <v>166666.6666666667</v>
      </c>
      <c r="E23" s="102" t="n">
        <v>148000</v>
      </c>
      <c r="F23" s="103" t="n">
        <v>0.888</v>
      </c>
      <c r="G23" s="108" t="inlineStr">
        <is>
          <t>Riesgo</t>
        </is>
      </c>
    </row>
    <row r="24" ht="15" customHeight="1" s="87">
      <c r="A24" s="106" t="n">
        <v>46447</v>
      </c>
      <c r="B24" s="93" t="n">
        <v>83333.33333333333</v>
      </c>
      <c r="C24" s="95" t="n">
        <v>90000</v>
      </c>
      <c r="D24" s="93" t="n">
        <v>250000</v>
      </c>
      <c r="E24" s="93" t="n">
        <v>238000</v>
      </c>
      <c r="F24" s="94" t="n">
        <v>0.952</v>
      </c>
      <c r="G24" s="96" t="inlineStr">
        <is>
          <t>En meta</t>
        </is>
      </c>
    </row>
    <row r="25" ht="15" customHeight="1" s="87">
      <c r="A25" s="107" t="n">
        <v>46478</v>
      </c>
      <c r="B25" s="102" t="n">
        <v>83333.33333333333</v>
      </c>
      <c r="C25" s="95" t="n">
        <v>85000</v>
      </c>
      <c r="D25" s="102" t="n">
        <v>333333.3333333333</v>
      </c>
      <c r="E25" s="102" t="n">
        <v>323000</v>
      </c>
      <c r="F25" s="103" t="n">
        <v>0.9690000000000001</v>
      </c>
      <c r="G25" s="108" t="inlineStr">
        <is>
          <t>En meta</t>
        </is>
      </c>
    </row>
    <row r="26" ht="15" customHeight="1" s="87">
      <c r="A26" s="106" t="n">
        <v>46508</v>
      </c>
      <c r="B26" s="93" t="n">
        <v>83333.33333333333</v>
      </c>
      <c r="C26" s="95" t="n">
        <v>95000</v>
      </c>
      <c r="D26" s="93" t="n">
        <v>416666.6666666666</v>
      </c>
      <c r="E26" s="93" t="n">
        <v>418000</v>
      </c>
      <c r="F26" s="94" t="n">
        <v>1.0032</v>
      </c>
      <c r="G26" s="96" t="inlineStr">
        <is>
          <t>En meta</t>
        </is>
      </c>
    </row>
    <row r="27" ht="15" customHeight="1" s="87">
      <c r="A27" s="107" t="n">
        <v>46539</v>
      </c>
      <c r="B27" s="102" t="n">
        <v>83333.33333333333</v>
      </c>
      <c r="C27" s="95" t="n"/>
      <c r="D27" s="102" t="n">
        <v>499999.9999999999</v>
      </c>
      <c r="E27" s="102" t="n">
        <v>418000</v>
      </c>
      <c r="F27" s="103" t="n">
        <v>0.8360000000000001</v>
      </c>
      <c r="G27" s="108" t="inlineStr">
        <is>
          <t>Riesgo</t>
        </is>
      </c>
    </row>
    <row r="28" ht="15" customHeight="1" s="87">
      <c r="A28" s="106" t="n">
        <v>46569</v>
      </c>
      <c r="B28" s="93" t="n">
        <v>83333.33333333333</v>
      </c>
      <c r="C28" s="95" t="n"/>
      <c r="D28" s="93" t="n">
        <v>583333.3333333333</v>
      </c>
      <c r="E28" s="93" t="n">
        <v>418000</v>
      </c>
      <c r="F28" s="94" t="n">
        <v>0.7165714285714286</v>
      </c>
      <c r="G28" s="96" t="inlineStr">
        <is>
          <t>Atrasado</t>
        </is>
      </c>
    </row>
    <row r="29" ht="15" customHeight="1" s="87">
      <c r="A29" s="107" t="n">
        <v>46600</v>
      </c>
      <c r="B29" s="102" t="n">
        <v>83333.33333333333</v>
      </c>
      <c r="C29" s="95" t="n"/>
      <c r="D29" s="102" t="n">
        <v>666666.6666666666</v>
      </c>
      <c r="E29" s="102" t="n">
        <v>418000</v>
      </c>
      <c r="F29" s="103" t="n">
        <v>0.627</v>
      </c>
      <c r="G29" s="108" t="inlineStr">
        <is>
          <t>Atrasado</t>
        </is>
      </c>
    </row>
    <row r="30" ht="15" customHeight="1" s="87">
      <c r="A30" s="106" t="n">
        <v>46631</v>
      </c>
      <c r="B30" s="93" t="n">
        <v>83333.33333333333</v>
      </c>
      <c r="C30" s="95" t="n"/>
      <c r="D30" s="93" t="n">
        <v>750000</v>
      </c>
      <c r="E30" s="93" t="n">
        <v>418000</v>
      </c>
      <c r="F30" s="94" t="n">
        <v>0.5573333333333333</v>
      </c>
      <c r="G30" s="96" t="inlineStr">
        <is>
          <t>Atrasado</t>
        </is>
      </c>
    </row>
    <row r="31" ht="15" customHeight="1" s="87">
      <c r="A31" s="107" t="n">
        <v>46661</v>
      </c>
      <c r="B31" s="102" t="n">
        <v>83333.33333333333</v>
      </c>
      <c r="C31" s="95" t="n"/>
      <c r="D31" s="102" t="n">
        <v>833333.3333333334</v>
      </c>
      <c r="E31" s="102" t="n">
        <v>418000</v>
      </c>
      <c r="F31" s="103" t="n">
        <v>0.5015999999999999</v>
      </c>
      <c r="G31" s="108" t="inlineStr">
        <is>
          <t>Atrasado</t>
        </is>
      </c>
    </row>
    <row r="32" ht="15" customHeight="1" s="87">
      <c r="A32" s="106" t="n">
        <v>46692</v>
      </c>
      <c r="B32" s="93" t="n">
        <v>83333.33333333333</v>
      </c>
      <c r="C32" s="95" t="n"/>
      <c r="D32" s="93" t="n">
        <v>916666.6666666667</v>
      </c>
      <c r="E32" s="93" t="n">
        <v>418000</v>
      </c>
      <c r="F32" s="94" t="n">
        <v>0.456</v>
      </c>
      <c r="G32" s="96" t="inlineStr">
        <is>
          <t>Atrasado</t>
        </is>
      </c>
    </row>
    <row r="33" ht="15" customHeight="1" s="87">
      <c r="A33" s="107" t="n">
        <v>46722</v>
      </c>
      <c r="B33" s="102" t="n">
        <v>83333.33333333333</v>
      </c>
      <c r="C33" s="95" t="n"/>
      <c r="D33" s="102" t="n">
        <v>1000000</v>
      </c>
      <c r="E33" s="102" t="n">
        <v>418000</v>
      </c>
      <c r="F33" s="103" t="n">
        <v>0.4179999999999999</v>
      </c>
      <c r="G33" s="108" t="inlineStr">
        <is>
          <t>Atrasado</t>
        </is>
      </c>
    </row>
    <row r="35" ht="15" customHeight="1" s="87">
      <c r="A35" s="90" t="inlineStr">
        <is>
          <t>WIGs de soporte — estado al último dato ingresado</t>
        </is>
      </c>
    </row>
    <row r="36" ht="15" customHeight="1" s="87">
      <c r="A36" s="91" t="inlineStr">
        <is>
          <t>#</t>
        </is>
      </c>
      <c r="B36" s="91" t="inlineStr">
        <is>
          <t>WIG de soporte</t>
        </is>
      </c>
      <c r="C36" s="91" t="inlineStr">
        <is>
          <t>Dueño</t>
        </is>
      </c>
      <c r="D36" s="91" t="inlineStr">
        <is>
          <t>Equipo</t>
        </is>
      </c>
      <c r="E36" s="91" t="inlineStr">
        <is>
          <t>Meta</t>
        </is>
      </c>
      <c r="F36" s="91" t="inlineStr">
        <is>
          <t>Último real</t>
        </is>
      </c>
      <c r="G36" s="91" t="inlineStr">
        <is>
          <t>Estado</t>
        </is>
      </c>
      <c r="H36" s="91" t="inlineStr">
        <is>
          <t>Ir a pestaña</t>
        </is>
      </c>
    </row>
    <row r="37" ht="30" customHeight="1" s="87">
      <c r="A37" s="92" t="n">
        <v>1</v>
      </c>
      <c r="B37" s="109" t="inlineStr">
        <is>
          <t>Incrementar el Parque de Smart User en 500 equipos en el 2026</t>
        </is>
      </c>
      <c r="C37" s="110">
        <f>'1. Smart User 500'!$B$4</f>
        <v/>
      </c>
      <c r="D37" s="111" t="inlineStr">
        <is>
          <t>Pre-Sales, Del - DEX</t>
        </is>
      </c>
      <c r="E37" s="112">
        <f>'1. Smart User 500'!$B$5</f>
        <v/>
      </c>
      <c r="F37" s="112">
        <f>IFERROR(LOOKUP(2,1/('1. Smart User 500'!$D$11:$D$39&lt;&gt;""),'1. Smart User 500'!$D$11:$D$39),"Sin datos")</f>
        <v/>
      </c>
      <c r="G37" s="113">
        <f>IFERROR(LOOKUP(2,1/('1. Smart User 500'!$D$11:$D$39&lt;&gt;""),'1. Smart User 500'!$H$11:$H$39),"Sin datos")</f>
        <v/>
      </c>
      <c r="H37" s="114" t="inlineStr">
        <is>
          <t>1. Smart User 500</t>
        </is>
      </c>
    </row>
    <row r="38" ht="30" customHeight="1" s="87">
      <c r="A38" s="115" t="n">
        <v>2</v>
      </c>
      <c r="B38" s="116" t="inlineStr">
        <is>
          <t>Lograr un Monthly Value de $X en advisory en el primer trimestre de 2027</t>
        </is>
      </c>
      <c r="C38" s="117">
        <f>'2. MV Advisory'!$B$4</f>
        <v/>
      </c>
      <c r="D38" s="118" t="inlineStr">
        <is>
          <t>Ventas, Customer Success, Pre-Sales, Del - TSS</t>
        </is>
      </c>
      <c r="E38" s="119">
        <f>'2. MV Advisory'!$B$5</f>
        <v/>
      </c>
      <c r="F38" s="119">
        <f>IFERROR(LOOKUP(2,1/('2. MV Advisory'!$D$11:$D$52&lt;&gt;""),'2. MV Advisory'!$D$11:$D$52),"Sin datos")</f>
        <v/>
      </c>
      <c r="G38" s="120">
        <f>IFERROR(LOOKUP(2,1/('2. MV Advisory'!$D$11:$D$52&lt;&gt;""),'2. MV Advisory'!$H$11:$H$52),"Sin datos")</f>
        <v/>
      </c>
      <c r="H38" s="121" t="inlineStr">
        <is>
          <t>2. MV Advisory</t>
        </is>
      </c>
    </row>
    <row r="39" ht="30" customHeight="1" s="87">
      <c r="A39" s="92" t="n">
        <v>3</v>
      </c>
      <c r="B39" s="109" t="inlineStr">
        <is>
          <t>Reconocer 10 negocios mayores a $30K de GP en el 2027</t>
        </is>
      </c>
      <c r="C39" s="110">
        <f>'3. Negocios +30K GP'!$B$4</f>
        <v/>
      </c>
      <c r="D39" s="111" t="inlineStr">
        <is>
          <t>Ventas, Pre-Sales</t>
        </is>
      </c>
      <c r="E39" s="112">
        <f>'3. Negocios +30K GP'!$B$5</f>
        <v/>
      </c>
      <c r="F39" s="112">
        <f>IFERROR(LOOKUP(2,1/('3. Negocios +30K GP'!$D$11:$D$91&lt;&gt;""),'3. Negocios +30K GP'!$D$11:$D$91),"Sin datos")</f>
        <v/>
      </c>
      <c r="G39" s="113">
        <f>IFERROR(LOOKUP(2,1/('3. Negocios +30K GP'!$D$11:$D$91&lt;&gt;""),'3. Negocios +30K GP'!$H$11:$H$91),"Sin datos")</f>
        <v/>
      </c>
      <c r="H39" s="114" t="inlineStr">
        <is>
          <t>3. Negocios +30K GP</t>
        </is>
      </c>
    </row>
    <row r="40" ht="30" customHeight="1" s="87">
      <c r="A40" s="115" t="n">
        <v>4</v>
      </c>
      <c r="B40" s="116" t="inlineStr">
        <is>
          <t>Cumplir el 100% de entregas y colocaciones en tiempo y forma</t>
        </is>
      </c>
      <c r="C40" s="117">
        <f>'4. Entregas 100%'!$B$4</f>
        <v/>
      </c>
      <c r="D40" s="118" t="inlineStr">
        <is>
          <t>Finanzas</t>
        </is>
      </c>
      <c r="E40" s="122">
        <f>'4. Entregas 100%'!$B$5</f>
        <v/>
      </c>
      <c r="F40" s="122">
        <f>IFERROR(LOOKUP(2,1/('4. Entregas 100%'!$D$11:$D$91&lt;&gt;""),'4. Entregas 100%'!$D$11:$D$91),"Sin datos")</f>
        <v/>
      </c>
      <c r="G40" s="120">
        <f>IFERROR(LOOKUP(2,1/('4. Entregas 100%'!$D$11:$D$91&lt;&gt;""),'4. Entregas 100%'!$H$11:$H$91),"Sin datos")</f>
        <v/>
      </c>
      <c r="H40" s="121" t="inlineStr">
        <is>
          <t>4. Entregas 100%</t>
        </is>
      </c>
    </row>
    <row r="41" ht="30" customHeight="1" s="87">
      <c r="A41" s="92" t="n">
        <v>5</v>
      </c>
      <c r="B41" s="109" t="inlineStr">
        <is>
          <t>Incrementar el MV de servicios basados en el DC GBM San Marcos en $20,000</t>
        </is>
      </c>
      <c r="C41" s="110">
        <f>'5. MV Datacenter'!$B$4</f>
        <v/>
      </c>
      <c r="D41" s="111" t="inlineStr">
        <is>
          <t>Pre-Sales, Del - DC</t>
        </is>
      </c>
      <c r="E41" s="123">
        <f>'5. MV Datacenter'!$B$5</f>
        <v/>
      </c>
      <c r="F41" s="123">
        <f>IFERROR(LOOKUP(2,1/('5. MV Datacenter'!$D$11:$D$91&lt;&gt;""),'5. MV Datacenter'!$D$11:$D$91),"Sin datos")</f>
        <v/>
      </c>
      <c r="G41" s="113">
        <f>IFERROR(LOOKUP(2,1/('5. MV Datacenter'!$D$11:$D$91&lt;&gt;""),'5. MV Datacenter'!$H$11:$H$91),"Sin datos")</f>
        <v/>
      </c>
      <c r="H41" s="114" t="inlineStr">
        <is>
          <t>5. MV Datacenter</t>
        </is>
      </c>
    </row>
    <row r="42" ht="30" customHeight="1" s="87">
      <c r="A42" s="115" t="n">
        <v>6</v>
      </c>
      <c r="B42" s="116" t="inlineStr">
        <is>
          <t>Tener cero contratos expired en al menos 16 de los próximos 18 meses</t>
        </is>
      </c>
      <c r="C42" s="117">
        <f>'6. Cero Expired'!$B$4</f>
        <v/>
      </c>
      <c r="D42" s="118" t="inlineStr">
        <is>
          <t>Customer Success, Del - DEX, Del - TSS, Del - DC</t>
        </is>
      </c>
      <c r="E42" s="124">
        <f>'6. Cero Expired'!$B$5</f>
        <v/>
      </c>
      <c r="F42" s="124">
        <f>IFERROR(LOOKUP(2,1/('6. Cero Expired'!$D$11:$D$91&lt;&gt;""),'6. Cero Expired'!$D$11:$D$91),"Sin datos")</f>
        <v/>
      </c>
      <c r="G42" s="120">
        <f>IFERROR(LOOKUP(2,1/('6. Cero Expired'!$D$11:$D$91&lt;&gt;""),'6. Cero Expired'!$H$11:$H$91),"Sin datos")</f>
        <v/>
      </c>
      <c r="H42" s="121" t="inlineStr">
        <is>
          <t>6. Cero Expired</t>
        </is>
      </c>
    </row>
    <row r="43" ht="30" customHeight="1" s="87">
      <c r="A43" s="92" t="n">
        <v>7</v>
      </c>
      <c r="B43" s="109" t="inlineStr">
        <is>
          <t>Incrementar el MV de Digital Solutions en $30K/mes al 1ro de mayo 2027</t>
        </is>
      </c>
      <c r="C43" s="110">
        <f>'7. MV Digital Sol'!$B$4</f>
        <v/>
      </c>
      <c r="D43" s="111" t="inlineStr">
        <is>
          <t>Ventas, Del - DS</t>
        </is>
      </c>
      <c r="E43" s="123">
        <f>'7. MV Digital Sol'!$B$5</f>
        <v/>
      </c>
      <c r="F43" s="123">
        <f>IFERROR(LOOKUP(2,1/('7. MV Digital Sol'!$D$11:$D$56&lt;&gt;""),'7. MV Digital Sol'!$D$11:$D$56),"Sin datos")</f>
        <v/>
      </c>
      <c r="G43" s="113">
        <f>IFERROR(LOOKUP(2,1/('7. MV Digital Sol'!$D$11:$D$56&lt;&gt;""),'7. MV Digital Sol'!$H$11:$H$56),"Sin datos")</f>
        <v/>
      </c>
      <c r="H43" s="114" t="inlineStr">
        <is>
          <t>7. MV Digital Sol</t>
        </is>
      </c>
    </row>
    <row r="44" ht="30" customHeight="1" s="87">
      <c r="A44" s="115" t="n">
        <v>8</v>
      </c>
      <c r="B44" s="116" t="inlineStr">
        <is>
          <t>Lograr un GP consolidado de 16% en el 2027</t>
        </is>
      </c>
      <c r="C44" s="117">
        <f>'8. GP 16%'!$B$4</f>
        <v/>
      </c>
      <c r="D44" s="118" t="inlineStr">
        <is>
          <t>Finanzas (todas las áreas aportan)</t>
        </is>
      </c>
      <c r="E44" s="122">
        <f>'8. GP 16%'!$B$5</f>
        <v/>
      </c>
      <c r="F44" s="122">
        <f>IFERROR(LOOKUP(2,1/('8. GP 16%'!$D$11:$D$28&lt;&gt;""),'8. GP 16%'!$D$11:$D$28),"Sin datos")</f>
        <v/>
      </c>
      <c r="G44" s="120">
        <f>IFERROR(LOOKUP(2,1/('8. GP 16%'!$D$11:$D$28&lt;&gt;""),'8. GP 16%'!$H$11:$H$28),"Sin datos")</f>
        <v/>
      </c>
      <c r="H44" s="121" t="inlineStr">
        <is>
          <t>8. GP 16%</t>
        </is>
      </c>
    </row>
    <row r="45" ht="30" customHeight="1" s="87">
      <c r="A45" s="92" t="n">
        <v>9</v>
      </c>
      <c r="B45" s="109" t="inlineStr">
        <is>
          <t>Incrementar el CSAT de X a Y, sosteniéndolo 4 meses consecutivos</t>
        </is>
      </c>
      <c r="C45" s="110">
        <f>'9. CSAT'!$B$4</f>
        <v/>
      </c>
      <c r="D45" s="111" t="inlineStr">
        <is>
          <t>Customer Success (todas las áreas de entrega aportan)</t>
        </is>
      </c>
      <c r="E45" s="125">
        <f>'9. CSAT'!$B$5</f>
        <v/>
      </c>
      <c r="F45" s="125">
        <f>IFERROR(LOOKUP(2,1/('9. CSAT'!$D$11:$D$28&lt;&gt;""),'9. CSAT'!$D$11:$D$28),"Sin datos")</f>
        <v/>
      </c>
      <c r="G45" s="113">
        <f>IFERROR(LOOKUP(2,1/('9. CSAT'!$D$11:$D$28&lt;&gt;""),'9. CSAT'!$H$11:$H$28),"Sin datos")</f>
        <v/>
      </c>
      <c r="H45" s="114" t="inlineStr">
        <is>
          <t>9. CSAT</t>
        </is>
      </c>
    </row>
    <row r="46" ht="30" customHeight="1" s="87">
      <c r="A46" s="115" t="n">
        <v>10</v>
      </c>
      <c r="B46" s="116" t="inlineStr">
        <is>
          <t>Sostener costos locales planos mientras crece el ingreso (apalancamiento operativo)</t>
        </is>
      </c>
      <c r="C46" s="117">
        <f>'10. Apalancamiento'!$B$4</f>
        <v/>
      </c>
      <c r="D46" s="118" t="inlineStr">
        <is>
          <t>Finanzas, Customer Success, todas las áreas locales</t>
        </is>
      </c>
      <c r="E46" s="122">
        <f>'10. Apalancamiento'!$B$5</f>
        <v/>
      </c>
      <c r="F46" s="122">
        <f>IFERROR(LOOKUP(2,1/('10. Apalancamiento'!$D$11:$D$28&lt;&gt;""),'10. Apalancamiento'!$D$11:$D$28),"Sin datos")</f>
        <v/>
      </c>
      <c r="G46" s="120">
        <f>IFERROR(LOOKUP(2,1/('10. Apalancamiento'!$D$11:$D$28&lt;&gt;""),'10. Apalancamiento'!$H$11:$H$28),"Sin datos")</f>
        <v/>
      </c>
      <c r="H46" s="121" t="inlineStr">
        <is>
          <t>10. Apalancamiento</t>
        </is>
      </c>
    </row>
    <row r="47" ht="30" customHeight="1" s="87">
      <c r="A47" s="92" t="n">
        <v>11</v>
      </c>
      <c r="B47" s="109" t="inlineStr">
        <is>
          <t>Recuperar el margen de Digital Solutions y eliminar líneas con GP negativo</t>
        </is>
      </c>
      <c r="C47" s="110">
        <f>'11. Recuperar DS'!$B$4</f>
        <v/>
      </c>
      <c r="D47" s="111" t="inlineStr">
        <is>
          <t>Ventas, Pre-Sales, Del - DS, Finanzas</t>
        </is>
      </c>
      <c r="E47" s="123">
        <f>'11. Recuperar DS'!$B$5</f>
        <v/>
      </c>
      <c r="F47" s="123">
        <f>IFERROR(LOOKUP(2,1/('11. Recuperar DS'!$D$11:$D$28&lt;&gt;""),'11. Recuperar DS'!$D$11:$D$28),"Sin datos")</f>
        <v/>
      </c>
      <c r="G47" s="113">
        <f>IFERROR(LOOKUP(2,1/('11. Recuperar DS'!$D$11:$D$28&lt;&gt;""),'11. Recuperar DS'!$H$11:$H$28),"Sin datos")</f>
        <v/>
      </c>
      <c r="H47" s="114" t="inlineStr">
        <is>
          <t>11. Recuperar DS</t>
        </is>
      </c>
    </row>
    <row r="48" ht="30" customHeight="1" s="87">
      <c r="A48" s="115" t="n">
        <v>12</v>
      </c>
      <c r="B48" s="116" t="inlineStr">
        <is>
          <t>Subir la utilización facturable de ingenieros locales de 42% a 48%+</t>
        </is>
      </c>
      <c r="C48" s="117">
        <f>'12. Utilizacion'!$B$4</f>
        <v/>
      </c>
      <c r="D48" s="118" t="inlineStr">
        <is>
          <t>Del - TSS, Del - DC, Customer Success, Pre-Sales</t>
        </is>
      </c>
      <c r="E48" s="122">
        <f>'12. Utilizacion'!$B$5</f>
        <v/>
      </c>
      <c r="F48" s="122">
        <f>IFERROR(LOOKUP(2,1/('12. Utilizacion'!$D$11:$D$28&lt;&gt;""),'12. Utilizacion'!$D$11:$D$28),"Sin datos")</f>
        <v/>
      </c>
      <c r="G48" s="120">
        <f>IFERROR(LOOKUP(2,1/('12. Utilizacion'!$D$11:$D$28&lt;&gt;""),'12. Utilizacion'!$H$11:$H$28),"Sin datos")</f>
        <v/>
      </c>
      <c r="H48" s="121" t="inlineStr">
        <is>
          <t>12. Utilizacion</t>
        </is>
      </c>
    </row>
  </sheetData>
  <mergeCells count="2">
    <mergeCell ref="A2:H2"/>
    <mergeCell ref="A1:H1"/>
  </mergeCells>
  <conditionalFormatting sqref="G6:G9">
    <cfRule type="containsText" rank="0" priority="2" equalAverage="0" operator="containsText" aboveAverage="0" dxfId="0" text="En meta" percent="0" bottom="0">
      <formula>NOT(ISERROR(SEARCH("En meta",G6)))</formula>
    </cfRule>
    <cfRule type="containsText" rank="0" priority="3" equalAverage="0" operator="containsText" aboveAverage="0" dxfId="1" text="Riesgo" percent="0" bottom="0">
      <formula>NOT(ISERROR(SEARCH("Riesgo",G6)))</formula>
    </cfRule>
    <cfRule type="containsText" rank="0" priority="4" equalAverage="0" operator="containsText" aboveAverage="0" dxfId="2" text="Atrasado" percent="0" bottom="0">
      <formula>NOT(ISERROR(SEARCH("Atrasado",G6)))</formula>
    </cfRule>
  </conditionalFormatting>
  <conditionalFormatting sqref="G22:G33">
    <cfRule type="containsText" rank="0" priority="5" equalAverage="0" operator="containsText" aboveAverage="0" dxfId="0" text="En meta" percent="0" bottom="0">
      <formula>NOT(ISERROR(SEARCH("En meta",G22)))</formula>
    </cfRule>
    <cfRule type="containsText" rank="0" priority="6" equalAverage="0" operator="containsText" aboveAverage="0" dxfId="1" text="Riesgo" percent="0" bottom="0">
      <formula>NOT(ISERROR(SEARCH("Riesgo",G22)))</formula>
    </cfRule>
    <cfRule type="containsText" rank="0" priority="7" equalAverage="0" operator="containsText" aboveAverage="0" dxfId="2" text="Atrasado" percent="0" bottom="0">
      <formula>NOT(ISERROR(SEARCH("Atrasado",G22)))</formula>
    </cfRule>
  </conditionalFormatting>
  <conditionalFormatting sqref="G37:G48">
    <cfRule type="containsText" rank="0" priority="8" equalAverage="0" operator="containsText" aboveAverage="0" dxfId="0" text="En meta" percent="0" bottom="0">
      <formula>NOT(ISERROR(SEARCH("En meta",G37)))</formula>
    </cfRule>
    <cfRule type="containsText" rank="0" priority="9" equalAverage="0" operator="containsText" aboveAverage="0" dxfId="1" text="Riesgo" percent="0" bottom="0">
      <formula>NOT(ISERROR(SEARCH("Riesgo",G37)))</formula>
    </cfRule>
    <cfRule type="containsText" rank="0" priority="10" equalAverage="0" operator="containsText" aboveAverage="0" dxfId="2" text="Atrasado" percent="0" bottom="0">
      <formula>NOT(ISERROR(SEARCH("Atrasado",G37)))</formula>
    </cfRule>
  </conditionalFormatting>
  <hyperlinks>
    <hyperlink xmlns:r="http://schemas.openxmlformats.org/officeDocument/2006/relationships" ref="H7" location="'2027'!A1" display="Ver 2027" r:id="rId1"/>
    <hyperlink xmlns:r="http://schemas.openxmlformats.org/officeDocument/2006/relationships" ref="H8" location="'2028'!A1" display="Ver 2028" r:id="rId2"/>
    <hyperlink xmlns:r="http://schemas.openxmlformats.org/officeDocument/2006/relationships" ref="H9" location="'2029'!A1" display="Ver 2029" r:id="rId3"/>
    <hyperlink xmlns:r="http://schemas.openxmlformats.org/officeDocument/2006/relationships" ref="H37" location="'1.%20Smart%20User%20500'!A1" display="1. Smart User 500" r:id="rId4"/>
    <hyperlink xmlns:r="http://schemas.openxmlformats.org/officeDocument/2006/relationships" ref="H38" location="'2.%20MV%20Advisory'!A1" display="2. MV Advisory" r:id="rId5"/>
    <hyperlink xmlns:r="http://schemas.openxmlformats.org/officeDocument/2006/relationships" ref="H39" location="'3.%20Negocios%20+30K%20GP'!A1" display="3. Negocios +30K GP" r:id="rId6"/>
    <hyperlink xmlns:r="http://schemas.openxmlformats.org/officeDocument/2006/relationships" ref="H40" location="'4.%20Entregas%20100%25'!A1" display="4. Entregas 100%" r:id="rId7"/>
    <hyperlink xmlns:r="http://schemas.openxmlformats.org/officeDocument/2006/relationships" ref="H41" location="'5.%20MV%20Datacenter'!A1" display="5. MV Datacenter" r:id="rId8"/>
    <hyperlink xmlns:r="http://schemas.openxmlformats.org/officeDocument/2006/relationships" ref="H42" location="'6.%20Cero%20Expired'!A1" display="6. Cero Expired" r:id="rId9"/>
    <hyperlink xmlns:r="http://schemas.openxmlformats.org/officeDocument/2006/relationships" ref="H43" location="'7.%20MV%20Digital%20Sol'!A1" display="7. MV Digital Sol" r:id="rId10"/>
    <hyperlink xmlns:r="http://schemas.openxmlformats.org/officeDocument/2006/relationships" ref="H44" location="'8.%20GP%2016%25'!A1" display="8. GP 16%" r:id="rId11"/>
    <hyperlink xmlns:r="http://schemas.openxmlformats.org/officeDocument/2006/relationships" ref="H45" location="'9.%20CSAT'!A1" display="9. CSAT" r:id="rId12"/>
    <hyperlink xmlns:r="http://schemas.openxmlformats.org/officeDocument/2006/relationships" ref="H46" location="'10.%20Apalancamiento'!A1" display="10. Apalancamiento" r:id="rId13"/>
    <hyperlink xmlns:r="http://schemas.openxmlformats.org/officeDocument/2006/relationships" ref="H47" location="'11.%20Recuperar%20DS'!A1" display="11. Recuperar DS" r:id="rId14"/>
    <hyperlink xmlns:r="http://schemas.openxmlformats.org/officeDocument/2006/relationships" ref="H48" location="'12.%20Utilizacion'!A1" display="12. Utilizacion" r:id="rId1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6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1 — Incrementar el Parque de Smart User en 500 equipos en el 2026</t>
        </is>
      </c>
    </row>
    <row r="2" ht="15" customHeight="1" s="87">
      <c r="A2" s="104" t="inlineStr">
        <is>
          <t>Indicador lag:</t>
        </is>
      </c>
      <c r="B2" s="127" t="inlineStr">
        <is>
          <t>Equipos Smart User colocados (acumulado). 500 equipos a $40/mes = $6.4K MRR adicional en GP.</t>
        </is>
      </c>
    </row>
    <row r="3" ht="15" customHeight="1" s="87">
      <c r="A3" s="104" t="inlineStr">
        <is>
          <t>De X a Y:</t>
        </is>
      </c>
      <c r="B3" s="127" t="inlineStr">
        <is>
          <t>De 0 a 500 equipos colocados, antes del 31 de diciembre de 2026.</t>
        </is>
      </c>
    </row>
    <row r="4" ht="15" customHeight="1" s="87">
      <c r="A4" s="104" t="inlineStr">
        <is>
          <t>Dueño:</t>
        </is>
      </c>
      <c r="B4" s="128" t="inlineStr">
        <is>
          <t>R. Castillo</t>
        </is>
      </c>
      <c r="D4" s="104" t="inlineStr">
        <is>
          <t>Equipo:</t>
        </is>
      </c>
      <c r="E4" s="127" t="inlineStr">
        <is>
          <t>Pre-Sales, Del - DEX</t>
        </is>
      </c>
    </row>
    <row r="5" ht="15" customHeight="1" s="87">
      <c r="A5" s="104" t="inlineStr">
        <is>
          <t>Meta:</t>
        </is>
      </c>
      <c r="B5" s="129" t="n">
        <v>500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46384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COUNT(A11:A39)</f>
        <v/>
      </c>
      <c r="H8" s="132" t="inlineStr">
        <is>
          <t>Lead →</t>
        </is>
      </c>
      <c r="I8" s="133" t="inlineStr">
        <is>
          <t>L1. Compromisos de asignación firmados (equipos)</t>
        </is>
      </c>
      <c r="J8" s="134" t="n"/>
      <c r="K8" s="133" t="inlineStr">
        <is>
          <t>L2. Demos / POCs activos (Promerica, Disnorte, otros)</t>
        </is>
      </c>
      <c r="L8" s="134" t="n"/>
      <c r="M8" s="133" t="inlineStr">
        <is>
          <t>L3. Presentaciones de oferta Smart User realizadas</t>
        </is>
      </c>
      <c r="N8" s="134" t="n"/>
      <c r="O8" s="133" t="inlineStr">
        <is>
          <t>L4. Equipos cotizados en la semana</t>
        </is>
      </c>
      <c r="P8" s="134" t="n"/>
      <c r="Q8" s="133" t="inlineStr">
        <is>
          <t>L5. Equipos en bodega listos para colocar</t>
        </is>
      </c>
      <c r="R8" s="134" t="n"/>
      <c r="S8" s="133" t="inlineStr">
        <is>
          <t>L6. Clientes nuevos contactados con la oferta</t>
        </is>
      </c>
      <c r="T8" s="134" t="n"/>
      <c r="U8" s="133" t="inlineStr">
        <is>
          <t>L7. % equipos colocados en ≤2 semanas tras firma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5" t="n">
        <v>20</v>
      </c>
      <c r="J9" s="134" t="n"/>
      <c r="K9" s="135" t="n">
        <v>2</v>
      </c>
      <c r="L9" s="134" t="n"/>
      <c r="M9" s="135" t="n">
        <v>3</v>
      </c>
      <c r="N9" s="134" t="n"/>
      <c r="O9" s="135" t="n">
        <v>30</v>
      </c>
      <c r="P9" s="134" t="n"/>
      <c r="Q9" s="135" t="n">
        <v>40</v>
      </c>
      <c r="R9" s="134" t="n"/>
      <c r="S9" s="135" t="n">
        <v>2</v>
      </c>
      <c r="T9" s="134" t="n"/>
      <c r="U9" s="136" t="n">
        <v>1</v>
      </c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 semana</t>
        </is>
      </c>
      <c r="D10" s="91" t="inlineStr">
        <is>
          <t>Real</t>
        </is>
      </c>
      <c r="E10" s="91" t="inlineStr">
        <is>
          <t>Meta acum.</t>
        </is>
      </c>
      <c r="F10" s="91" t="inlineStr">
        <is>
          <t>Real acum.</t>
        </is>
      </c>
      <c r="G10" s="91" t="inlineStr">
        <is>
          <t>% avance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39" t="n">
        <v>17.24137931034483</v>
      </c>
      <c r="D11" s="140" t="n">
        <v>15</v>
      </c>
      <c r="E11" s="139" t="n">
        <v>17.24137931034483</v>
      </c>
      <c r="F11" s="139" t="n">
        <v>15</v>
      </c>
      <c r="G11" s="141" t="n">
        <v>0.8699999999999999</v>
      </c>
      <c r="H11" s="100" t="inlineStr">
        <is>
          <t>Riesgo</t>
        </is>
      </c>
      <c r="I11" s="142" t="n">
        <v>17</v>
      </c>
      <c r="J11" s="143" t="n">
        <v>0.85</v>
      </c>
      <c r="K11" s="142" t="n">
        <v>2</v>
      </c>
      <c r="L11" s="143" t="n">
        <v>1</v>
      </c>
      <c r="M11" s="142" t="n">
        <v>4</v>
      </c>
      <c r="N11" s="143" t="n">
        <v>1.333333333333333</v>
      </c>
      <c r="O11" s="142" t="n">
        <v>29</v>
      </c>
      <c r="P11" s="143" t="n">
        <v>0.9666666666666667</v>
      </c>
      <c r="Q11" s="142" t="n">
        <v>32</v>
      </c>
      <c r="R11" s="143" t="n">
        <v>0.8</v>
      </c>
      <c r="S11" s="142" t="n">
        <v>2</v>
      </c>
      <c r="T11" s="143" t="n">
        <v>1</v>
      </c>
      <c r="U11" s="144" t="n">
        <v>1</v>
      </c>
      <c r="V11" s="143" t="n">
        <v>1</v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46" t="n">
        <v>17.24137931034483</v>
      </c>
      <c r="D12" s="140" t="n">
        <v>22</v>
      </c>
      <c r="E12" s="146" t="n">
        <v>34.48275862068966</v>
      </c>
      <c r="F12" s="146" t="n">
        <v>37</v>
      </c>
      <c r="G12" s="147" t="n">
        <v>1.073</v>
      </c>
      <c r="H12" s="101" t="inlineStr">
        <is>
          <t>En meta</t>
        </is>
      </c>
      <c r="I12" s="142" t="n">
        <v>25</v>
      </c>
      <c r="J12" s="148" t="n">
        <v>1.25</v>
      </c>
      <c r="K12" s="142" t="n">
        <v>2</v>
      </c>
      <c r="L12" s="148" t="n">
        <v>1</v>
      </c>
      <c r="M12" s="142" t="n">
        <v>2</v>
      </c>
      <c r="N12" s="148" t="n">
        <v>0.6666666666666666</v>
      </c>
      <c r="O12" s="142" t="n">
        <v>35</v>
      </c>
      <c r="P12" s="148" t="n">
        <v>1.166666666666667</v>
      </c>
      <c r="Q12" s="142" t="n">
        <v>45</v>
      </c>
      <c r="R12" s="148" t="n">
        <v>1.125</v>
      </c>
      <c r="S12" s="142" t="n">
        <v>3</v>
      </c>
      <c r="T12" s="148" t="n">
        <v>1.5</v>
      </c>
      <c r="U12" s="144" t="n">
        <v>1</v>
      </c>
      <c r="V12" s="148" t="n">
        <v>1</v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39" t="n">
        <v>17.24137931034483</v>
      </c>
      <c r="D13" s="140" t="n">
        <v>18</v>
      </c>
      <c r="E13" s="139" t="n">
        <v>51.72413793103449</v>
      </c>
      <c r="F13" s="139" t="n">
        <v>55</v>
      </c>
      <c r="G13" s="141" t="n">
        <v>1.063333333333333</v>
      </c>
      <c r="H13" s="100" t="inlineStr">
        <is>
          <t>En meta</t>
        </is>
      </c>
      <c r="I13" s="142" t="n">
        <v>21</v>
      </c>
      <c r="J13" s="143" t="n">
        <v>1.05</v>
      </c>
      <c r="K13" s="142" t="n">
        <v>2</v>
      </c>
      <c r="L13" s="143" t="n">
        <v>1</v>
      </c>
      <c r="M13" s="142" t="n">
        <v>5</v>
      </c>
      <c r="N13" s="143" t="n">
        <v>1.666666666666667</v>
      </c>
      <c r="O13" s="142" t="n">
        <v>30</v>
      </c>
      <c r="P13" s="143" t="n">
        <v>1</v>
      </c>
      <c r="Q13" s="142" t="n">
        <v>36</v>
      </c>
      <c r="R13" s="143" t="n">
        <v>0.9</v>
      </c>
      <c r="S13" s="142" t="n">
        <v>2</v>
      </c>
      <c r="T13" s="143" t="n">
        <v>1</v>
      </c>
      <c r="U13" s="144" t="n">
        <v>1</v>
      </c>
      <c r="V13" s="143" t="n">
        <v>1</v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46" t="n">
        <v>17.24137931034483</v>
      </c>
      <c r="D14" s="140" t="n">
        <v>24</v>
      </c>
      <c r="E14" s="146" t="n">
        <v>68.96551724137932</v>
      </c>
      <c r="F14" s="146" t="n">
        <v>79</v>
      </c>
      <c r="G14" s="147" t="n">
        <v>1.1455</v>
      </c>
      <c r="H14" s="101" t="inlineStr">
        <is>
          <t>En meta</t>
        </is>
      </c>
      <c r="I14" s="142" t="n">
        <v>22</v>
      </c>
      <c r="J14" s="148" t="n">
        <v>1.1</v>
      </c>
      <c r="K14" s="142" t="n">
        <v>2</v>
      </c>
      <c r="L14" s="148" t="n">
        <v>1</v>
      </c>
      <c r="M14" s="142" t="n">
        <v>3</v>
      </c>
      <c r="N14" s="148" t="n">
        <v>1</v>
      </c>
      <c r="O14" s="142" t="n">
        <v>33</v>
      </c>
      <c r="P14" s="148" t="n">
        <v>1.1</v>
      </c>
      <c r="Q14" s="142" t="n">
        <v>47</v>
      </c>
      <c r="R14" s="148" t="n">
        <v>1.175</v>
      </c>
      <c r="S14" s="142" t="n">
        <v>2</v>
      </c>
      <c r="T14" s="148" t="n">
        <v>1</v>
      </c>
      <c r="U14" s="144" t="n">
        <v>1</v>
      </c>
      <c r="V14" s="148" t="n">
        <v>1</v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39" t="n">
        <v>17.24137931034483</v>
      </c>
      <c r="D15" s="140" t="n">
        <v>16</v>
      </c>
      <c r="E15" s="139" t="n">
        <v>86.20689655172414</v>
      </c>
      <c r="F15" s="139" t="n">
        <v>95</v>
      </c>
      <c r="G15" s="141" t="n">
        <v>1.102</v>
      </c>
      <c r="H15" s="100" t="inlineStr">
        <is>
          <t>En meta</t>
        </is>
      </c>
      <c r="I15" s="142" t="n">
        <v>15</v>
      </c>
      <c r="J15" s="143" t="n">
        <v>0.75</v>
      </c>
      <c r="K15" s="142" t="n">
        <v>2</v>
      </c>
      <c r="L15" s="143" t="n">
        <v>1</v>
      </c>
      <c r="M15" s="142" t="n">
        <v>2</v>
      </c>
      <c r="N15" s="143" t="n">
        <v>0.6666666666666666</v>
      </c>
      <c r="O15" s="142" t="n">
        <v>31</v>
      </c>
      <c r="P15" s="143" t="n">
        <v>1.033333333333333</v>
      </c>
      <c r="Q15" s="142" t="n">
        <v>31</v>
      </c>
      <c r="R15" s="143" t="n">
        <v>0.775</v>
      </c>
      <c r="S15" s="142" t="n">
        <v>2</v>
      </c>
      <c r="T15" s="143" t="n">
        <v>1</v>
      </c>
      <c r="U15" s="144" t="n">
        <v>1</v>
      </c>
      <c r="V15" s="143" t="n">
        <v>1</v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46" t="n">
        <v>17.24137931034483</v>
      </c>
      <c r="D16" s="140" t="n">
        <v>20</v>
      </c>
      <c r="E16" s="146" t="n">
        <v>103.448275862069</v>
      </c>
      <c r="F16" s="146" t="n">
        <v>115</v>
      </c>
      <c r="G16" s="147" t="n">
        <v>1.111666666666667</v>
      </c>
      <c r="H16" s="101" t="inlineStr">
        <is>
          <t>En meta</t>
        </is>
      </c>
      <c r="I16" s="142" t="n">
        <v>22</v>
      </c>
      <c r="J16" s="148" t="n">
        <v>1.1</v>
      </c>
      <c r="K16" s="142" t="n">
        <v>3</v>
      </c>
      <c r="L16" s="148" t="n">
        <v>1.5</v>
      </c>
      <c r="M16" s="142" t="n">
        <v>3</v>
      </c>
      <c r="N16" s="148" t="n">
        <v>1</v>
      </c>
      <c r="O16" s="142" t="n">
        <v>36</v>
      </c>
      <c r="P16" s="148" t="n">
        <v>1.2</v>
      </c>
      <c r="Q16" s="142" t="n">
        <v>32</v>
      </c>
      <c r="R16" s="148" t="n">
        <v>0.8</v>
      </c>
      <c r="S16" s="142" t="n">
        <v>2</v>
      </c>
      <c r="T16" s="148" t="n">
        <v>1</v>
      </c>
      <c r="U16" s="144" t="n">
        <v>1</v>
      </c>
      <c r="V16" s="148" t="n">
        <v>1</v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39" t="n">
        <v>17.24137931034483</v>
      </c>
      <c r="D17" s="140" t="n">
        <v>25</v>
      </c>
      <c r="E17" s="139" t="n">
        <v>120.6896551724138</v>
      </c>
      <c r="F17" s="139" t="n">
        <v>140</v>
      </c>
      <c r="G17" s="141" t="n">
        <v>1.16</v>
      </c>
      <c r="H17" s="100" t="inlineStr">
        <is>
          <t>En meta</t>
        </is>
      </c>
      <c r="I17" s="142" t="n">
        <v>21</v>
      </c>
      <c r="J17" s="143" t="n">
        <v>1.05</v>
      </c>
      <c r="K17" s="142" t="n">
        <v>2</v>
      </c>
      <c r="L17" s="143" t="n">
        <v>1</v>
      </c>
      <c r="M17" s="142" t="n">
        <v>3</v>
      </c>
      <c r="N17" s="143" t="n">
        <v>1</v>
      </c>
      <c r="O17" s="142" t="n">
        <v>26</v>
      </c>
      <c r="P17" s="143" t="n">
        <v>0.8666666666666667</v>
      </c>
      <c r="Q17" s="142" t="n">
        <v>46</v>
      </c>
      <c r="R17" s="143" t="n">
        <v>1.15</v>
      </c>
      <c r="S17" s="142" t="n">
        <v>2</v>
      </c>
      <c r="T17" s="143" t="n">
        <v>1</v>
      </c>
      <c r="U17" s="144" t="n">
        <v>1</v>
      </c>
      <c r="V17" s="143" t="n">
        <v>1</v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46" t="n">
        <v>17.24137931034483</v>
      </c>
      <c r="D18" s="140" t="n">
        <v>19</v>
      </c>
      <c r="E18" s="146" t="n">
        <v>137.9310344827586</v>
      </c>
      <c r="F18" s="146" t="n">
        <v>159</v>
      </c>
      <c r="G18" s="147" t="n">
        <v>1.15275</v>
      </c>
      <c r="H18" s="101" t="inlineStr">
        <is>
          <t>En meta</t>
        </is>
      </c>
      <c r="I18" s="142" t="n">
        <v>19</v>
      </c>
      <c r="J18" s="148" t="n">
        <v>0.95</v>
      </c>
      <c r="K18" s="142" t="n">
        <v>2</v>
      </c>
      <c r="L18" s="148" t="n">
        <v>1</v>
      </c>
      <c r="M18" s="142" t="n">
        <v>3</v>
      </c>
      <c r="N18" s="148" t="n">
        <v>1</v>
      </c>
      <c r="O18" s="142" t="n">
        <v>37</v>
      </c>
      <c r="P18" s="148" t="n">
        <v>1.233333333333333</v>
      </c>
      <c r="Q18" s="142" t="n">
        <v>38</v>
      </c>
      <c r="R18" s="148" t="n">
        <v>0.95</v>
      </c>
      <c r="S18" s="142" t="n">
        <v>2</v>
      </c>
      <c r="T18" s="148" t="n">
        <v>1</v>
      </c>
      <c r="U18" s="144" t="n">
        <v>1</v>
      </c>
      <c r="V18" s="148" t="n">
        <v>1</v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39" t="n">
        <v>17.24137931034483</v>
      </c>
      <c r="D19" s="140" t="n">
        <v>21</v>
      </c>
      <c r="E19" s="139" t="n">
        <v>155.1724137931035</v>
      </c>
      <c r="F19" s="139" t="n">
        <v>180</v>
      </c>
      <c r="G19" s="141" t="n">
        <v>1.16</v>
      </c>
      <c r="H19" s="100" t="inlineStr">
        <is>
          <t>En meta</t>
        </is>
      </c>
      <c r="I19" s="142" t="n">
        <v>26</v>
      </c>
      <c r="J19" s="143" t="n">
        <v>1.3</v>
      </c>
      <c r="K19" s="142" t="n">
        <v>2</v>
      </c>
      <c r="L19" s="143" t="n">
        <v>1</v>
      </c>
      <c r="M19" s="142" t="n">
        <v>3</v>
      </c>
      <c r="N19" s="143" t="n">
        <v>1</v>
      </c>
      <c r="O19" s="142" t="n">
        <v>27</v>
      </c>
      <c r="P19" s="143" t="n">
        <v>0.9</v>
      </c>
      <c r="Q19" s="142" t="n">
        <v>48</v>
      </c>
      <c r="R19" s="143" t="n">
        <v>1.2</v>
      </c>
      <c r="S19" s="142" t="n">
        <v>2</v>
      </c>
      <c r="T19" s="143" t="n">
        <v>1</v>
      </c>
      <c r="U19" s="144" t="n">
        <v>1</v>
      </c>
      <c r="V19" s="143" t="n">
        <v>1</v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46" t="n">
        <v>17.24137931034483</v>
      </c>
      <c r="D20" s="140" t="n">
        <v>17</v>
      </c>
      <c r="E20" s="146" t="n">
        <v>172.4137931034483</v>
      </c>
      <c r="F20" s="146" t="n">
        <v>197</v>
      </c>
      <c r="G20" s="147" t="n">
        <v>1.1426</v>
      </c>
      <c r="H20" s="101" t="inlineStr">
        <is>
          <t>En meta</t>
        </is>
      </c>
      <c r="I20" s="142" t="n">
        <v>20</v>
      </c>
      <c r="J20" s="148" t="n">
        <v>1</v>
      </c>
      <c r="K20" s="142" t="n">
        <v>2</v>
      </c>
      <c r="L20" s="148" t="n">
        <v>1</v>
      </c>
      <c r="M20" s="142" t="n">
        <v>3</v>
      </c>
      <c r="N20" s="148" t="n">
        <v>1</v>
      </c>
      <c r="O20" s="142" t="n">
        <v>33</v>
      </c>
      <c r="P20" s="148" t="n">
        <v>1.1</v>
      </c>
      <c r="Q20" s="142" t="n">
        <v>44</v>
      </c>
      <c r="R20" s="148" t="n">
        <v>1.1</v>
      </c>
      <c r="S20" s="142" t="n">
        <v>2</v>
      </c>
      <c r="T20" s="148" t="n">
        <v>1</v>
      </c>
      <c r="U20" s="144" t="n">
        <v>1</v>
      </c>
      <c r="V20" s="148" t="n">
        <v>1</v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39" t="n">
        <v>17.24137931034483</v>
      </c>
      <c r="D21" s="140" t="n">
        <v>23</v>
      </c>
      <c r="E21" s="139" t="n">
        <v>189.6551724137931</v>
      </c>
      <c r="F21" s="139" t="n">
        <v>220</v>
      </c>
      <c r="G21" s="141" t="n">
        <v>1.16</v>
      </c>
      <c r="H21" s="100" t="inlineStr">
        <is>
          <t>En meta</t>
        </is>
      </c>
      <c r="I21" s="142" t="n">
        <v>17</v>
      </c>
      <c r="J21" s="143" t="n">
        <v>0.85</v>
      </c>
      <c r="K21" s="142" t="n">
        <v>2</v>
      </c>
      <c r="L21" s="143" t="n">
        <v>1</v>
      </c>
      <c r="M21" s="142" t="n">
        <v>3</v>
      </c>
      <c r="N21" s="143" t="n">
        <v>1</v>
      </c>
      <c r="O21" s="142" t="n">
        <v>40</v>
      </c>
      <c r="P21" s="143" t="n">
        <v>1.333333333333333</v>
      </c>
      <c r="Q21" s="142" t="n">
        <v>49</v>
      </c>
      <c r="R21" s="143" t="n">
        <v>1.225</v>
      </c>
      <c r="S21" s="142" t="n">
        <v>2</v>
      </c>
      <c r="T21" s="143" t="n">
        <v>1</v>
      </c>
      <c r="U21" s="144" t="n">
        <v>1</v>
      </c>
      <c r="V21" s="143" t="n">
        <v>1</v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46" t="n">
        <v>17.24137931034483</v>
      </c>
      <c r="D22" s="140" t="n">
        <v>20</v>
      </c>
      <c r="E22" s="146" t="n">
        <v>206.8965517241379</v>
      </c>
      <c r="F22" s="146" t="n">
        <v>240</v>
      </c>
      <c r="G22" s="147" t="n">
        <v>1.16</v>
      </c>
      <c r="H22" s="101" t="inlineStr">
        <is>
          <t>En meta</t>
        </is>
      </c>
      <c r="I22" s="142" t="n">
        <v>24</v>
      </c>
      <c r="J22" s="148" t="n">
        <v>1.2</v>
      </c>
      <c r="K22" s="142" t="n">
        <v>2</v>
      </c>
      <c r="L22" s="148" t="n">
        <v>1</v>
      </c>
      <c r="M22" s="142" t="n">
        <v>4</v>
      </c>
      <c r="N22" s="148" t="n">
        <v>1.333333333333333</v>
      </c>
      <c r="O22" s="142" t="n">
        <v>41</v>
      </c>
      <c r="P22" s="148" t="n">
        <v>1.366666666666667</v>
      </c>
      <c r="Q22" s="142" t="n">
        <v>40</v>
      </c>
      <c r="R22" s="148" t="n">
        <v>1</v>
      </c>
      <c r="S22" s="142" t="n">
        <v>2</v>
      </c>
      <c r="T22" s="148" t="n">
        <v>1</v>
      </c>
      <c r="U22" s="144" t="n">
        <v>1</v>
      </c>
      <c r="V22" s="148" t="n">
        <v>1</v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39" t="n">
        <v>17.24137931034483</v>
      </c>
      <c r="D23" s="140" t="n"/>
      <c r="E23" s="139" t="n">
        <v>224.1379310344828</v>
      </c>
      <c r="F23" s="139" t="n">
        <v>240</v>
      </c>
      <c r="G23" s="141" t="n">
        <v>1.070769230769231</v>
      </c>
      <c r="H23" s="100" t="inlineStr">
        <is>
          <t>En meta</t>
        </is>
      </c>
      <c r="I23" s="142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4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46" t="n">
        <v>17.24137931034483</v>
      </c>
      <c r="D24" s="140" t="n"/>
      <c r="E24" s="146" t="n">
        <v>241.3793103448276</v>
      </c>
      <c r="F24" s="146" t="n">
        <v>240</v>
      </c>
      <c r="G24" s="147" t="n">
        <v>0.9942857142857143</v>
      </c>
      <c r="H24" s="101" t="inlineStr">
        <is>
          <t>En meta</t>
        </is>
      </c>
      <c r="I24" s="142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4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39" t="n">
        <v>17.24137931034483</v>
      </c>
      <c r="D25" s="140" t="n"/>
      <c r="E25" s="139" t="n">
        <v>258.6206896551724</v>
      </c>
      <c r="F25" s="139" t="n">
        <v>240</v>
      </c>
      <c r="G25" s="141" t="n">
        <v>0.9279999999999999</v>
      </c>
      <c r="H25" s="100" t="inlineStr">
        <is>
          <t>Riesgo</t>
        </is>
      </c>
      <c r="I25" s="142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4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46" t="n">
        <v>17.24137931034483</v>
      </c>
      <c r="D26" s="140" t="n"/>
      <c r="E26" s="146" t="n">
        <v>275.8620689655173</v>
      </c>
      <c r="F26" s="146" t="n">
        <v>240</v>
      </c>
      <c r="G26" s="147" t="n">
        <v>0.8699999999999999</v>
      </c>
      <c r="H26" s="101" t="inlineStr">
        <is>
          <t>Riesgo</t>
        </is>
      </c>
      <c r="I26" s="142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4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39" t="n">
        <v>17.24137931034483</v>
      </c>
      <c r="D27" s="140" t="n"/>
      <c r="E27" s="139" t="n">
        <v>293.1034482758621</v>
      </c>
      <c r="F27" s="139" t="n">
        <v>240</v>
      </c>
      <c r="G27" s="141" t="n">
        <v>0.8188235294117646</v>
      </c>
      <c r="H27" s="100" t="inlineStr">
        <is>
          <t>Riesgo</t>
        </is>
      </c>
      <c r="I27" s="142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4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46" t="n">
        <v>17.24137931034483</v>
      </c>
      <c r="D28" s="140" t="n"/>
      <c r="E28" s="146" t="n">
        <v>310.3448275862069</v>
      </c>
      <c r="F28" s="146" t="n">
        <v>240</v>
      </c>
      <c r="G28" s="147" t="n">
        <v>0.7733333333333333</v>
      </c>
      <c r="H28" s="101" t="inlineStr">
        <is>
          <t>Atrasado</t>
        </is>
      </c>
      <c r="I28" s="142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4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39" t="n">
        <v>17.24137931034483</v>
      </c>
      <c r="D29" s="140" t="n"/>
      <c r="E29" s="139" t="n">
        <v>327.5862068965517</v>
      </c>
      <c r="F29" s="139" t="n">
        <v>240</v>
      </c>
      <c r="G29" s="141" t="n">
        <v>0.7326315789473684</v>
      </c>
      <c r="H29" s="100" t="inlineStr">
        <is>
          <t>Atrasado</t>
        </is>
      </c>
      <c r="I29" s="142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2" t="n"/>
      <c r="R29" s="143">
        <f>IF(Q29="","",IF($Q$9="","",IF($Q$9=0,"",Q29/$Q$9)))</f>
        <v/>
      </c>
      <c r="S29" s="142" t="n"/>
      <c r="T29" s="143">
        <f>IF(S29="","",IF($S$9="","",IF($S$9=0,"",S29/$S$9)))</f>
        <v/>
      </c>
      <c r="U29" s="144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46" t="n">
        <v>17.24137931034483</v>
      </c>
      <c r="D30" s="140" t="n"/>
      <c r="E30" s="146" t="n">
        <v>344.8275862068966</v>
      </c>
      <c r="F30" s="146" t="n">
        <v>240</v>
      </c>
      <c r="G30" s="147" t="n">
        <v>0.696</v>
      </c>
      <c r="H30" s="101" t="inlineStr">
        <is>
          <t>Atrasado</t>
        </is>
      </c>
      <c r="I30" s="142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2" t="n"/>
      <c r="R30" s="148">
        <f>IF(Q30="","",IF($Q$9="","",IF($Q$9=0,"",Q30/$Q$9)))</f>
        <v/>
      </c>
      <c r="S30" s="142" t="n"/>
      <c r="T30" s="148">
        <f>IF(S30="","",IF($S$9="","",IF($S$9=0,"",S30/$S$9)))</f>
        <v/>
      </c>
      <c r="U30" s="144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39" t="n">
        <v>17.24137931034483</v>
      </c>
      <c r="D31" s="140" t="n"/>
      <c r="E31" s="139" t="n">
        <v>362.0689655172414</v>
      </c>
      <c r="F31" s="139" t="n">
        <v>240</v>
      </c>
      <c r="G31" s="141" t="n">
        <v>0.6628571428571428</v>
      </c>
      <c r="H31" s="100" t="inlineStr">
        <is>
          <t>Atrasado</t>
        </is>
      </c>
      <c r="I31" s="142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2" t="n"/>
      <c r="R31" s="143">
        <f>IF(Q31="","",IF($Q$9="","",IF($Q$9=0,"",Q31/$Q$9)))</f>
        <v/>
      </c>
      <c r="S31" s="142" t="n"/>
      <c r="T31" s="143">
        <f>IF(S31="","",IF($S$9="","",IF($S$9=0,"",S31/$S$9)))</f>
        <v/>
      </c>
      <c r="U31" s="144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46" t="n">
        <v>17.24137931034483</v>
      </c>
      <c r="D32" s="140" t="n"/>
      <c r="E32" s="146" t="n">
        <v>379.3103448275862</v>
      </c>
      <c r="F32" s="146" t="n">
        <v>240</v>
      </c>
      <c r="G32" s="147" t="n">
        <v>0.6327272727272727</v>
      </c>
      <c r="H32" s="101" t="inlineStr">
        <is>
          <t>Atrasado</t>
        </is>
      </c>
      <c r="I32" s="142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2" t="n"/>
      <c r="R32" s="148">
        <f>IF(Q32="","",IF($Q$9="","",IF($Q$9=0,"",Q32/$Q$9)))</f>
        <v/>
      </c>
      <c r="S32" s="142" t="n"/>
      <c r="T32" s="148">
        <f>IF(S32="","",IF($S$9="","",IF($S$9=0,"",S32/$S$9)))</f>
        <v/>
      </c>
      <c r="U32" s="144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39" t="n">
        <v>17.24137931034483</v>
      </c>
      <c r="D33" s="140" t="n"/>
      <c r="E33" s="139" t="n">
        <v>396.551724137931</v>
      </c>
      <c r="F33" s="139" t="n">
        <v>240</v>
      </c>
      <c r="G33" s="141" t="n">
        <v>0.6052173913043478</v>
      </c>
      <c r="H33" s="100" t="inlineStr">
        <is>
          <t>Atrasado</t>
        </is>
      </c>
      <c r="I33" s="142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2" t="n"/>
      <c r="R33" s="143">
        <f>IF(Q33="","",IF($Q$9="","",IF($Q$9=0,"",Q33/$Q$9)))</f>
        <v/>
      </c>
      <c r="S33" s="142" t="n"/>
      <c r="T33" s="143">
        <f>IF(S33="","",IF($S$9="","",IF($S$9=0,"",S33/$S$9)))</f>
        <v/>
      </c>
      <c r="U33" s="144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46" t="n">
        <v>17.24137931034483</v>
      </c>
      <c r="D34" s="140" t="n"/>
      <c r="E34" s="146" t="n">
        <v>413.7931034482759</v>
      </c>
      <c r="F34" s="146" t="n">
        <v>240</v>
      </c>
      <c r="G34" s="147" t="n">
        <v>0.58</v>
      </c>
      <c r="H34" s="101" t="inlineStr">
        <is>
          <t>Atrasado</t>
        </is>
      </c>
      <c r="I34" s="142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2" t="n"/>
      <c r="R34" s="148">
        <f>IF(Q34="","",IF($Q$9="","",IF($Q$9=0,"",Q34/$Q$9)))</f>
        <v/>
      </c>
      <c r="S34" s="142" t="n"/>
      <c r="T34" s="148">
        <f>IF(S34="","",IF($S$9="","",IF($S$9=0,"",S34/$S$9)))</f>
        <v/>
      </c>
      <c r="U34" s="144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39" t="n">
        <v>17.24137931034483</v>
      </c>
      <c r="D35" s="140" t="n"/>
      <c r="E35" s="139" t="n">
        <v>431.0344827586207</v>
      </c>
      <c r="F35" s="139" t="n">
        <v>240</v>
      </c>
      <c r="G35" s="141" t="n">
        <v>0.5568</v>
      </c>
      <c r="H35" s="100" t="inlineStr">
        <is>
          <t>Atrasado</t>
        </is>
      </c>
      <c r="I35" s="142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2" t="n"/>
      <c r="R35" s="143">
        <f>IF(Q35="","",IF($Q$9="","",IF($Q$9=0,"",Q35/$Q$9)))</f>
        <v/>
      </c>
      <c r="S35" s="142" t="n"/>
      <c r="T35" s="143">
        <f>IF(S35="","",IF($S$9="","",IF($S$9=0,"",S35/$S$9)))</f>
        <v/>
      </c>
      <c r="U35" s="144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46" t="n">
        <v>17.24137931034483</v>
      </c>
      <c r="D36" s="140" t="n"/>
      <c r="E36" s="146" t="n">
        <v>448.2758620689655</v>
      </c>
      <c r="F36" s="146" t="n">
        <v>240</v>
      </c>
      <c r="G36" s="147" t="n">
        <v>0.5353846153846153</v>
      </c>
      <c r="H36" s="101" t="inlineStr">
        <is>
          <t>Atrasado</t>
        </is>
      </c>
      <c r="I36" s="142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2" t="n"/>
      <c r="R36" s="148">
        <f>IF(Q36="","",IF($Q$9="","",IF($Q$9=0,"",Q36/$Q$9)))</f>
        <v/>
      </c>
      <c r="S36" s="142" t="n"/>
      <c r="T36" s="148">
        <f>IF(S36="","",IF($S$9="","",IF($S$9=0,"",S36/$S$9)))</f>
        <v/>
      </c>
      <c r="U36" s="144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39" t="n">
        <v>17.24137931034483</v>
      </c>
      <c r="D37" s="140" t="n"/>
      <c r="E37" s="139" t="n">
        <v>465.5172413793103</v>
      </c>
      <c r="F37" s="139" t="n">
        <v>240</v>
      </c>
      <c r="G37" s="141" t="n">
        <v>0.5155555555555555</v>
      </c>
      <c r="H37" s="100" t="inlineStr">
        <is>
          <t>Atrasado</t>
        </is>
      </c>
      <c r="I37" s="142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2" t="n"/>
      <c r="R37" s="143">
        <f>IF(Q37="","",IF($Q$9="","",IF($Q$9=0,"",Q37/$Q$9)))</f>
        <v/>
      </c>
      <c r="S37" s="142" t="n"/>
      <c r="T37" s="143">
        <f>IF(S37="","",IF($S$9="","",IF($S$9=0,"",S37/$S$9)))</f>
        <v/>
      </c>
      <c r="U37" s="144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46" t="n">
        <v>17.24137931034483</v>
      </c>
      <c r="D38" s="140" t="n"/>
      <c r="E38" s="146" t="n">
        <v>482.7586206896552</v>
      </c>
      <c r="F38" s="146" t="n">
        <v>240</v>
      </c>
      <c r="G38" s="147" t="n">
        <v>0.4971428571428572</v>
      </c>
      <c r="H38" s="101" t="inlineStr">
        <is>
          <t>Atrasado</t>
        </is>
      </c>
      <c r="I38" s="142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2" t="n"/>
      <c r="R38" s="148">
        <f>IF(Q38="","",IF($Q$9="","",IF($Q$9=0,"",Q38/$Q$9)))</f>
        <v/>
      </c>
      <c r="S38" s="142" t="n"/>
      <c r="T38" s="148">
        <f>IF(S38="","",IF($S$9="","",IF($S$9=0,"",S38/$S$9)))</f>
        <v/>
      </c>
      <c r="U38" s="144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39" t="n">
        <v>17.24137931034483</v>
      </c>
      <c r="D39" s="140" t="n"/>
      <c r="E39" s="139" t="n">
        <v>500</v>
      </c>
      <c r="F39" s="139" t="n">
        <v>240</v>
      </c>
      <c r="G39" s="141" t="n">
        <v>0.48</v>
      </c>
      <c r="H39" s="100" t="inlineStr">
        <is>
          <t>Atrasado</t>
        </is>
      </c>
      <c r="I39" s="142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2" t="n"/>
      <c r="R39" s="143">
        <f>IF(Q39="","",IF($Q$9="","",IF($Q$9=0,"",Q39/$Q$9)))</f>
        <v/>
      </c>
      <c r="S39" s="142" t="n"/>
      <c r="T39" s="143">
        <f>IF(S39="","",IF($S$9="","",IF($S$9=0,"",S39/$S$9)))</f>
        <v/>
      </c>
      <c r="U39" s="144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39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2 — Lograr un Monthly Value de $X en advisory en el primer trimestre de 2027</t>
        </is>
      </c>
    </row>
    <row r="2" ht="15" customHeight="1" s="87">
      <c r="A2" s="104" t="inlineStr">
        <is>
          <t>Indicador lag:</t>
        </is>
      </c>
      <c r="B2" s="127" t="inlineStr">
        <is>
          <t>MV de horas advisory de ingenieros locales vendidas (USD acumulado). Costo fijo ya cubierto = mayor utilidad.</t>
        </is>
      </c>
    </row>
    <row r="3" ht="15" customHeight="1" s="87">
      <c r="A3" s="104" t="inlineStr">
        <is>
          <t>De X a Y:</t>
        </is>
      </c>
      <c r="B3" s="127" t="inlineStr">
        <is>
          <t>De $0 a la meta de MV advisory, antes del 31 de marzo de 2027. (Definir $X en la celda Meta)</t>
        </is>
      </c>
    </row>
    <row r="4" ht="15" customHeight="1" s="87">
      <c r="A4" s="104" t="inlineStr">
        <is>
          <t>Dueño:</t>
        </is>
      </c>
      <c r="B4" s="128" t="inlineStr">
        <is>
          <t>M. Aguilar</t>
        </is>
      </c>
      <c r="D4" s="104" t="inlineStr">
        <is>
          <t>Equipo:</t>
        </is>
      </c>
      <c r="E4" s="127" t="inlineStr">
        <is>
          <t>Ventas, Customer Success, Pre-Sales, Del - TSS</t>
        </is>
      </c>
    </row>
    <row r="5" ht="15" customHeight="1" s="87">
      <c r="A5" s="104" t="inlineStr">
        <is>
          <t>Meta:</t>
        </is>
      </c>
      <c r="B5" s="105" t="n">
        <v>10000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46475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COUNT(A11:A52)</f>
        <v/>
      </c>
      <c r="H8" s="132" t="inlineStr">
        <is>
          <t>Lead →</t>
        </is>
      </c>
      <c r="I8" s="133" t="inlineStr">
        <is>
          <t>L1. Propuestas de advisory presentadas</t>
        </is>
      </c>
      <c r="J8" s="134" t="n"/>
      <c r="K8" s="133" t="inlineStr">
        <is>
          <t>L2. Horas advisory cotizadas</t>
        </is>
      </c>
      <c r="L8" s="134" t="n"/>
      <c r="M8" s="133" t="inlineStr">
        <is>
          <t>L3. Reuniones de venta consultiva con clientes</t>
        </is>
      </c>
      <c r="N8" s="134" t="n"/>
      <c r="O8" s="133" t="inlineStr">
        <is>
          <t>L4. Assessments / health checks ofrecidos</t>
        </is>
      </c>
      <c r="P8" s="134" t="n"/>
      <c r="Q8" s="133" t="inlineStr">
        <is>
          <t>L5. % utilización de ingenieros locales en advisory</t>
        </is>
      </c>
      <c r="R8" s="134" t="n"/>
      <c r="S8" s="133" t="inlineStr">
        <is>
          <t>L6. Opps de advisory activas en pipeline</t>
        </is>
      </c>
      <c r="T8" s="134" t="n"/>
      <c r="U8" s="133" t="inlineStr">
        <is>
          <t>L7. Contratos advisory firmados en la semana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5" t="n">
        <v>3</v>
      </c>
      <c r="J9" s="134" t="n"/>
      <c r="K9" s="135" t="n">
        <v>40</v>
      </c>
      <c r="L9" s="134" t="n"/>
      <c r="M9" s="135" t="n">
        <v>4</v>
      </c>
      <c r="N9" s="134" t="n"/>
      <c r="O9" s="135" t="n">
        <v>2</v>
      </c>
      <c r="P9" s="134" t="n"/>
      <c r="Q9" s="136" t="n">
        <v>0.2</v>
      </c>
      <c r="R9" s="134" t="n"/>
      <c r="S9" s="135" t="n">
        <v>6</v>
      </c>
      <c r="T9" s="134" t="n"/>
      <c r="U9" s="135" t="n">
        <v>1</v>
      </c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 semana</t>
        </is>
      </c>
      <c r="D10" s="91" t="inlineStr">
        <is>
          <t>Real</t>
        </is>
      </c>
      <c r="E10" s="91" t="inlineStr">
        <is>
          <t>Meta acum.</t>
        </is>
      </c>
      <c r="F10" s="91" t="inlineStr">
        <is>
          <t>Real acum.</t>
        </is>
      </c>
      <c r="G10" s="91" t="inlineStr">
        <is>
          <t>% avance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49" t="n">
        <v>238.0952380952381</v>
      </c>
      <c r="D11" s="140" t="n">
        <v>180</v>
      </c>
      <c r="E11" s="149" t="n">
        <v>238.0952380952381</v>
      </c>
      <c r="F11" s="149" t="n">
        <v>180</v>
      </c>
      <c r="G11" s="141" t="n">
        <v>0.756</v>
      </c>
      <c r="H11" s="100" t="inlineStr">
        <is>
          <t>Atrasado</t>
        </is>
      </c>
      <c r="I11" s="142" t="n">
        <v>3</v>
      </c>
      <c r="J11" s="143" t="n">
        <v>1</v>
      </c>
      <c r="K11" s="142" t="n">
        <v>42</v>
      </c>
      <c r="L11" s="143" t="n">
        <v>1.05</v>
      </c>
      <c r="M11" s="142" t="n">
        <v>4</v>
      </c>
      <c r="N11" s="143" t="n">
        <v>1</v>
      </c>
      <c r="O11" s="142" t="n">
        <v>1</v>
      </c>
      <c r="P11" s="143" t="n">
        <v>0.5</v>
      </c>
      <c r="Q11" s="144" t="n">
        <v>0.26</v>
      </c>
      <c r="R11" s="143" t="n">
        <v>1.3</v>
      </c>
      <c r="S11" s="142" t="n">
        <v>7</v>
      </c>
      <c r="T11" s="143" t="n">
        <v>1.166666666666667</v>
      </c>
      <c r="U11" s="142" t="n">
        <v>1</v>
      </c>
      <c r="V11" s="143" t="n">
        <v>1</v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50" t="n">
        <v>238.0952380952381</v>
      </c>
      <c r="D12" s="140" t="n">
        <v>220</v>
      </c>
      <c r="E12" s="150" t="n">
        <v>476.1904761904762</v>
      </c>
      <c r="F12" s="150" t="n">
        <v>400</v>
      </c>
      <c r="G12" s="147" t="n">
        <v>0.84</v>
      </c>
      <c r="H12" s="101" t="inlineStr">
        <is>
          <t>Riesgo</t>
        </is>
      </c>
      <c r="I12" s="142" t="n">
        <v>3</v>
      </c>
      <c r="J12" s="148" t="n">
        <v>1</v>
      </c>
      <c r="K12" s="142" t="n">
        <v>36</v>
      </c>
      <c r="L12" s="148" t="n">
        <v>0.9</v>
      </c>
      <c r="M12" s="142" t="n">
        <v>3</v>
      </c>
      <c r="N12" s="148" t="n">
        <v>0.75</v>
      </c>
      <c r="O12" s="142" t="n">
        <v>2</v>
      </c>
      <c r="P12" s="148" t="n">
        <v>1</v>
      </c>
      <c r="Q12" s="144" t="n">
        <v>0.19</v>
      </c>
      <c r="R12" s="148" t="n">
        <v>0.95</v>
      </c>
      <c r="S12" s="142" t="n">
        <v>6</v>
      </c>
      <c r="T12" s="148" t="n">
        <v>1</v>
      </c>
      <c r="U12" s="142" t="n">
        <v>1</v>
      </c>
      <c r="V12" s="148" t="n">
        <v>1</v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49" t="n">
        <v>238.0952380952381</v>
      </c>
      <c r="D13" s="140" t="n">
        <v>150</v>
      </c>
      <c r="E13" s="149" t="n">
        <v>714.2857142857143</v>
      </c>
      <c r="F13" s="149" t="n">
        <v>550</v>
      </c>
      <c r="G13" s="141" t="n">
        <v>0.7699999999999999</v>
      </c>
      <c r="H13" s="100" t="inlineStr">
        <is>
          <t>Atrasado</t>
        </is>
      </c>
      <c r="I13" s="142" t="n">
        <v>3</v>
      </c>
      <c r="J13" s="143" t="n">
        <v>1</v>
      </c>
      <c r="K13" s="142" t="n">
        <v>45</v>
      </c>
      <c r="L13" s="143" t="n">
        <v>1.125</v>
      </c>
      <c r="M13" s="142" t="n">
        <v>3</v>
      </c>
      <c r="N13" s="143" t="n">
        <v>0.75</v>
      </c>
      <c r="O13" s="142" t="n">
        <v>2</v>
      </c>
      <c r="P13" s="143" t="n">
        <v>1</v>
      </c>
      <c r="Q13" s="144" t="n">
        <v>0.22</v>
      </c>
      <c r="R13" s="143" t="n">
        <v>1.1</v>
      </c>
      <c r="S13" s="142" t="n">
        <v>5</v>
      </c>
      <c r="T13" s="143" t="n">
        <v>0.8333333333333334</v>
      </c>
      <c r="U13" s="142" t="n">
        <v>1</v>
      </c>
      <c r="V13" s="143" t="n">
        <v>1</v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50" t="n">
        <v>238.0952380952381</v>
      </c>
      <c r="D14" s="140" t="n">
        <v>250</v>
      </c>
      <c r="E14" s="150" t="n">
        <v>952.3809523809524</v>
      </c>
      <c r="F14" s="150" t="n">
        <v>800</v>
      </c>
      <c r="G14" s="147" t="n">
        <v>0.84</v>
      </c>
      <c r="H14" s="101" t="inlineStr">
        <is>
          <t>Riesgo</t>
        </is>
      </c>
      <c r="I14" s="142" t="n">
        <v>2</v>
      </c>
      <c r="J14" s="148" t="n">
        <v>0.6666666666666666</v>
      </c>
      <c r="K14" s="142" t="n">
        <v>37</v>
      </c>
      <c r="L14" s="148" t="n">
        <v>0.925</v>
      </c>
      <c r="M14" s="142" t="n">
        <v>4</v>
      </c>
      <c r="N14" s="148" t="n">
        <v>1</v>
      </c>
      <c r="O14" s="142" t="n">
        <v>2</v>
      </c>
      <c r="P14" s="148" t="n">
        <v>1</v>
      </c>
      <c r="Q14" s="144" t="n">
        <v>0.14</v>
      </c>
      <c r="R14" s="148" t="n">
        <v>0.7000000000000001</v>
      </c>
      <c r="S14" s="142" t="n">
        <v>5</v>
      </c>
      <c r="T14" s="148" t="n">
        <v>0.8333333333333334</v>
      </c>
      <c r="U14" s="142" t="n">
        <v>1</v>
      </c>
      <c r="V14" s="148" t="n">
        <v>1</v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49" t="n">
        <v>238.0952380952381</v>
      </c>
      <c r="D15" s="140" t="n">
        <v>200</v>
      </c>
      <c r="E15" s="149" t="n">
        <v>1190.476190476191</v>
      </c>
      <c r="F15" s="149" t="n">
        <v>1000</v>
      </c>
      <c r="G15" s="141" t="n">
        <v>0.84</v>
      </c>
      <c r="H15" s="100" t="inlineStr">
        <is>
          <t>Riesgo</t>
        </is>
      </c>
      <c r="I15" s="142" t="n">
        <v>3</v>
      </c>
      <c r="J15" s="143" t="n">
        <v>1</v>
      </c>
      <c r="K15" s="142" t="n">
        <v>18</v>
      </c>
      <c r="L15" s="143" t="n">
        <v>0.45</v>
      </c>
      <c r="M15" s="142" t="n">
        <v>4</v>
      </c>
      <c r="N15" s="143" t="n">
        <v>1</v>
      </c>
      <c r="O15" s="142" t="n">
        <v>3</v>
      </c>
      <c r="P15" s="143" t="n">
        <v>1.5</v>
      </c>
      <c r="Q15" s="144" t="n">
        <v>0.21</v>
      </c>
      <c r="R15" s="143" t="n">
        <v>1.05</v>
      </c>
      <c r="S15" s="142" t="n">
        <v>4</v>
      </c>
      <c r="T15" s="143" t="n">
        <v>0.6666666666666666</v>
      </c>
      <c r="U15" s="142" t="n">
        <v>1</v>
      </c>
      <c r="V15" s="143" t="n">
        <v>1</v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50" t="n">
        <v>238.0952380952381</v>
      </c>
      <c r="D16" s="140" t="n">
        <v>160</v>
      </c>
      <c r="E16" s="150" t="n">
        <v>1428.571428571429</v>
      </c>
      <c r="F16" s="150" t="n">
        <v>1160</v>
      </c>
      <c r="G16" s="147" t="n">
        <v>0.8119999999999999</v>
      </c>
      <c r="H16" s="101" t="inlineStr">
        <is>
          <t>Riesgo</t>
        </is>
      </c>
      <c r="I16" s="142" t="n">
        <v>3</v>
      </c>
      <c r="J16" s="148" t="n">
        <v>1</v>
      </c>
      <c r="K16" s="142" t="n">
        <v>53</v>
      </c>
      <c r="L16" s="148" t="n">
        <v>1.325</v>
      </c>
      <c r="M16" s="142" t="n">
        <v>4</v>
      </c>
      <c r="N16" s="148" t="n">
        <v>1</v>
      </c>
      <c r="O16" s="142" t="n">
        <v>2</v>
      </c>
      <c r="P16" s="148" t="n">
        <v>1</v>
      </c>
      <c r="Q16" s="144" t="n">
        <v>0.23</v>
      </c>
      <c r="R16" s="148" t="n">
        <v>1.15</v>
      </c>
      <c r="S16" s="142" t="n">
        <v>5</v>
      </c>
      <c r="T16" s="148" t="n">
        <v>0.8333333333333334</v>
      </c>
      <c r="U16" s="142" t="n">
        <v>1</v>
      </c>
      <c r="V16" s="148" t="n">
        <v>1</v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49" t="n">
        <v>238.0952380952381</v>
      </c>
      <c r="D17" s="140" t="n">
        <v>240</v>
      </c>
      <c r="E17" s="149" t="n">
        <v>1666.666666666667</v>
      </c>
      <c r="F17" s="149" t="n">
        <v>1400</v>
      </c>
      <c r="G17" s="141" t="n">
        <v>0.84</v>
      </c>
      <c r="H17" s="100" t="inlineStr">
        <is>
          <t>Riesgo</t>
        </is>
      </c>
      <c r="I17" s="142" t="n">
        <v>2</v>
      </c>
      <c r="J17" s="143" t="n">
        <v>0.6666666666666666</v>
      </c>
      <c r="K17" s="142" t="n">
        <v>32</v>
      </c>
      <c r="L17" s="143" t="n">
        <v>0.8</v>
      </c>
      <c r="M17" s="142" t="n">
        <v>4</v>
      </c>
      <c r="N17" s="143" t="n">
        <v>1</v>
      </c>
      <c r="O17" s="142" t="n">
        <v>2</v>
      </c>
      <c r="P17" s="143" t="n">
        <v>1</v>
      </c>
      <c r="Q17" s="144" t="n">
        <v>0.2</v>
      </c>
      <c r="R17" s="143" t="n">
        <v>1</v>
      </c>
      <c r="S17" s="142" t="n">
        <v>6</v>
      </c>
      <c r="T17" s="143" t="n">
        <v>1</v>
      </c>
      <c r="U17" s="142" t="n">
        <v>1</v>
      </c>
      <c r="V17" s="143" t="n">
        <v>1</v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50" t="n">
        <v>238.0952380952381</v>
      </c>
      <c r="D18" s="140" t="n">
        <v>210</v>
      </c>
      <c r="E18" s="150" t="n">
        <v>1904.761904761905</v>
      </c>
      <c r="F18" s="150" t="n">
        <v>1610</v>
      </c>
      <c r="G18" s="147" t="n">
        <v>0.8452499999999999</v>
      </c>
      <c r="H18" s="101" t="inlineStr">
        <is>
          <t>Riesgo</t>
        </is>
      </c>
      <c r="I18" s="142" t="n">
        <v>2</v>
      </c>
      <c r="J18" s="148" t="n">
        <v>0.6666666666666666</v>
      </c>
      <c r="K18" s="142" t="n">
        <v>31</v>
      </c>
      <c r="L18" s="148" t="n">
        <v>0.775</v>
      </c>
      <c r="M18" s="142" t="n">
        <v>3</v>
      </c>
      <c r="N18" s="148" t="n">
        <v>0.75</v>
      </c>
      <c r="O18" s="142" t="n">
        <v>2</v>
      </c>
      <c r="P18" s="148" t="n">
        <v>1</v>
      </c>
      <c r="Q18" s="144" t="n">
        <v>0.16</v>
      </c>
      <c r="R18" s="148" t="n">
        <v>0.7999999999999999</v>
      </c>
      <c r="S18" s="142" t="n">
        <v>6</v>
      </c>
      <c r="T18" s="148" t="n">
        <v>1</v>
      </c>
      <c r="U18" s="142" t="n">
        <v>1</v>
      </c>
      <c r="V18" s="148" t="n">
        <v>1</v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49" t="n">
        <v>238.0952380952381</v>
      </c>
      <c r="D19" s="140" t="n">
        <v>190</v>
      </c>
      <c r="E19" s="149" t="n">
        <v>2142.857142857143</v>
      </c>
      <c r="F19" s="149" t="n">
        <v>1800</v>
      </c>
      <c r="G19" s="141" t="n">
        <v>0.8399999999999999</v>
      </c>
      <c r="H19" s="100" t="inlineStr">
        <is>
          <t>Riesgo</t>
        </is>
      </c>
      <c r="I19" s="142" t="n">
        <v>2</v>
      </c>
      <c r="J19" s="143" t="n">
        <v>0.6666666666666666</v>
      </c>
      <c r="K19" s="142" t="n">
        <v>36</v>
      </c>
      <c r="L19" s="143" t="n">
        <v>0.9</v>
      </c>
      <c r="M19" s="142" t="n">
        <v>4</v>
      </c>
      <c r="N19" s="143" t="n">
        <v>1</v>
      </c>
      <c r="O19" s="142" t="n">
        <v>2</v>
      </c>
      <c r="P19" s="143" t="n">
        <v>1</v>
      </c>
      <c r="Q19" s="144" t="n">
        <v>0.16</v>
      </c>
      <c r="R19" s="143" t="n">
        <v>0.7999999999999999</v>
      </c>
      <c r="S19" s="142" t="n">
        <v>5</v>
      </c>
      <c r="T19" s="143" t="n">
        <v>0.8333333333333334</v>
      </c>
      <c r="U19" s="142" t="n">
        <v>1</v>
      </c>
      <c r="V19" s="143" t="n">
        <v>1</v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50" t="n">
        <v>238.0952380952381</v>
      </c>
      <c r="D20" s="140" t="n">
        <v>230</v>
      </c>
      <c r="E20" s="150" t="n">
        <v>2380.952380952381</v>
      </c>
      <c r="F20" s="150" t="n">
        <v>2030</v>
      </c>
      <c r="G20" s="147" t="n">
        <v>0.8525999999999999</v>
      </c>
      <c r="H20" s="101" t="inlineStr">
        <is>
          <t>Riesgo</t>
        </is>
      </c>
      <c r="I20" s="142" t="n">
        <v>4</v>
      </c>
      <c r="J20" s="148" t="n">
        <v>1.333333333333333</v>
      </c>
      <c r="K20" s="142" t="n">
        <v>46</v>
      </c>
      <c r="L20" s="148" t="n">
        <v>1.15</v>
      </c>
      <c r="M20" s="142" t="n">
        <v>3</v>
      </c>
      <c r="N20" s="148" t="n">
        <v>0.75</v>
      </c>
      <c r="O20" s="142" t="n">
        <v>2</v>
      </c>
      <c r="P20" s="148" t="n">
        <v>1</v>
      </c>
      <c r="Q20" s="144" t="n">
        <v>0.13</v>
      </c>
      <c r="R20" s="148" t="n">
        <v>0.65</v>
      </c>
      <c r="S20" s="142" t="n">
        <v>5</v>
      </c>
      <c r="T20" s="148" t="n">
        <v>0.8333333333333334</v>
      </c>
      <c r="U20" s="142" t="n">
        <v>1</v>
      </c>
      <c r="V20" s="148" t="n">
        <v>1</v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49" t="n">
        <v>238.0952380952381</v>
      </c>
      <c r="D21" s="140" t="n">
        <v>200</v>
      </c>
      <c r="E21" s="149" t="n">
        <v>2619.047619047619</v>
      </c>
      <c r="F21" s="149" t="n">
        <v>2230</v>
      </c>
      <c r="G21" s="141" t="n">
        <v>0.8514545454545454</v>
      </c>
      <c r="H21" s="100" t="inlineStr">
        <is>
          <t>Riesgo</t>
        </is>
      </c>
      <c r="I21" s="142" t="n">
        <v>4</v>
      </c>
      <c r="J21" s="143" t="n">
        <v>1.333333333333333</v>
      </c>
      <c r="K21" s="142" t="n">
        <v>37</v>
      </c>
      <c r="L21" s="143" t="n">
        <v>0.925</v>
      </c>
      <c r="M21" s="142" t="n">
        <v>3</v>
      </c>
      <c r="N21" s="143" t="n">
        <v>0.75</v>
      </c>
      <c r="O21" s="142" t="n">
        <v>1</v>
      </c>
      <c r="P21" s="143" t="n">
        <v>0.5</v>
      </c>
      <c r="Q21" s="144" t="n">
        <v>0.23</v>
      </c>
      <c r="R21" s="143" t="n">
        <v>1.15</v>
      </c>
      <c r="S21" s="142" t="n">
        <v>5</v>
      </c>
      <c r="T21" s="143" t="n">
        <v>0.8333333333333334</v>
      </c>
      <c r="U21" s="142" t="n">
        <v>1</v>
      </c>
      <c r="V21" s="143" t="n">
        <v>1</v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50" t="n">
        <v>238.0952380952381</v>
      </c>
      <c r="D22" s="140" t="n">
        <v>210</v>
      </c>
      <c r="E22" s="150" t="n">
        <v>2857.142857142857</v>
      </c>
      <c r="F22" s="150" t="n">
        <v>2440</v>
      </c>
      <c r="G22" s="147" t="n">
        <v>0.854</v>
      </c>
      <c r="H22" s="101" t="inlineStr">
        <is>
          <t>Riesgo</t>
        </is>
      </c>
      <c r="I22" s="142" t="n">
        <v>3</v>
      </c>
      <c r="J22" s="148" t="n">
        <v>1</v>
      </c>
      <c r="K22" s="142" t="n">
        <v>24</v>
      </c>
      <c r="L22" s="148" t="n">
        <v>0.6</v>
      </c>
      <c r="M22" s="142" t="n">
        <v>6</v>
      </c>
      <c r="N22" s="148" t="n">
        <v>1.5</v>
      </c>
      <c r="O22" s="142" t="n">
        <v>2</v>
      </c>
      <c r="P22" s="148" t="n">
        <v>1</v>
      </c>
      <c r="Q22" s="144" t="n">
        <v>0.2</v>
      </c>
      <c r="R22" s="148" t="n">
        <v>1</v>
      </c>
      <c r="S22" s="142" t="n">
        <v>5</v>
      </c>
      <c r="T22" s="148" t="n">
        <v>0.8333333333333334</v>
      </c>
      <c r="U22" s="142" t="n">
        <v>0</v>
      </c>
      <c r="V22" s="148" t="n">
        <v>0</v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49" t="n">
        <v>238.0952380952381</v>
      </c>
      <c r="D23" s="140" t="n"/>
      <c r="E23" s="149" t="n">
        <v>3095.238095238095</v>
      </c>
      <c r="F23" s="149" t="n">
        <v>2440</v>
      </c>
      <c r="G23" s="141" t="n">
        <v>0.7883076923076923</v>
      </c>
      <c r="H23" s="100" t="inlineStr">
        <is>
          <t>Atrasado</t>
        </is>
      </c>
      <c r="I23" s="142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4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50" t="n">
        <v>238.0952380952381</v>
      </c>
      <c r="D24" s="140" t="n"/>
      <c r="E24" s="150" t="n">
        <v>3333.333333333333</v>
      </c>
      <c r="F24" s="150" t="n">
        <v>2440</v>
      </c>
      <c r="G24" s="147" t="n">
        <v>0.732</v>
      </c>
      <c r="H24" s="101" t="inlineStr">
        <is>
          <t>Atrasado</t>
        </is>
      </c>
      <c r="I24" s="142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4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49" t="n">
        <v>238.0952380952381</v>
      </c>
      <c r="D25" s="140" t="n"/>
      <c r="E25" s="149" t="n">
        <v>3571.428571428572</v>
      </c>
      <c r="F25" s="149" t="n">
        <v>2440</v>
      </c>
      <c r="G25" s="141" t="n">
        <v>0.6832</v>
      </c>
      <c r="H25" s="100" t="inlineStr">
        <is>
          <t>Atrasado</t>
        </is>
      </c>
      <c r="I25" s="142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4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50" t="n">
        <v>238.0952380952381</v>
      </c>
      <c r="D26" s="140" t="n"/>
      <c r="E26" s="150" t="n">
        <v>3809.52380952381</v>
      </c>
      <c r="F26" s="150" t="n">
        <v>2440</v>
      </c>
      <c r="G26" s="147" t="n">
        <v>0.6405</v>
      </c>
      <c r="H26" s="101" t="inlineStr">
        <is>
          <t>Atrasado</t>
        </is>
      </c>
      <c r="I26" s="142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4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49" t="n">
        <v>238.0952380952381</v>
      </c>
      <c r="D27" s="140" t="n"/>
      <c r="E27" s="149" t="n">
        <v>4047.619047619048</v>
      </c>
      <c r="F27" s="149" t="n">
        <v>2440</v>
      </c>
      <c r="G27" s="141" t="n">
        <v>0.6028235294117646</v>
      </c>
      <c r="H27" s="100" t="inlineStr">
        <is>
          <t>Atrasado</t>
        </is>
      </c>
      <c r="I27" s="142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4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50" t="n">
        <v>238.0952380952381</v>
      </c>
      <c r="D28" s="140" t="n"/>
      <c r="E28" s="150" t="n">
        <v>4285.714285714286</v>
      </c>
      <c r="F28" s="150" t="n">
        <v>2440</v>
      </c>
      <c r="G28" s="147" t="n">
        <v>0.5693333333333332</v>
      </c>
      <c r="H28" s="101" t="inlineStr">
        <is>
          <t>Atrasado</t>
        </is>
      </c>
      <c r="I28" s="142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4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49" t="n">
        <v>238.0952380952381</v>
      </c>
      <c r="D29" s="140" t="n"/>
      <c r="E29" s="149" t="n">
        <v>4523.809523809525</v>
      </c>
      <c r="F29" s="149" t="n">
        <v>2440</v>
      </c>
      <c r="G29" s="141" t="n">
        <v>0.5393684210526315</v>
      </c>
      <c r="H29" s="100" t="inlineStr">
        <is>
          <t>Atrasado</t>
        </is>
      </c>
      <c r="I29" s="142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4" t="n"/>
      <c r="R29" s="143">
        <f>IF(Q29="","",IF($Q$9="","",IF($Q$9=0,"",Q29/$Q$9)))</f>
        <v/>
      </c>
      <c r="S29" s="142" t="n"/>
      <c r="T29" s="143">
        <f>IF(S29="","",IF($S$9="","",IF($S$9=0,"",S29/$S$9)))</f>
        <v/>
      </c>
      <c r="U29" s="142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50" t="n">
        <v>238.0952380952381</v>
      </c>
      <c r="D30" s="140" t="n"/>
      <c r="E30" s="150" t="n">
        <v>4761.904761904763</v>
      </c>
      <c r="F30" s="150" t="n">
        <v>2440</v>
      </c>
      <c r="G30" s="147" t="n">
        <v>0.5123999999999999</v>
      </c>
      <c r="H30" s="101" t="inlineStr">
        <is>
          <t>Atrasado</t>
        </is>
      </c>
      <c r="I30" s="142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4" t="n"/>
      <c r="R30" s="148">
        <f>IF(Q30="","",IF($Q$9="","",IF($Q$9=0,"",Q30/$Q$9)))</f>
        <v/>
      </c>
      <c r="S30" s="142" t="n"/>
      <c r="T30" s="148">
        <f>IF(S30="","",IF($S$9="","",IF($S$9=0,"",S30/$S$9)))</f>
        <v/>
      </c>
      <c r="U30" s="142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49" t="n">
        <v>238.0952380952381</v>
      </c>
      <c r="D31" s="140" t="n"/>
      <c r="E31" s="149" t="n">
        <v>5000.000000000002</v>
      </c>
      <c r="F31" s="149" t="n">
        <v>2440</v>
      </c>
      <c r="G31" s="141" t="n">
        <v>0.4879999999999998</v>
      </c>
      <c r="H31" s="100" t="inlineStr">
        <is>
          <t>Atrasado</t>
        </is>
      </c>
      <c r="I31" s="142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4" t="n"/>
      <c r="R31" s="143">
        <f>IF(Q31="","",IF($Q$9="","",IF($Q$9=0,"",Q31/$Q$9)))</f>
        <v/>
      </c>
      <c r="S31" s="142" t="n"/>
      <c r="T31" s="143">
        <f>IF(S31="","",IF($S$9="","",IF($S$9=0,"",S31/$S$9)))</f>
        <v/>
      </c>
      <c r="U31" s="142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50" t="n">
        <v>238.0952380952381</v>
      </c>
      <c r="D32" s="140" t="n"/>
      <c r="E32" s="150" t="n">
        <v>5238.09523809524</v>
      </c>
      <c r="F32" s="150" t="n">
        <v>2440</v>
      </c>
      <c r="G32" s="147" t="n">
        <v>0.4658181818181816</v>
      </c>
      <c r="H32" s="101" t="inlineStr">
        <is>
          <t>Atrasado</t>
        </is>
      </c>
      <c r="I32" s="142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4" t="n"/>
      <c r="R32" s="148">
        <f>IF(Q32="","",IF($Q$9="","",IF($Q$9=0,"",Q32/$Q$9)))</f>
        <v/>
      </c>
      <c r="S32" s="142" t="n"/>
      <c r="T32" s="148">
        <f>IF(S32="","",IF($S$9="","",IF($S$9=0,"",S32/$S$9)))</f>
        <v/>
      </c>
      <c r="U32" s="142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49" t="n">
        <v>238.0952380952381</v>
      </c>
      <c r="D33" s="140" t="n"/>
      <c r="E33" s="149" t="n">
        <v>5476.190476190479</v>
      </c>
      <c r="F33" s="149" t="n">
        <v>2440</v>
      </c>
      <c r="G33" s="141" t="n">
        <v>0.4455652173913041</v>
      </c>
      <c r="H33" s="100" t="inlineStr">
        <is>
          <t>Atrasado</t>
        </is>
      </c>
      <c r="I33" s="142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4" t="n"/>
      <c r="R33" s="143">
        <f>IF(Q33="","",IF($Q$9="","",IF($Q$9=0,"",Q33/$Q$9)))</f>
        <v/>
      </c>
      <c r="S33" s="142" t="n"/>
      <c r="T33" s="143">
        <f>IF(S33="","",IF($S$9="","",IF($S$9=0,"",S33/$S$9)))</f>
        <v/>
      </c>
      <c r="U33" s="142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50" t="n">
        <v>238.0952380952381</v>
      </c>
      <c r="D34" s="140" t="n"/>
      <c r="E34" s="150" t="n">
        <v>5714.285714285717</v>
      </c>
      <c r="F34" s="150" t="n">
        <v>2440</v>
      </c>
      <c r="G34" s="147" t="n">
        <v>0.4269999999999998</v>
      </c>
      <c r="H34" s="101" t="inlineStr">
        <is>
          <t>Atrasado</t>
        </is>
      </c>
      <c r="I34" s="142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4" t="n"/>
      <c r="R34" s="148">
        <f>IF(Q34="","",IF($Q$9="","",IF($Q$9=0,"",Q34/$Q$9)))</f>
        <v/>
      </c>
      <c r="S34" s="142" t="n"/>
      <c r="T34" s="148">
        <f>IF(S34="","",IF($S$9="","",IF($S$9=0,"",S34/$S$9)))</f>
        <v/>
      </c>
      <c r="U34" s="142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49" t="n">
        <v>238.0952380952381</v>
      </c>
      <c r="D35" s="140" t="n"/>
      <c r="E35" s="149" t="n">
        <v>5952.380952380956</v>
      </c>
      <c r="F35" s="149" t="n">
        <v>2440</v>
      </c>
      <c r="G35" s="141" t="n">
        <v>0.4099199999999997</v>
      </c>
      <c r="H35" s="100" t="inlineStr">
        <is>
          <t>Atrasado</t>
        </is>
      </c>
      <c r="I35" s="142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4" t="n"/>
      <c r="R35" s="143">
        <f>IF(Q35="","",IF($Q$9="","",IF($Q$9=0,"",Q35/$Q$9)))</f>
        <v/>
      </c>
      <c r="S35" s="142" t="n"/>
      <c r="T35" s="143">
        <f>IF(S35="","",IF($S$9="","",IF($S$9=0,"",S35/$S$9)))</f>
        <v/>
      </c>
      <c r="U35" s="142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50" t="n">
        <v>238.0952380952381</v>
      </c>
      <c r="D36" s="140" t="n"/>
      <c r="E36" s="150" t="n">
        <v>6190.476190476194</v>
      </c>
      <c r="F36" s="150" t="n">
        <v>2440</v>
      </c>
      <c r="G36" s="147" t="n">
        <v>0.3941538461538459</v>
      </c>
      <c r="H36" s="101" t="inlineStr">
        <is>
          <t>Atrasado</t>
        </is>
      </c>
      <c r="I36" s="142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4" t="n"/>
      <c r="R36" s="148">
        <f>IF(Q36="","",IF($Q$9="","",IF($Q$9=0,"",Q36/$Q$9)))</f>
        <v/>
      </c>
      <c r="S36" s="142" t="n"/>
      <c r="T36" s="148">
        <f>IF(S36="","",IF($S$9="","",IF($S$9=0,"",S36/$S$9)))</f>
        <v/>
      </c>
      <c r="U36" s="142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49" t="n">
        <v>238.0952380952381</v>
      </c>
      <c r="D37" s="140" t="n"/>
      <c r="E37" s="149" t="n">
        <v>6428.571428571433</v>
      </c>
      <c r="F37" s="149" t="n">
        <v>2440</v>
      </c>
      <c r="G37" s="141" t="n">
        <v>0.3795555555555553</v>
      </c>
      <c r="H37" s="100" t="inlineStr">
        <is>
          <t>Atrasado</t>
        </is>
      </c>
      <c r="I37" s="142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4" t="n"/>
      <c r="R37" s="143">
        <f>IF(Q37="","",IF($Q$9="","",IF($Q$9=0,"",Q37/$Q$9)))</f>
        <v/>
      </c>
      <c r="S37" s="142" t="n"/>
      <c r="T37" s="143">
        <f>IF(S37="","",IF($S$9="","",IF($S$9=0,"",S37/$S$9)))</f>
        <v/>
      </c>
      <c r="U37" s="142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50" t="n">
        <v>238.0952380952381</v>
      </c>
      <c r="D38" s="140" t="n"/>
      <c r="E38" s="150" t="n">
        <v>6666.666666666672</v>
      </c>
      <c r="F38" s="150" t="n">
        <v>2440</v>
      </c>
      <c r="G38" s="147" t="n">
        <v>0.3659999999999997</v>
      </c>
      <c r="H38" s="101" t="inlineStr">
        <is>
          <t>Atrasado</t>
        </is>
      </c>
      <c r="I38" s="142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4" t="n"/>
      <c r="R38" s="148">
        <f>IF(Q38="","",IF($Q$9="","",IF($Q$9=0,"",Q38/$Q$9)))</f>
        <v/>
      </c>
      <c r="S38" s="142" t="n"/>
      <c r="T38" s="148">
        <f>IF(S38="","",IF($S$9="","",IF($S$9=0,"",S38/$S$9)))</f>
        <v/>
      </c>
      <c r="U38" s="142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49" t="n">
        <v>238.0952380952381</v>
      </c>
      <c r="D39" s="140" t="n"/>
      <c r="E39" s="149" t="n">
        <v>6904.76190476191</v>
      </c>
      <c r="F39" s="149" t="n">
        <v>2440</v>
      </c>
      <c r="G39" s="141" t="n">
        <v>0.3533793103448273</v>
      </c>
      <c r="H39" s="100" t="inlineStr">
        <is>
          <t>Atrasado</t>
        </is>
      </c>
      <c r="I39" s="142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4" t="n"/>
      <c r="R39" s="143">
        <f>IF(Q39="","",IF($Q$9="","",IF($Q$9=0,"",Q39/$Q$9)))</f>
        <v/>
      </c>
      <c r="S39" s="142" t="n"/>
      <c r="T39" s="143">
        <f>IF(S39="","",IF($S$9="","",IF($S$9=0,"",S39/$S$9)))</f>
        <v/>
      </c>
      <c r="U39" s="142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50" t="n">
        <v>238.0952380952381</v>
      </c>
      <c r="D40" s="140" t="n"/>
      <c r="E40" s="150" t="n">
        <v>7142.857142857149</v>
      </c>
      <c r="F40" s="150" t="n">
        <v>2440</v>
      </c>
      <c r="G40" s="147" t="n">
        <v>0.3415999999999997</v>
      </c>
      <c r="H40" s="101" t="inlineStr">
        <is>
          <t>Atrasado</t>
        </is>
      </c>
      <c r="I40" s="142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2" t="n"/>
      <c r="N40" s="148">
        <f>IF(M40="","",IF($M$9="","",IF($M$9=0,"",M40/$M$9)))</f>
        <v/>
      </c>
      <c r="O40" s="142" t="n"/>
      <c r="P40" s="148">
        <f>IF(O40="","",IF($O$9="","",IF($O$9=0,"",O40/$O$9)))</f>
        <v/>
      </c>
      <c r="Q40" s="144" t="n"/>
      <c r="R40" s="148">
        <f>IF(Q40="","",IF($Q$9="","",IF($Q$9=0,"",Q40/$Q$9)))</f>
        <v/>
      </c>
      <c r="S40" s="142" t="n"/>
      <c r="T40" s="148">
        <f>IF(S40="","",IF($S$9="","",IF($S$9=0,"",S40/$S$9)))</f>
        <v/>
      </c>
      <c r="U40" s="142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49" t="n">
        <v>238.0952380952381</v>
      </c>
      <c r="D41" s="140" t="n"/>
      <c r="E41" s="149" t="n">
        <v>7380.952380952387</v>
      </c>
      <c r="F41" s="149" t="n">
        <v>2440</v>
      </c>
      <c r="G41" s="141" t="n">
        <v>0.33058064516129</v>
      </c>
      <c r="H41" s="100" t="inlineStr">
        <is>
          <t>Atrasado</t>
        </is>
      </c>
      <c r="I41" s="142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2" t="n"/>
      <c r="N41" s="143">
        <f>IF(M41="","",IF($M$9="","",IF($M$9=0,"",M41/$M$9)))</f>
        <v/>
      </c>
      <c r="O41" s="142" t="n"/>
      <c r="P41" s="143">
        <f>IF(O41="","",IF($O$9="","",IF($O$9=0,"",O41/$O$9)))</f>
        <v/>
      </c>
      <c r="Q41" s="144" t="n"/>
      <c r="R41" s="143">
        <f>IF(Q41="","",IF($Q$9="","",IF($Q$9=0,"",Q41/$Q$9)))</f>
        <v/>
      </c>
      <c r="S41" s="142" t="n"/>
      <c r="T41" s="143">
        <f>IF(S41="","",IF($S$9="","",IF($S$9=0,"",S41/$S$9)))</f>
        <v/>
      </c>
      <c r="U41" s="142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50" t="n">
        <v>238.0952380952381</v>
      </c>
      <c r="D42" s="140" t="n"/>
      <c r="E42" s="150" t="n">
        <v>7619.047619047626</v>
      </c>
      <c r="F42" s="150" t="n">
        <v>2440</v>
      </c>
      <c r="G42" s="147" t="n">
        <v>0.3202499999999997</v>
      </c>
      <c r="H42" s="101" t="inlineStr">
        <is>
          <t>Atrasado</t>
        </is>
      </c>
      <c r="I42" s="142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2" t="n"/>
      <c r="N42" s="148">
        <f>IF(M42="","",IF($M$9="","",IF($M$9=0,"",M42/$M$9)))</f>
        <v/>
      </c>
      <c r="O42" s="142" t="n"/>
      <c r="P42" s="148">
        <f>IF(O42="","",IF($O$9="","",IF($O$9=0,"",O42/$O$9)))</f>
        <v/>
      </c>
      <c r="Q42" s="144" t="n"/>
      <c r="R42" s="148">
        <f>IF(Q42="","",IF($Q$9="","",IF($Q$9=0,"",Q42/$Q$9)))</f>
        <v/>
      </c>
      <c r="S42" s="142" t="n"/>
      <c r="T42" s="148">
        <f>IF(S42="","",IF($S$9="","",IF($S$9=0,"",S42/$S$9)))</f>
        <v/>
      </c>
      <c r="U42" s="142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49" t="n">
        <v>238.0952380952381</v>
      </c>
      <c r="D43" s="140" t="n"/>
      <c r="E43" s="149" t="n">
        <v>7857.142857142864</v>
      </c>
      <c r="F43" s="149" t="n">
        <v>2440</v>
      </c>
      <c r="G43" s="141" t="n">
        <v>0.3105454545454543</v>
      </c>
      <c r="H43" s="100" t="inlineStr">
        <is>
          <t>Atrasado</t>
        </is>
      </c>
      <c r="I43" s="142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2" t="n"/>
      <c r="N43" s="143">
        <f>IF(M43="","",IF($M$9="","",IF($M$9=0,"",M43/$M$9)))</f>
        <v/>
      </c>
      <c r="O43" s="142" t="n"/>
      <c r="P43" s="143">
        <f>IF(O43="","",IF($O$9="","",IF($O$9=0,"",O43/$O$9)))</f>
        <v/>
      </c>
      <c r="Q43" s="144" t="n"/>
      <c r="R43" s="143">
        <f>IF(Q43="","",IF($Q$9="","",IF($Q$9=0,"",Q43/$Q$9)))</f>
        <v/>
      </c>
      <c r="S43" s="142" t="n"/>
      <c r="T43" s="143">
        <f>IF(S43="","",IF($S$9="","",IF($S$9=0,"",S43/$S$9)))</f>
        <v/>
      </c>
      <c r="U43" s="142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50" t="n">
        <v>238.0952380952381</v>
      </c>
      <c r="D44" s="140" t="n"/>
      <c r="E44" s="150" t="n">
        <v>8095.238095238103</v>
      </c>
      <c r="F44" s="150" t="n">
        <v>2440</v>
      </c>
      <c r="G44" s="147" t="n">
        <v>0.3014117647058821</v>
      </c>
      <c r="H44" s="101" t="inlineStr">
        <is>
          <t>Atrasado</t>
        </is>
      </c>
      <c r="I44" s="142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2" t="n"/>
      <c r="N44" s="148">
        <f>IF(M44="","",IF($M$9="","",IF($M$9=0,"",M44/$M$9)))</f>
        <v/>
      </c>
      <c r="O44" s="142" t="n"/>
      <c r="P44" s="148">
        <f>IF(O44="","",IF($O$9="","",IF($O$9=0,"",O44/$O$9)))</f>
        <v/>
      </c>
      <c r="Q44" s="144" t="n"/>
      <c r="R44" s="148">
        <f>IF(Q44="","",IF($Q$9="","",IF($Q$9=0,"",Q44/$Q$9)))</f>
        <v/>
      </c>
      <c r="S44" s="142" t="n"/>
      <c r="T44" s="148">
        <f>IF(S44="","",IF($S$9="","",IF($S$9=0,"",S44/$S$9)))</f>
        <v/>
      </c>
      <c r="U44" s="142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49" t="n">
        <v>238.0952380952381</v>
      </c>
      <c r="D45" s="140" t="n"/>
      <c r="E45" s="149" t="n">
        <v>8333.333333333341</v>
      </c>
      <c r="F45" s="149" t="n">
        <v>2440</v>
      </c>
      <c r="G45" s="141" t="n">
        <v>0.2927999999999997</v>
      </c>
      <c r="H45" s="100" t="inlineStr">
        <is>
          <t>Atrasado</t>
        </is>
      </c>
      <c r="I45" s="142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2" t="n"/>
      <c r="N45" s="143">
        <f>IF(M45="","",IF($M$9="","",IF($M$9=0,"",M45/$M$9)))</f>
        <v/>
      </c>
      <c r="O45" s="142" t="n"/>
      <c r="P45" s="143">
        <f>IF(O45="","",IF($O$9="","",IF($O$9=0,"",O45/$O$9)))</f>
        <v/>
      </c>
      <c r="Q45" s="144" t="n"/>
      <c r="R45" s="143">
        <f>IF(Q45="","",IF($Q$9="","",IF($Q$9=0,"",Q45/$Q$9)))</f>
        <v/>
      </c>
      <c r="S45" s="142" t="n"/>
      <c r="T45" s="143">
        <f>IF(S45="","",IF($S$9="","",IF($S$9=0,"",S45/$S$9)))</f>
        <v/>
      </c>
      <c r="U45" s="142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50" t="n">
        <v>238.0952380952381</v>
      </c>
      <c r="D46" s="140" t="n"/>
      <c r="E46" s="150" t="n">
        <v>8571.42857142858</v>
      </c>
      <c r="F46" s="150" t="n">
        <v>2440</v>
      </c>
      <c r="G46" s="147" t="n">
        <v>0.2846666666666664</v>
      </c>
      <c r="H46" s="101" t="inlineStr">
        <is>
          <t>Atrasado</t>
        </is>
      </c>
      <c r="I46" s="142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2" t="n"/>
      <c r="N46" s="148">
        <f>IF(M46="","",IF($M$9="","",IF($M$9=0,"",M46/$M$9)))</f>
        <v/>
      </c>
      <c r="O46" s="142" t="n"/>
      <c r="P46" s="148">
        <f>IF(O46="","",IF($O$9="","",IF($O$9=0,"",O46/$O$9)))</f>
        <v/>
      </c>
      <c r="Q46" s="144" t="n"/>
      <c r="R46" s="148">
        <f>IF(Q46="","",IF($Q$9="","",IF($Q$9=0,"",Q46/$Q$9)))</f>
        <v/>
      </c>
      <c r="S46" s="142" t="n"/>
      <c r="T46" s="148">
        <f>IF(S46="","",IF($S$9="","",IF($S$9=0,"",S46/$S$9)))</f>
        <v/>
      </c>
      <c r="U46" s="142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49" t="n">
        <v>238.0952380952381</v>
      </c>
      <c r="D47" s="140" t="n"/>
      <c r="E47" s="149" t="n">
        <v>8809.523809523818</v>
      </c>
      <c r="F47" s="149" t="n">
        <v>2440</v>
      </c>
      <c r="G47" s="141" t="n">
        <v>0.2769729729729727</v>
      </c>
      <c r="H47" s="100" t="inlineStr">
        <is>
          <t>Atrasado</t>
        </is>
      </c>
      <c r="I47" s="142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2" t="n"/>
      <c r="N47" s="143">
        <f>IF(M47="","",IF($M$9="","",IF($M$9=0,"",M47/$M$9)))</f>
        <v/>
      </c>
      <c r="O47" s="142" t="n"/>
      <c r="P47" s="143">
        <f>IF(O47="","",IF($O$9="","",IF($O$9=0,"",O47/$O$9)))</f>
        <v/>
      </c>
      <c r="Q47" s="144" t="n"/>
      <c r="R47" s="143">
        <f>IF(Q47="","",IF($Q$9="","",IF($Q$9=0,"",Q47/$Q$9)))</f>
        <v/>
      </c>
      <c r="S47" s="142" t="n"/>
      <c r="T47" s="143">
        <f>IF(S47="","",IF($S$9="","",IF($S$9=0,"",S47/$S$9)))</f>
        <v/>
      </c>
      <c r="U47" s="142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50" t="n">
        <v>238.0952380952381</v>
      </c>
      <c r="D48" s="140" t="n"/>
      <c r="E48" s="150" t="n">
        <v>9047.619047619057</v>
      </c>
      <c r="F48" s="150" t="n">
        <v>2440</v>
      </c>
      <c r="G48" s="147" t="n">
        <v>0.2696842105263155</v>
      </c>
      <c r="H48" s="101" t="inlineStr">
        <is>
          <t>Atrasado</t>
        </is>
      </c>
      <c r="I48" s="142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2" t="n"/>
      <c r="N48" s="148">
        <f>IF(M48="","",IF($M$9="","",IF($M$9=0,"",M48/$M$9)))</f>
        <v/>
      </c>
      <c r="O48" s="142" t="n"/>
      <c r="P48" s="148">
        <f>IF(O48="","",IF($O$9="","",IF($O$9=0,"",O48/$O$9)))</f>
        <v/>
      </c>
      <c r="Q48" s="144" t="n"/>
      <c r="R48" s="148">
        <f>IF(Q48="","",IF($Q$9="","",IF($Q$9=0,"",Q48/$Q$9)))</f>
        <v/>
      </c>
      <c r="S48" s="142" t="n"/>
      <c r="T48" s="148">
        <f>IF(S48="","",IF($S$9="","",IF($S$9=0,"",S48/$S$9)))</f>
        <v/>
      </c>
      <c r="U48" s="142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49" t="n">
        <v>238.0952380952381</v>
      </c>
      <c r="D49" s="140" t="n"/>
      <c r="E49" s="149" t="n">
        <v>9285.714285714295</v>
      </c>
      <c r="F49" s="149" t="n">
        <v>2440</v>
      </c>
      <c r="G49" s="141" t="n">
        <v>0.2627692307692305</v>
      </c>
      <c r="H49" s="100" t="inlineStr">
        <is>
          <t>Atrasado</t>
        </is>
      </c>
      <c r="I49" s="142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2" t="n"/>
      <c r="N49" s="143">
        <f>IF(M49="","",IF($M$9="","",IF($M$9=0,"",M49/$M$9)))</f>
        <v/>
      </c>
      <c r="O49" s="142" t="n"/>
      <c r="P49" s="143">
        <f>IF(O49="","",IF($O$9="","",IF($O$9=0,"",O49/$O$9)))</f>
        <v/>
      </c>
      <c r="Q49" s="144" t="n"/>
      <c r="R49" s="143">
        <f>IF(Q49="","",IF($Q$9="","",IF($Q$9=0,"",Q49/$Q$9)))</f>
        <v/>
      </c>
      <c r="S49" s="142" t="n"/>
      <c r="T49" s="143">
        <f>IF(S49="","",IF($S$9="","",IF($S$9=0,"",S49/$S$9)))</f>
        <v/>
      </c>
      <c r="U49" s="142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50" t="n">
        <v>238.0952380952381</v>
      </c>
      <c r="D50" s="140" t="n"/>
      <c r="E50" s="150" t="n">
        <v>9523.809523809534</v>
      </c>
      <c r="F50" s="150" t="n">
        <v>2440</v>
      </c>
      <c r="G50" s="147" t="n">
        <v>0.2561999999999997</v>
      </c>
      <c r="H50" s="101" t="inlineStr">
        <is>
          <t>Atrasado</t>
        </is>
      </c>
      <c r="I50" s="142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2" t="n"/>
      <c r="N50" s="148">
        <f>IF(M50="","",IF($M$9="","",IF($M$9=0,"",M50/$M$9)))</f>
        <v/>
      </c>
      <c r="O50" s="142" t="n"/>
      <c r="P50" s="148">
        <f>IF(O50="","",IF($O$9="","",IF($O$9=0,"",O50/$O$9)))</f>
        <v/>
      </c>
      <c r="Q50" s="144" t="n"/>
      <c r="R50" s="148">
        <f>IF(Q50="","",IF($Q$9="","",IF($Q$9=0,"",Q50/$Q$9)))</f>
        <v/>
      </c>
      <c r="S50" s="142" t="n"/>
      <c r="T50" s="148">
        <f>IF(S50="","",IF($S$9="","",IF($S$9=0,"",S50/$S$9)))</f>
        <v/>
      </c>
      <c r="U50" s="142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49" t="n">
        <v>238.0952380952381</v>
      </c>
      <c r="D51" s="140" t="n"/>
      <c r="E51" s="149" t="n">
        <v>9761.904761904772</v>
      </c>
      <c r="F51" s="149" t="n">
        <v>2440</v>
      </c>
      <c r="G51" s="141" t="n">
        <v>0.2499512195121948</v>
      </c>
      <c r="H51" s="100" t="inlineStr">
        <is>
          <t>Atrasado</t>
        </is>
      </c>
      <c r="I51" s="142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2" t="n"/>
      <c r="N51" s="143">
        <f>IF(M51="","",IF($M$9="","",IF($M$9=0,"",M51/$M$9)))</f>
        <v/>
      </c>
      <c r="O51" s="142" t="n"/>
      <c r="P51" s="143">
        <f>IF(O51="","",IF($O$9="","",IF($O$9=0,"",O51/$O$9)))</f>
        <v/>
      </c>
      <c r="Q51" s="144" t="n"/>
      <c r="R51" s="143">
        <f>IF(Q51="","",IF($Q$9="","",IF($Q$9=0,"",Q51/$Q$9)))</f>
        <v/>
      </c>
      <c r="S51" s="142" t="n"/>
      <c r="T51" s="143">
        <f>IF(S51="","",IF($S$9="","",IF($S$9=0,"",S51/$S$9)))</f>
        <v/>
      </c>
      <c r="U51" s="142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50" t="n">
        <v>238.0952380952381</v>
      </c>
      <c r="D52" s="140" t="n"/>
      <c r="E52" s="150" t="n">
        <v>10000.00000000001</v>
      </c>
      <c r="F52" s="150" t="n">
        <v>2440</v>
      </c>
      <c r="G52" s="147" t="n">
        <v>0.2439999999999997</v>
      </c>
      <c r="H52" s="101" t="inlineStr">
        <is>
          <t>Atrasado</t>
        </is>
      </c>
      <c r="I52" s="142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2" t="n"/>
      <c r="N52" s="148">
        <f>IF(M52="","",IF($M$9="","",IF($M$9=0,"",M52/$M$9)))</f>
        <v/>
      </c>
      <c r="O52" s="142" t="n"/>
      <c r="P52" s="148">
        <f>IF(O52="","",IF($O$9="","",IF($O$9=0,"",O52/$O$9)))</f>
        <v/>
      </c>
      <c r="Q52" s="144" t="n"/>
      <c r="R52" s="148">
        <f>IF(Q52="","",IF($Q$9="","",IF($Q$9=0,"",Q52/$Q$9)))</f>
        <v/>
      </c>
      <c r="S52" s="142" t="n"/>
      <c r="T52" s="148">
        <f>IF(S52="","",IF($S$9="","",IF($S$9=0,"",S52/$S$9)))</f>
        <v/>
      </c>
      <c r="U52" s="142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52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X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3 — Reconocer 10 negocios mayores a $30K de GP en el 2027</t>
        </is>
      </c>
    </row>
    <row r="2" ht="15" customHeight="1" s="87">
      <c r="A2" s="104" t="inlineStr">
        <is>
          <t>Indicador lag:</t>
        </is>
      </c>
      <c r="B2" s="127" t="inlineStr">
        <is>
          <t>Negocios con GP &gt; $30K reconocidos (acumulado). Negocios grandes que mueven el NAT.</t>
        </is>
      </c>
    </row>
    <row r="3" ht="15" customHeight="1" s="87">
      <c r="A3" s="104" t="inlineStr">
        <is>
          <t>De X a Y:</t>
        </is>
      </c>
      <c r="B3" s="127" t="inlineStr">
        <is>
          <t>De 0 a 10 negocios &gt; $30K GP reconocidos, antes del 31 de diciembre de 2027.</t>
        </is>
      </c>
    </row>
    <row r="4" ht="15" customHeight="1" s="87">
      <c r="A4" s="104" t="inlineStr">
        <is>
          <t>Dueño:</t>
        </is>
      </c>
      <c r="B4" s="128" t="inlineStr">
        <is>
          <t>J. Roque</t>
        </is>
      </c>
      <c r="D4" s="104" t="inlineStr">
        <is>
          <t>Equipo:</t>
        </is>
      </c>
      <c r="E4" s="127" t="inlineStr">
        <is>
          <t>Ventas, Pre-Sales</t>
        </is>
      </c>
    </row>
    <row r="5" ht="15" customHeight="1" s="87">
      <c r="A5" s="104" t="inlineStr">
        <is>
          <t>Meta:</t>
        </is>
      </c>
      <c r="B5" s="129" t="n">
        <v>10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46748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COUNT(A11:A91)</f>
        <v/>
      </c>
      <c r="H8" s="132" t="inlineStr">
        <is>
          <t>Lead →</t>
        </is>
      </c>
      <c r="I8" s="133" t="inlineStr">
        <is>
          <t>L1. Opps &gt; $30K GP activas en pipeline</t>
        </is>
      </c>
      <c r="J8" s="134" t="n"/>
      <c r="K8" s="133" t="inlineStr">
        <is>
          <t>L2. Opps nuevas ingresadas en la semana</t>
        </is>
      </c>
      <c r="L8" s="134" t="n"/>
      <c r="M8" s="133" t="inlineStr">
        <is>
          <t>L3. Propuestas &gt; $30K presentadas</t>
        </is>
      </c>
      <c r="N8" s="134" t="n"/>
      <c r="O8" s="133" t="inlineStr">
        <is>
          <t>L4. Reuniones C-level realizadas</t>
        </is>
      </c>
      <c r="P8" s="134" t="n"/>
      <c r="Q8" s="133" t="inlineStr">
        <is>
          <t>L5. Leads activas al cierre de la semana</t>
        </is>
      </c>
      <c r="R8" s="134" t="n"/>
      <c r="S8" s="133" t="inlineStr">
        <is>
          <t>L6. Opps &gt; $30K avanzadas de etapa</t>
        </is>
      </c>
      <c r="T8" s="134" t="n"/>
      <c r="U8" s="133" t="inlineStr">
        <is>
          <t>L7. Win rate de opps &gt; $30K (acumulado)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5" t="n">
        <v>5</v>
      </c>
      <c r="J9" s="134" t="n"/>
      <c r="K9" s="135" t="n">
        <v>4</v>
      </c>
      <c r="L9" s="134" t="n"/>
      <c r="M9" s="135" t="n">
        <v>1</v>
      </c>
      <c r="N9" s="134" t="n"/>
      <c r="O9" s="135" t="n">
        <v>2</v>
      </c>
      <c r="P9" s="134" t="n"/>
      <c r="Q9" s="135" t="n">
        <v>10</v>
      </c>
      <c r="R9" s="134" t="n"/>
      <c r="S9" s="135" t="n">
        <v>2</v>
      </c>
      <c r="T9" s="134" t="n"/>
      <c r="U9" s="136" t="n">
        <v>0.3</v>
      </c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 semana</t>
        </is>
      </c>
      <c r="D10" s="91" t="inlineStr">
        <is>
          <t>Real</t>
        </is>
      </c>
      <c r="E10" s="91" t="inlineStr">
        <is>
          <t>Meta acum.</t>
        </is>
      </c>
      <c r="F10" s="91" t="inlineStr">
        <is>
          <t>Real acum.</t>
        </is>
      </c>
      <c r="G10" s="91" t="inlineStr">
        <is>
          <t>% avance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39" t="n">
        <v>0.1234567901234568</v>
      </c>
      <c r="D11" s="140" t="n">
        <v>0</v>
      </c>
      <c r="E11" s="139" t="n">
        <v>0.1234567901234568</v>
      </c>
      <c r="F11" s="139" t="n">
        <v>0</v>
      </c>
      <c r="G11" s="141" t="n">
        <v>0</v>
      </c>
      <c r="H11" s="100" t="inlineStr">
        <is>
          <t>Atrasado</t>
        </is>
      </c>
      <c r="I11" s="142" t="n">
        <v>4</v>
      </c>
      <c r="J11" s="143" t="n">
        <v>0.8</v>
      </c>
      <c r="K11" s="142" t="n">
        <v>2</v>
      </c>
      <c r="L11" s="143" t="n">
        <v>0.5</v>
      </c>
      <c r="M11" s="142" t="n">
        <v>1</v>
      </c>
      <c r="N11" s="143" t="n">
        <v>1</v>
      </c>
      <c r="O11" s="142" t="n">
        <v>1</v>
      </c>
      <c r="P11" s="143" t="n">
        <v>0.5</v>
      </c>
      <c r="Q11" s="142" t="n">
        <v>6</v>
      </c>
      <c r="R11" s="143" t="n">
        <v>0.6</v>
      </c>
      <c r="S11" s="142" t="n">
        <v>2</v>
      </c>
      <c r="T11" s="143" t="n">
        <v>1</v>
      </c>
      <c r="U11" s="144" t="n">
        <v>0.31</v>
      </c>
      <c r="V11" s="143" t="n">
        <v>1.033333333333333</v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46" t="n">
        <v>0.1234567901234568</v>
      </c>
      <c r="D12" s="140" t="n">
        <v>0</v>
      </c>
      <c r="E12" s="146" t="n">
        <v>0.2469135802469136</v>
      </c>
      <c r="F12" s="146" t="n">
        <v>0</v>
      </c>
      <c r="G12" s="147" t="n">
        <v>0</v>
      </c>
      <c r="H12" s="101" t="inlineStr">
        <is>
          <t>Atrasado</t>
        </is>
      </c>
      <c r="I12" s="142" t="n">
        <v>3</v>
      </c>
      <c r="J12" s="148" t="n">
        <v>0.6</v>
      </c>
      <c r="K12" s="142" t="n">
        <v>2</v>
      </c>
      <c r="L12" s="148" t="n">
        <v>0.5</v>
      </c>
      <c r="M12" s="142" t="n">
        <v>1</v>
      </c>
      <c r="N12" s="148" t="n">
        <v>1</v>
      </c>
      <c r="O12" s="142" t="n">
        <v>2</v>
      </c>
      <c r="P12" s="148" t="n">
        <v>1</v>
      </c>
      <c r="Q12" s="142" t="n">
        <v>6</v>
      </c>
      <c r="R12" s="148" t="n">
        <v>0.6</v>
      </c>
      <c r="S12" s="142" t="n">
        <v>1</v>
      </c>
      <c r="T12" s="148" t="n">
        <v>0.5</v>
      </c>
      <c r="U12" s="144" t="n">
        <v>0.19</v>
      </c>
      <c r="V12" s="148" t="n">
        <v>0.6333333333333334</v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39" t="n">
        <v>0.1234567901234568</v>
      </c>
      <c r="D13" s="140" t="n">
        <v>0</v>
      </c>
      <c r="E13" s="139" t="n">
        <v>0.3703703703703703</v>
      </c>
      <c r="F13" s="139" t="n">
        <v>0</v>
      </c>
      <c r="G13" s="141" t="n">
        <v>0</v>
      </c>
      <c r="H13" s="100" t="inlineStr">
        <is>
          <t>Atrasado</t>
        </is>
      </c>
      <c r="I13" s="142" t="n">
        <v>3</v>
      </c>
      <c r="J13" s="143" t="n">
        <v>0.6</v>
      </c>
      <c r="K13" s="142" t="n">
        <v>3</v>
      </c>
      <c r="L13" s="143" t="n">
        <v>0.75</v>
      </c>
      <c r="M13" s="142" t="n">
        <v>1</v>
      </c>
      <c r="N13" s="143" t="n">
        <v>1</v>
      </c>
      <c r="O13" s="142" t="n">
        <v>2</v>
      </c>
      <c r="P13" s="143" t="n">
        <v>1</v>
      </c>
      <c r="Q13" s="142" t="n">
        <v>11</v>
      </c>
      <c r="R13" s="143" t="n">
        <v>1.1</v>
      </c>
      <c r="S13" s="142" t="n">
        <v>1</v>
      </c>
      <c r="T13" s="143" t="n">
        <v>0.5</v>
      </c>
      <c r="U13" s="144" t="n">
        <v>0.22</v>
      </c>
      <c r="V13" s="143" t="n">
        <v>0.7333333333333334</v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46" t="n">
        <v>0.1234567901234568</v>
      </c>
      <c r="D14" s="140" t="n">
        <v>0</v>
      </c>
      <c r="E14" s="146" t="n">
        <v>0.4938271604938271</v>
      </c>
      <c r="F14" s="146" t="n">
        <v>0</v>
      </c>
      <c r="G14" s="147" t="n">
        <v>0</v>
      </c>
      <c r="H14" s="101" t="inlineStr">
        <is>
          <t>Atrasado</t>
        </is>
      </c>
      <c r="I14" s="142" t="n">
        <v>3</v>
      </c>
      <c r="J14" s="148" t="n">
        <v>0.6</v>
      </c>
      <c r="K14" s="142" t="n">
        <v>3</v>
      </c>
      <c r="L14" s="148" t="n">
        <v>0.75</v>
      </c>
      <c r="M14" s="142" t="n">
        <v>1</v>
      </c>
      <c r="N14" s="148" t="n">
        <v>1</v>
      </c>
      <c r="O14" s="142" t="n">
        <v>1</v>
      </c>
      <c r="P14" s="148" t="n">
        <v>0.5</v>
      </c>
      <c r="Q14" s="142" t="n">
        <v>9</v>
      </c>
      <c r="R14" s="148" t="n">
        <v>0.9</v>
      </c>
      <c r="S14" s="142" t="n">
        <v>2</v>
      </c>
      <c r="T14" s="148" t="n">
        <v>1</v>
      </c>
      <c r="U14" s="144" t="n">
        <v>0.27</v>
      </c>
      <c r="V14" s="148" t="n">
        <v>0.9000000000000001</v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39" t="n">
        <v>0.1234567901234568</v>
      </c>
      <c r="D15" s="140" t="n">
        <v>0</v>
      </c>
      <c r="E15" s="139" t="n">
        <v>0.6172839506172839</v>
      </c>
      <c r="F15" s="139" t="n">
        <v>0</v>
      </c>
      <c r="G15" s="141" t="n">
        <v>0</v>
      </c>
      <c r="H15" s="100" t="inlineStr">
        <is>
          <t>Atrasado</t>
        </is>
      </c>
      <c r="I15" s="142" t="n">
        <v>5</v>
      </c>
      <c r="J15" s="143" t="n">
        <v>1</v>
      </c>
      <c r="K15" s="142" t="n">
        <v>3</v>
      </c>
      <c r="L15" s="143" t="n">
        <v>0.75</v>
      </c>
      <c r="M15" s="142" t="n">
        <v>1</v>
      </c>
      <c r="N15" s="143" t="n">
        <v>1</v>
      </c>
      <c r="O15" s="142" t="n">
        <v>2</v>
      </c>
      <c r="P15" s="143" t="n">
        <v>1</v>
      </c>
      <c r="Q15" s="142" t="n">
        <v>7</v>
      </c>
      <c r="R15" s="143" t="n">
        <v>0.7</v>
      </c>
      <c r="S15" s="142" t="n">
        <v>1</v>
      </c>
      <c r="T15" s="143" t="n">
        <v>0.5</v>
      </c>
      <c r="U15" s="144" t="n">
        <v>0.13</v>
      </c>
      <c r="V15" s="143" t="n">
        <v>0.4333333333333333</v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46" t="n">
        <v>0.1234567901234568</v>
      </c>
      <c r="D16" s="140" t="n">
        <v>0</v>
      </c>
      <c r="E16" s="146" t="n">
        <v>0.7407407407407407</v>
      </c>
      <c r="F16" s="146" t="n">
        <v>0</v>
      </c>
      <c r="G16" s="147" t="n">
        <v>0</v>
      </c>
      <c r="H16" s="101" t="inlineStr">
        <is>
          <t>Atrasado</t>
        </is>
      </c>
      <c r="I16" s="142" t="n">
        <v>2</v>
      </c>
      <c r="J16" s="148" t="n">
        <v>0.4</v>
      </c>
      <c r="K16" s="142" t="n">
        <v>3</v>
      </c>
      <c r="L16" s="148" t="n">
        <v>0.75</v>
      </c>
      <c r="M16" s="142" t="n">
        <v>1</v>
      </c>
      <c r="N16" s="148" t="n">
        <v>1</v>
      </c>
      <c r="O16" s="142" t="n">
        <v>1</v>
      </c>
      <c r="P16" s="148" t="n">
        <v>0.5</v>
      </c>
      <c r="Q16" s="142" t="n">
        <v>10</v>
      </c>
      <c r="R16" s="148" t="n">
        <v>1</v>
      </c>
      <c r="S16" s="142" t="n">
        <v>2</v>
      </c>
      <c r="T16" s="148" t="n">
        <v>1</v>
      </c>
      <c r="U16" s="144" t="n">
        <v>0.26</v>
      </c>
      <c r="V16" s="148" t="n">
        <v>0.8666666666666667</v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39" t="n">
        <v>0.1234567901234568</v>
      </c>
      <c r="D17" s="140" t="n">
        <v>0</v>
      </c>
      <c r="E17" s="139" t="n">
        <v>0.8641975308641975</v>
      </c>
      <c r="F17" s="139" t="n">
        <v>0</v>
      </c>
      <c r="G17" s="141" t="n">
        <v>0</v>
      </c>
      <c r="H17" s="100" t="inlineStr">
        <is>
          <t>Atrasado</t>
        </is>
      </c>
      <c r="I17" s="142" t="n">
        <v>5</v>
      </c>
      <c r="J17" s="143" t="n">
        <v>1</v>
      </c>
      <c r="K17" s="142" t="n">
        <v>2</v>
      </c>
      <c r="L17" s="143" t="n">
        <v>0.5</v>
      </c>
      <c r="M17" s="142" t="n">
        <v>0</v>
      </c>
      <c r="N17" s="143" t="n">
        <v>0</v>
      </c>
      <c r="O17" s="142" t="n">
        <v>2</v>
      </c>
      <c r="P17" s="143" t="n">
        <v>1</v>
      </c>
      <c r="Q17" s="142" t="n">
        <v>6</v>
      </c>
      <c r="R17" s="143" t="n">
        <v>0.6</v>
      </c>
      <c r="S17" s="142" t="n">
        <v>2</v>
      </c>
      <c r="T17" s="143" t="n">
        <v>1</v>
      </c>
      <c r="U17" s="144" t="n">
        <v>0.24</v>
      </c>
      <c r="V17" s="143" t="n">
        <v>0.8</v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46" t="n">
        <v>0.1234567901234568</v>
      </c>
      <c r="D18" s="140" t="n">
        <v>1</v>
      </c>
      <c r="E18" s="146" t="n">
        <v>0.9876543209876543</v>
      </c>
      <c r="F18" s="146" t="n">
        <v>1</v>
      </c>
      <c r="G18" s="147" t="n">
        <v>1.0125</v>
      </c>
      <c r="H18" s="101" t="inlineStr">
        <is>
          <t>En meta</t>
        </is>
      </c>
      <c r="I18" s="142" t="n">
        <v>5</v>
      </c>
      <c r="J18" s="148" t="n">
        <v>1</v>
      </c>
      <c r="K18" s="142" t="n">
        <v>4</v>
      </c>
      <c r="L18" s="148" t="n">
        <v>1</v>
      </c>
      <c r="M18" s="142" t="n">
        <v>0</v>
      </c>
      <c r="N18" s="148" t="n">
        <v>0</v>
      </c>
      <c r="O18" s="142" t="n">
        <v>2</v>
      </c>
      <c r="P18" s="148" t="n">
        <v>1</v>
      </c>
      <c r="Q18" s="142" t="n">
        <v>6</v>
      </c>
      <c r="R18" s="148" t="n">
        <v>0.6</v>
      </c>
      <c r="S18" s="142" t="n">
        <v>1</v>
      </c>
      <c r="T18" s="148" t="n">
        <v>0.5</v>
      </c>
      <c r="U18" s="144" t="n">
        <v>0.2</v>
      </c>
      <c r="V18" s="148" t="n">
        <v>0.6666666666666667</v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39" t="n">
        <v>0.1234567901234568</v>
      </c>
      <c r="D19" s="140" t="n">
        <v>0</v>
      </c>
      <c r="E19" s="139" t="n">
        <v>1.111111111111111</v>
      </c>
      <c r="F19" s="139" t="n">
        <v>1</v>
      </c>
      <c r="G19" s="141" t="n">
        <v>0.8999999999999999</v>
      </c>
      <c r="H19" s="100" t="inlineStr">
        <is>
          <t>Riesgo</t>
        </is>
      </c>
      <c r="I19" s="142" t="n">
        <v>4</v>
      </c>
      <c r="J19" s="143" t="n">
        <v>0.8</v>
      </c>
      <c r="K19" s="142" t="n">
        <v>4</v>
      </c>
      <c r="L19" s="143" t="n">
        <v>1</v>
      </c>
      <c r="M19" s="142" t="n">
        <v>1</v>
      </c>
      <c r="N19" s="143" t="n">
        <v>1</v>
      </c>
      <c r="O19" s="142" t="n">
        <v>1</v>
      </c>
      <c r="P19" s="143" t="n">
        <v>0.5</v>
      </c>
      <c r="Q19" s="142" t="n">
        <v>6</v>
      </c>
      <c r="R19" s="143" t="n">
        <v>0.6</v>
      </c>
      <c r="S19" s="142" t="n">
        <v>1</v>
      </c>
      <c r="T19" s="143" t="n">
        <v>0.5</v>
      </c>
      <c r="U19" s="144" t="n">
        <v>0.22</v>
      </c>
      <c r="V19" s="143" t="n">
        <v>0.7333333333333334</v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46" t="n">
        <v>0.1234567901234568</v>
      </c>
      <c r="D20" s="140" t="n">
        <v>0</v>
      </c>
      <c r="E20" s="146" t="n">
        <v>1.234567901234568</v>
      </c>
      <c r="F20" s="146" t="n">
        <v>1</v>
      </c>
      <c r="G20" s="147" t="n">
        <v>0.8099999999999999</v>
      </c>
      <c r="H20" s="101" t="inlineStr">
        <is>
          <t>Riesgo</t>
        </is>
      </c>
      <c r="I20" s="142" t="n">
        <v>4</v>
      </c>
      <c r="J20" s="148" t="n">
        <v>0.8</v>
      </c>
      <c r="K20" s="142" t="n">
        <v>2</v>
      </c>
      <c r="L20" s="148" t="n">
        <v>0.5</v>
      </c>
      <c r="M20" s="142" t="n">
        <v>1</v>
      </c>
      <c r="N20" s="148" t="n">
        <v>1</v>
      </c>
      <c r="O20" s="142" t="n">
        <v>2</v>
      </c>
      <c r="P20" s="148" t="n">
        <v>1</v>
      </c>
      <c r="Q20" s="142" t="n">
        <v>9</v>
      </c>
      <c r="R20" s="148" t="n">
        <v>0.9</v>
      </c>
      <c r="S20" s="142" t="n">
        <v>1</v>
      </c>
      <c r="T20" s="148" t="n">
        <v>0.5</v>
      </c>
      <c r="U20" s="144" t="n">
        <v>0.18</v>
      </c>
      <c r="V20" s="148" t="n">
        <v>0.6</v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39" t="n">
        <v>0.1234567901234568</v>
      </c>
      <c r="D21" s="140" t="n">
        <v>0</v>
      </c>
      <c r="E21" s="139" t="n">
        <v>1.358024691358025</v>
      </c>
      <c r="F21" s="139" t="n">
        <v>1</v>
      </c>
      <c r="G21" s="141" t="n">
        <v>0.7363636363636362</v>
      </c>
      <c r="H21" s="100" t="inlineStr">
        <is>
          <t>Atrasado</t>
        </is>
      </c>
      <c r="I21" s="142" t="n">
        <v>3</v>
      </c>
      <c r="J21" s="143" t="n">
        <v>0.6</v>
      </c>
      <c r="K21" s="142" t="n">
        <v>4</v>
      </c>
      <c r="L21" s="143" t="n">
        <v>1</v>
      </c>
      <c r="M21" s="142" t="n">
        <v>1</v>
      </c>
      <c r="N21" s="143" t="n">
        <v>1</v>
      </c>
      <c r="O21" s="142" t="n">
        <v>1</v>
      </c>
      <c r="P21" s="143" t="n">
        <v>0.5</v>
      </c>
      <c r="Q21" s="142" t="n">
        <v>8</v>
      </c>
      <c r="R21" s="143" t="n">
        <v>0.8</v>
      </c>
      <c r="S21" s="142" t="n">
        <v>2</v>
      </c>
      <c r="T21" s="143" t="n">
        <v>1</v>
      </c>
      <c r="U21" s="144" t="n">
        <v>0.24</v>
      </c>
      <c r="V21" s="143" t="n">
        <v>0.8</v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46" t="n">
        <v>0.1234567901234568</v>
      </c>
      <c r="D22" s="140" t="n">
        <v>0</v>
      </c>
      <c r="E22" s="146" t="n">
        <v>1.481481481481482</v>
      </c>
      <c r="F22" s="146" t="n">
        <v>1</v>
      </c>
      <c r="G22" s="147" t="n">
        <v>0.6749999999999998</v>
      </c>
      <c r="H22" s="101" t="inlineStr">
        <is>
          <t>Atrasado</t>
        </is>
      </c>
      <c r="I22" s="142" t="n">
        <v>4</v>
      </c>
      <c r="J22" s="148" t="n">
        <v>0.8</v>
      </c>
      <c r="K22" s="142" t="n">
        <v>3</v>
      </c>
      <c r="L22" s="148" t="n">
        <v>0.75</v>
      </c>
      <c r="M22" s="142" t="n">
        <v>1</v>
      </c>
      <c r="N22" s="148" t="n">
        <v>1</v>
      </c>
      <c r="O22" s="142" t="n">
        <v>1</v>
      </c>
      <c r="P22" s="148" t="n">
        <v>0.5</v>
      </c>
      <c r="Q22" s="142" t="n">
        <v>10</v>
      </c>
      <c r="R22" s="148" t="n">
        <v>1</v>
      </c>
      <c r="S22" s="142" t="n">
        <v>2</v>
      </c>
      <c r="T22" s="148" t="n">
        <v>1</v>
      </c>
      <c r="U22" s="144" t="n">
        <v>0.23</v>
      </c>
      <c r="V22" s="148" t="n">
        <v>0.7666666666666667</v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39" t="n">
        <v>0.1234567901234568</v>
      </c>
      <c r="D23" s="140" t="n"/>
      <c r="E23" s="139" t="n">
        <v>1.604938271604939</v>
      </c>
      <c r="F23" s="139" t="n">
        <v>1</v>
      </c>
      <c r="G23" s="141" t="n">
        <v>0.6230769230769229</v>
      </c>
      <c r="H23" s="100" t="inlineStr">
        <is>
          <t>Atrasado</t>
        </is>
      </c>
      <c r="I23" s="142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4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46" t="n">
        <v>0.1234567901234568</v>
      </c>
      <c r="D24" s="140" t="n"/>
      <c r="E24" s="146" t="n">
        <v>1.728395061728396</v>
      </c>
      <c r="F24" s="146" t="n">
        <v>1</v>
      </c>
      <c r="G24" s="147" t="n">
        <v>0.5785714285714284</v>
      </c>
      <c r="H24" s="101" t="inlineStr">
        <is>
          <t>Atrasado</t>
        </is>
      </c>
      <c r="I24" s="142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4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39" t="n">
        <v>0.1234567901234568</v>
      </c>
      <c r="D25" s="140" t="n"/>
      <c r="E25" s="139" t="n">
        <v>1.851851851851853</v>
      </c>
      <c r="F25" s="139" t="n">
        <v>1</v>
      </c>
      <c r="G25" s="141" t="n">
        <v>0.5399999999999998</v>
      </c>
      <c r="H25" s="100" t="inlineStr">
        <is>
          <t>Atrasado</t>
        </is>
      </c>
      <c r="I25" s="142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4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46" t="n">
        <v>0.1234567901234568</v>
      </c>
      <c r="D26" s="140" t="n"/>
      <c r="E26" s="146" t="n">
        <v>1.975308641975309</v>
      </c>
      <c r="F26" s="146" t="n">
        <v>1</v>
      </c>
      <c r="G26" s="147" t="n">
        <v>0.5062499999999998</v>
      </c>
      <c r="H26" s="101" t="inlineStr">
        <is>
          <t>Atrasado</t>
        </is>
      </c>
      <c r="I26" s="142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4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39" t="n">
        <v>0.1234567901234568</v>
      </c>
      <c r="D27" s="140" t="n"/>
      <c r="E27" s="139" t="n">
        <v>2.098765432098766</v>
      </c>
      <c r="F27" s="139" t="n">
        <v>1</v>
      </c>
      <c r="G27" s="141" t="n">
        <v>0.4764705882352939</v>
      </c>
      <c r="H27" s="100" t="inlineStr">
        <is>
          <t>Atrasado</t>
        </is>
      </c>
      <c r="I27" s="142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4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46" t="n">
        <v>0.1234567901234568</v>
      </c>
      <c r="D28" s="140" t="n"/>
      <c r="E28" s="146" t="n">
        <v>2.222222222222223</v>
      </c>
      <c r="F28" s="146" t="n">
        <v>1</v>
      </c>
      <c r="G28" s="147" t="n">
        <v>0.4499999999999998</v>
      </c>
      <c r="H28" s="101" t="inlineStr">
        <is>
          <t>Atrasado</t>
        </is>
      </c>
      <c r="I28" s="142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4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39" t="n">
        <v>0.1234567901234568</v>
      </c>
      <c r="D29" s="140" t="n"/>
      <c r="E29" s="139" t="n">
        <v>2.34567901234568</v>
      </c>
      <c r="F29" s="139" t="n">
        <v>1</v>
      </c>
      <c r="G29" s="141" t="n">
        <v>0.426315789473684</v>
      </c>
      <c r="H29" s="100" t="inlineStr">
        <is>
          <t>Atrasado</t>
        </is>
      </c>
      <c r="I29" s="142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2" t="n"/>
      <c r="R29" s="143">
        <f>IF(Q29="","",IF($Q$9="","",IF($Q$9=0,"",Q29/$Q$9)))</f>
        <v/>
      </c>
      <c r="S29" s="142" t="n"/>
      <c r="T29" s="143">
        <f>IF(S29="","",IF($S$9="","",IF($S$9=0,"",S29/$S$9)))</f>
        <v/>
      </c>
      <c r="U29" s="144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46" t="n">
        <v>0.1234567901234568</v>
      </c>
      <c r="D30" s="140" t="n"/>
      <c r="E30" s="146" t="n">
        <v>2.469135802469137</v>
      </c>
      <c r="F30" s="146" t="n">
        <v>1</v>
      </c>
      <c r="G30" s="147" t="n">
        <v>0.4049999999999998</v>
      </c>
      <c r="H30" s="101" t="inlineStr">
        <is>
          <t>Atrasado</t>
        </is>
      </c>
      <c r="I30" s="142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2" t="n"/>
      <c r="R30" s="148">
        <f>IF(Q30="","",IF($Q$9="","",IF($Q$9=0,"",Q30/$Q$9)))</f>
        <v/>
      </c>
      <c r="S30" s="142" t="n"/>
      <c r="T30" s="148">
        <f>IF(S30="","",IF($S$9="","",IF($S$9=0,"",S30/$S$9)))</f>
        <v/>
      </c>
      <c r="U30" s="144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39" t="n">
        <v>0.1234567901234568</v>
      </c>
      <c r="D31" s="140" t="n"/>
      <c r="E31" s="139" t="n">
        <v>2.592592592592594</v>
      </c>
      <c r="F31" s="139" t="n">
        <v>1</v>
      </c>
      <c r="G31" s="141" t="n">
        <v>0.3857142857142855</v>
      </c>
      <c r="H31" s="100" t="inlineStr">
        <is>
          <t>Atrasado</t>
        </is>
      </c>
      <c r="I31" s="142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2" t="n"/>
      <c r="R31" s="143">
        <f>IF(Q31="","",IF($Q$9="","",IF($Q$9=0,"",Q31/$Q$9)))</f>
        <v/>
      </c>
      <c r="S31" s="142" t="n"/>
      <c r="T31" s="143">
        <f>IF(S31="","",IF($S$9="","",IF($S$9=0,"",S31/$S$9)))</f>
        <v/>
      </c>
      <c r="U31" s="144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46" t="n">
        <v>0.1234567901234568</v>
      </c>
      <c r="D32" s="140" t="n"/>
      <c r="E32" s="146" t="n">
        <v>2.716049382716051</v>
      </c>
      <c r="F32" s="146" t="n">
        <v>1</v>
      </c>
      <c r="G32" s="147" t="n">
        <v>0.368181818181818</v>
      </c>
      <c r="H32" s="101" t="inlineStr">
        <is>
          <t>Atrasado</t>
        </is>
      </c>
      <c r="I32" s="142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2" t="n"/>
      <c r="R32" s="148">
        <f>IF(Q32="","",IF($Q$9="","",IF($Q$9=0,"",Q32/$Q$9)))</f>
        <v/>
      </c>
      <c r="S32" s="142" t="n"/>
      <c r="T32" s="148">
        <f>IF(S32="","",IF($S$9="","",IF($S$9=0,"",S32/$S$9)))</f>
        <v/>
      </c>
      <c r="U32" s="144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39" t="n">
        <v>0.1234567901234568</v>
      </c>
      <c r="D33" s="140" t="n"/>
      <c r="E33" s="139" t="n">
        <v>2.839506172839508</v>
      </c>
      <c r="F33" s="139" t="n">
        <v>1</v>
      </c>
      <c r="G33" s="141" t="n">
        <v>0.3521739130434781</v>
      </c>
      <c r="H33" s="100" t="inlineStr">
        <is>
          <t>Atrasado</t>
        </is>
      </c>
      <c r="I33" s="142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2" t="n"/>
      <c r="R33" s="143">
        <f>IF(Q33="","",IF($Q$9="","",IF($Q$9=0,"",Q33/$Q$9)))</f>
        <v/>
      </c>
      <c r="S33" s="142" t="n"/>
      <c r="T33" s="143">
        <f>IF(S33="","",IF($S$9="","",IF($S$9=0,"",S33/$S$9)))</f>
        <v/>
      </c>
      <c r="U33" s="144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46" t="n">
        <v>0.1234567901234568</v>
      </c>
      <c r="D34" s="140" t="n"/>
      <c r="E34" s="146" t="n">
        <v>2.962962962962965</v>
      </c>
      <c r="F34" s="146" t="n">
        <v>1</v>
      </c>
      <c r="G34" s="147" t="n">
        <v>0.3374999999999998</v>
      </c>
      <c r="H34" s="101" t="inlineStr">
        <is>
          <t>Atrasado</t>
        </is>
      </c>
      <c r="I34" s="142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2" t="n"/>
      <c r="R34" s="148">
        <f>IF(Q34="","",IF($Q$9="","",IF($Q$9=0,"",Q34/$Q$9)))</f>
        <v/>
      </c>
      <c r="S34" s="142" t="n"/>
      <c r="T34" s="148">
        <f>IF(S34="","",IF($S$9="","",IF($S$9=0,"",S34/$S$9)))</f>
        <v/>
      </c>
      <c r="U34" s="144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39" t="n">
        <v>0.1234567901234568</v>
      </c>
      <c r="D35" s="140" t="n"/>
      <c r="E35" s="139" t="n">
        <v>3.086419753086421</v>
      </c>
      <c r="F35" s="139" t="n">
        <v>1</v>
      </c>
      <c r="G35" s="141" t="n">
        <v>0.3239999999999998</v>
      </c>
      <c r="H35" s="100" t="inlineStr">
        <is>
          <t>Atrasado</t>
        </is>
      </c>
      <c r="I35" s="142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2" t="n"/>
      <c r="R35" s="143">
        <f>IF(Q35="","",IF($Q$9="","",IF($Q$9=0,"",Q35/$Q$9)))</f>
        <v/>
      </c>
      <c r="S35" s="142" t="n"/>
      <c r="T35" s="143">
        <f>IF(S35="","",IF($S$9="","",IF($S$9=0,"",S35/$S$9)))</f>
        <v/>
      </c>
      <c r="U35" s="144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46" t="n">
        <v>0.1234567901234568</v>
      </c>
      <c r="D36" s="140" t="n"/>
      <c r="E36" s="146" t="n">
        <v>3.209876543209878</v>
      </c>
      <c r="F36" s="146" t="n">
        <v>1</v>
      </c>
      <c r="G36" s="147" t="n">
        <v>0.3115384615384614</v>
      </c>
      <c r="H36" s="101" t="inlineStr">
        <is>
          <t>Atrasado</t>
        </is>
      </c>
      <c r="I36" s="142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2" t="n"/>
      <c r="R36" s="148">
        <f>IF(Q36="","",IF($Q$9="","",IF($Q$9=0,"",Q36/$Q$9)))</f>
        <v/>
      </c>
      <c r="S36" s="142" t="n"/>
      <c r="T36" s="148">
        <f>IF(S36="","",IF($S$9="","",IF($S$9=0,"",S36/$S$9)))</f>
        <v/>
      </c>
      <c r="U36" s="144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39" t="n">
        <v>0.1234567901234568</v>
      </c>
      <c r="D37" s="140" t="n"/>
      <c r="E37" s="139" t="n">
        <v>3.333333333333335</v>
      </c>
      <c r="F37" s="139" t="n">
        <v>1</v>
      </c>
      <c r="G37" s="141" t="n">
        <v>0.2999999999999998</v>
      </c>
      <c r="H37" s="100" t="inlineStr">
        <is>
          <t>Atrasado</t>
        </is>
      </c>
      <c r="I37" s="142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2" t="n"/>
      <c r="R37" s="143">
        <f>IF(Q37="","",IF($Q$9="","",IF($Q$9=0,"",Q37/$Q$9)))</f>
        <v/>
      </c>
      <c r="S37" s="142" t="n"/>
      <c r="T37" s="143">
        <f>IF(S37="","",IF($S$9="","",IF($S$9=0,"",S37/$S$9)))</f>
        <v/>
      </c>
      <c r="U37" s="144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46" t="n">
        <v>0.1234567901234568</v>
      </c>
      <c r="D38" s="140" t="n"/>
      <c r="E38" s="146" t="n">
        <v>3.456790123456792</v>
      </c>
      <c r="F38" s="146" t="n">
        <v>1</v>
      </c>
      <c r="G38" s="147" t="n">
        <v>0.2892857142857141</v>
      </c>
      <c r="H38" s="101" t="inlineStr">
        <is>
          <t>Atrasado</t>
        </is>
      </c>
      <c r="I38" s="142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2" t="n"/>
      <c r="R38" s="148">
        <f>IF(Q38="","",IF($Q$9="","",IF($Q$9=0,"",Q38/$Q$9)))</f>
        <v/>
      </c>
      <c r="S38" s="142" t="n"/>
      <c r="T38" s="148">
        <f>IF(S38="","",IF($S$9="","",IF($S$9=0,"",S38/$S$9)))</f>
        <v/>
      </c>
      <c r="U38" s="144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39" t="n">
        <v>0.1234567901234568</v>
      </c>
      <c r="D39" s="140" t="n"/>
      <c r="E39" s="139" t="n">
        <v>3.580246913580249</v>
      </c>
      <c r="F39" s="139" t="n">
        <v>1</v>
      </c>
      <c r="G39" s="141" t="n">
        <v>0.279310344827586</v>
      </c>
      <c r="H39" s="100" t="inlineStr">
        <is>
          <t>Atrasado</t>
        </is>
      </c>
      <c r="I39" s="142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2" t="n"/>
      <c r="R39" s="143">
        <f>IF(Q39="","",IF($Q$9="","",IF($Q$9=0,"",Q39/$Q$9)))</f>
        <v/>
      </c>
      <c r="S39" s="142" t="n"/>
      <c r="T39" s="143">
        <f>IF(S39="","",IF($S$9="","",IF($S$9=0,"",S39/$S$9)))</f>
        <v/>
      </c>
      <c r="U39" s="144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46" t="n">
        <v>0.1234567901234568</v>
      </c>
      <c r="D40" s="140" t="n"/>
      <c r="E40" s="146" t="n">
        <v>3.703703703703706</v>
      </c>
      <c r="F40" s="146" t="n">
        <v>1</v>
      </c>
      <c r="G40" s="147" t="n">
        <v>0.2699999999999999</v>
      </c>
      <c r="H40" s="101" t="inlineStr">
        <is>
          <t>Atrasado</t>
        </is>
      </c>
      <c r="I40" s="142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2" t="n"/>
      <c r="N40" s="148">
        <f>IF(M40="","",IF($M$9="","",IF($M$9=0,"",M40/$M$9)))</f>
        <v/>
      </c>
      <c r="O40" s="142" t="n"/>
      <c r="P40" s="148">
        <f>IF(O40="","",IF($O$9="","",IF($O$9=0,"",O40/$O$9)))</f>
        <v/>
      </c>
      <c r="Q40" s="142" t="n"/>
      <c r="R40" s="148">
        <f>IF(Q40="","",IF($Q$9="","",IF($Q$9=0,"",Q40/$Q$9)))</f>
        <v/>
      </c>
      <c r="S40" s="142" t="n"/>
      <c r="T40" s="148">
        <f>IF(S40="","",IF($S$9="","",IF($S$9=0,"",S40/$S$9)))</f>
        <v/>
      </c>
      <c r="U40" s="144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39" t="n">
        <v>0.1234567901234568</v>
      </c>
      <c r="D41" s="140" t="n"/>
      <c r="E41" s="139" t="n">
        <v>3.827160493827163</v>
      </c>
      <c r="F41" s="139" t="n">
        <v>1</v>
      </c>
      <c r="G41" s="141" t="n">
        <v>0.261290322580645</v>
      </c>
      <c r="H41" s="100" t="inlineStr">
        <is>
          <t>Atrasado</t>
        </is>
      </c>
      <c r="I41" s="142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2" t="n"/>
      <c r="N41" s="143">
        <f>IF(M41="","",IF($M$9="","",IF($M$9=0,"",M41/$M$9)))</f>
        <v/>
      </c>
      <c r="O41" s="142" t="n"/>
      <c r="P41" s="143">
        <f>IF(O41="","",IF($O$9="","",IF($O$9=0,"",O41/$O$9)))</f>
        <v/>
      </c>
      <c r="Q41" s="142" t="n"/>
      <c r="R41" s="143">
        <f>IF(Q41="","",IF($Q$9="","",IF($Q$9=0,"",Q41/$Q$9)))</f>
        <v/>
      </c>
      <c r="S41" s="142" t="n"/>
      <c r="T41" s="143">
        <f>IF(S41="","",IF($S$9="","",IF($S$9=0,"",S41/$S$9)))</f>
        <v/>
      </c>
      <c r="U41" s="144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46" t="n">
        <v>0.1234567901234568</v>
      </c>
      <c r="D42" s="140" t="n"/>
      <c r="E42" s="146" t="n">
        <v>3.95061728395062</v>
      </c>
      <c r="F42" s="146" t="n">
        <v>1</v>
      </c>
      <c r="G42" s="147" t="n">
        <v>0.2531249999999998</v>
      </c>
      <c r="H42" s="101" t="inlineStr">
        <is>
          <t>Atrasado</t>
        </is>
      </c>
      <c r="I42" s="142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2" t="n"/>
      <c r="N42" s="148">
        <f>IF(M42="","",IF($M$9="","",IF($M$9=0,"",M42/$M$9)))</f>
        <v/>
      </c>
      <c r="O42" s="142" t="n"/>
      <c r="P42" s="148">
        <f>IF(O42="","",IF($O$9="","",IF($O$9=0,"",O42/$O$9)))</f>
        <v/>
      </c>
      <c r="Q42" s="142" t="n"/>
      <c r="R42" s="148">
        <f>IF(Q42="","",IF($Q$9="","",IF($Q$9=0,"",Q42/$Q$9)))</f>
        <v/>
      </c>
      <c r="S42" s="142" t="n"/>
      <c r="T42" s="148">
        <f>IF(S42="","",IF($S$9="","",IF($S$9=0,"",S42/$S$9)))</f>
        <v/>
      </c>
      <c r="U42" s="144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39" t="n">
        <v>0.1234567901234568</v>
      </c>
      <c r="D43" s="140" t="n"/>
      <c r="E43" s="139" t="n">
        <v>4.074074074074076</v>
      </c>
      <c r="F43" s="139" t="n">
        <v>1</v>
      </c>
      <c r="G43" s="141" t="n">
        <v>0.2454545454545453</v>
      </c>
      <c r="H43" s="100" t="inlineStr">
        <is>
          <t>Atrasado</t>
        </is>
      </c>
      <c r="I43" s="142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2" t="n"/>
      <c r="N43" s="143">
        <f>IF(M43="","",IF($M$9="","",IF($M$9=0,"",M43/$M$9)))</f>
        <v/>
      </c>
      <c r="O43" s="142" t="n"/>
      <c r="P43" s="143">
        <f>IF(O43="","",IF($O$9="","",IF($O$9=0,"",O43/$O$9)))</f>
        <v/>
      </c>
      <c r="Q43" s="142" t="n"/>
      <c r="R43" s="143">
        <f>IF(Q43="","",IF($Q$9="","",IF($Q$9=0,"",Q43/$Q$9)))</f>
        <v/>
      </c>
      <c r="S43" s="142" t="n"/>
      <c r="T43" s="143">
        <f>IF(S43="","",IF($S$9="","",IF($S$9=0,"",S43/$S$9)))</f>
        <v/>
      </c>
      <c r="U43" s="144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46" t="n">
        <v>0.1234567901234568</v>
      </c>
      <c r="D44" s="140" t="n"/>
      <c r="E44" s="146" t="n">
        <v>4.197530864197533</v>
      </c>
      <c r="F44" s="146" t="n">
        <v>1</v>
      </c>
      <c r="G44" s="147" t="n">
        <v>0.238235294117647</v>
      </c>
      <c r="H44" s="101" t="inlineStr">
        <is>
          <t>Atrasado</t>
        </is>
      </c>
      <c r="I44" s="142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2" t="n"/>
      <c r="N44" s="148">
        <f>IF(M44="","",IF($M$9="","",IF($M$9=0,"",M44/$M$9)))</f>
        <v/>
      </c>
      <c r="O44" s="142" t="n"/>
      <c r="P44" s="148">
        <f>IF(O44="","",IF($O$9="","",IF($O$9=0,"",O44/$O$9)))</f>
        <v/>
      </c>
      <c r="Q44" s="142" t="n"/>
      <c r="R44" s="148">
        <f>IF(Q44="","",IF($Q$9="","",IF($Q$9=0,"",Q44/$Q$9)))</f>
        <v/>
      </c>
      <c r="S44" s="142" t="n"/>
      <c r="T44" s="148">
        <f>IF(S44="","",IF($S$9="","",IF($S$9=0,"",S44/$S$9)))</f>
        <v/>
      </c>
      <c r="U44" s="144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39" t="n">
        <v>0.1234567901234568</v>
      </c>
      <c r="D45" s="140" t="n"/>
      <c r="E45" s="139" t="n">
        <v>4.320987654320989</v>
      </c>
      <c r="F45" s="139" t="n">
        <v>1</v>
      </c>
      <c r="G45" s="141" t="n">
        <v>0.2314285714285713</v>
      </c>
      <c r="H45" s="100" t="inlineStr">
        <is>
          <t>Atrasado</t>
        </is>
      </c>
      <c r="I45" s="142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2" t="n"/>
      <c r="N45" s="143">
        <f>IF(M45="","",IF($M$9="","",IF($M$9=0,"",M45/$M$9)))</f>
        <v/>
      </c>
      <c r="O45" s="142" t="n"/>
      <c r="P45" s="143">
        <f>IF(O45="","",IF($O$9="","",IF($O$9=0,"",O45/$O$9)))</f>
        <v/>
      </c>
      <c r="Q45" s="142" t="n"/>
      <c r="R45" s="143">
        <f>IF(Q45="","",IF($Q$9="","",IF($Q$9=0,"",Q45/$Q$9)))</f>
        <v/>
      </c>
      <c r="S45" s="142" t="n"/>
      <c r="T45" s="143">
        <f>IF(S45="","",IF($S$9="","",IF($S$9=0,"",S45/$S$9)))</f>
        <v/>
      </c>
      <c r="U45" s="144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46" t="n">
        <v>0.1234567901234568</v>
      </c>
      <c r="D46" s="140" t="n"/>
      <c r="E46" s="146" t="n">
        <v>4.444444444444446</v>
      </c>
      <c r="F46" s="146" t="n">
        <v>1</v>
      </c>
      <c r="G46" s="147" t="n">
        <v>0.225</v>
      </c>
      <c r="H46" s="101" t="inlineStr">
        <is>
          <t>Atrasado</t>
        </is>
      </c>
      <c r="I46" s="142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2" t="n"/>
      <c r="N46" s="148">
        <f>IF(M46="","",IF($M$9="","",IF($M$9=0,"",M46/$M$9)))</f>
        <v/>
      </c>
      <c r="O46" s="142" t="n"/>
      <c r="P46" s="148">
        <f>IF(O46="","",IF($O$9="","",IF($O$9=0,"",O46/$O$9)))</f>
        <v/>
      </c>
      <c r="Q46" s="142" t="n"/>
      <c r="R46" s="148">
        <f>IF(Q46="","",IF($Q$9="","",IF($Q$9=0,"",Q46/$Q$9)))</f>
        <v/>
      </c>
      <c r="S46" s="142" t="n"/>
      <c r="T46" s="148">
        <f>IF(S46="","",IF($S$9="","",IF($S$9=0,"",S46/$S$9)))</f>
        <v/>
      </c>
      <c r="U46" s="144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39" t="n">
        <v>0.1234567901234568</v>
      </c>
      <c r="D47" s="140" t="n"/>
      <c r="E47" s="139" t="n">
        <v>4.567901234567902</v>
      </c>
      <c r="F47" s="139" t="n">
        <v>1</v>
      </c>
      <c r="G47" s="141" t="n">
        <v>0.2189189189189189</v>
      </c>
      <c r="H47" s="100" t="inlineStr">
        <is>
          <t>Atrasado</t>
        </is>
      </c>
      <c r="I47" s="142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2" t="n"/>
      <c r="N47" s="143">
        <f>IF(M47="","",IF($M$9="","",IF($M$9=0,"",M47/$M$9)))</f>
        <v/>
      </c>
      <c r="O47" s="142" t="n"/>
      <c r="P47" s="143">
        <f>IF(O47="","",IF($O$9="","",IF($O$9=0,"",O47/$O$9)))</f>
        <v/>
      </c>
      <c r="Q47" s="142" t="n"/>
      <c r="R47" s="143">
        <f>IF(Q47="","",IF($Q$9="","",IF($Q$9=0,"",Q47/$Q$9)))</f>
        <v/>
      </c>
      <c r="S47" s="142" t="n"/>
      <c r="T47" s="143">
        <f>IF(S47="","",IF($S$9="","",IF($S$9=0,"",S47/$S$9)))</f>
        <v/>
      </c>
      <c r="U47" s="144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46" t="n">
        <v>0.1234567901234568</v>
      </c>
      <c r="D48" s="140" t="n"/>
      <c r="E48" s="146" t="n">
        <v>4.691358024691358</v>
      </c>
      <c r="F48" s="146" t="n">
        <v>1</v>
      </c>
      <c r="G48" s="147" t="n">
        <v>0.2131578947368421</v>
      </c>
      <c r="H48" s="101" t="inlineStr">
        <is>
          <t>Atrasado</t>
        </is>
      </c>
      <c r="I48" s="142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2" t="n"/>
      <c r="N48" s="148">
        <f>IF(M48="","",IF($M$9="","",IF($M$9=0,"",M48/$M$9)))</f>
        <v/>
      </c>
      <c r="O48" s="142" t="n"/>
      <c r="P48" s="148">
        <f>IF(O48="","",IF($O$9="","",IF($O$9=0,"",O48/$O$9)))</f>
        <v/>
      </c>
      <c r="Q48" s="142" t="n"/>
      <c r="R48" s="148">
        <f>IF(Q48="","",IF($Q$9="","",IF($Q$9=0,"",Q48/$Q$9)))</f>
        <v/>
      </c>
      <c r="S48" s="142" t="n"/>
      <c r="T48" s="148">
        <f>IF(S48="","",IF($S$9="","",IF($S$9=0,"",S48/$S$9)))</f>
        <v/>
      </c>
      <c r="U48" s="144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39" t="n">
        <v>0.1234567901234568</v>
      </c>
      <c r="D49" s="140" t="n"/>
      <c r="E49" s="139" t="n">
        <v>4.814814814814815</v>
      </c>
      <c r="F49" s="139" t="n">
        <v>1</v>
      </c>
      <c r="G49" s="141" t="n">
        <v>0.2076923076923077</v>
      </c>
      <c r="H49" s="100" t="inlineStr">
        <is>
          <t>Atrasado</t>
        </is>
      </c>
      <c r="I49" s="142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2" t="n"/>
      <c r="N49" s="143">
        <f>IF(M49="","",IF($M$9="","",IF($M$9=0,"",M49/$M$9)))</f>
        <v/>
      </c>
      <c r="O49" s="142" t="n"/>
      <c r="P49" s="143">
        <f>IF(O49="","",IF($O$9="","",IF($O$9=0,"",O49/$O$9)))</f>
        <v/>
      </c>
      <c r="Q49" s="142" t="n"/>
      <c r="R49" s="143">
        <f>IF(Q49="","",IF($Q$9="","",IF($Q$9=0,"",Q49/$Q$9)))</f>
        <v/>
      </c>
      <c r="S49" s="142" t="n"/>
      <c r="T49" s="143">
        <f>IF(S49="","",IF($S$9="","",IF($S$9=0,"",S49/$S$9)))</f>
        <v/>
      </c>
      <c r="U49" s="144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46" t="n">
        <v>0.1234567901234568</v>
      </c>
      <c r="D50" s="140" t="n"/>
      <c r="E50" s="146" t="n">
        <v>4.938271604938271</v>
      </c>
      <c r="F50" s="146" t="n">
        <v>1</v>
      </c>
      <c r="G50" s="147" t="n">
        <v>0.2025</v>
      </c>
      <c r="H50" s="101" t="inlineStr">
        <is>
          <t>Atrasado</t>
        </is>
      </c>
      <c r="I50" s="142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2" t="n"/>
      <c r="N50" s="148">
        <f>IF(M50="","",IF($M$9="","",IF($M$9=0,"",M50/$M$9)))</f>
        <v/>
      </c>
      <c r="O50" s="142" t="n"/>
      <c r="P50" s="148">
        <f>IF(O50="","",IF($O$9="","",IF($O$9=0,"",O50/$O$9)))</f>
        <v/>
      </c>
      <c r="Q50" s="142" t="n"/>
      <c r="R50" s="148">
        <f>IF(Q50="","",IF($Q$9="","",IF($Q$9=0,"",Q50/$Q$9)))</f>
        <v/>
      </c>
      <c r="S50" s="142" t="n"/>
      <c r="T50" s="148">
        <f>IF(S50="","",IF($S$9="","",IF($S$9=0,"",S50/$S$9)))</f>
        <v/>
      </c>
      <c r="U50" s="144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39" t="n">
        <v>0.1234567901234568</v>
      </c>
      <c r="D51" s="140" t="n"/>
      <c r="E51" s="139" t="n">
        <v>5.061728395061728</v>
      </c>
      <c r="F51" s="139" t="n">
        <v>1</v>
      </c>
      <c r="G51" s="141" t="n">
        <v>0.1975609756097561</v>
      </c>
      <c r="H51" s="100" t="inlineStr">
        <is>
          <t>Atrasado</t>
        </is>
      </c>
      <c r="I51" s="142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2" t="n"/>
      <c r="N51" s="143">
        <f>IF(M51="","",IF($M$9="","",IF($M$9=0,"",M51/$M$9)))</f>
        <v/>
      </c>
      <c r="O51" s="142" t="n"/>
      <c r="P51" s="143">
        <f>IF(O51="","",IF($O$9="","",IF($O$9=0,"",O51/$O$9)))</f>
        <v/>
      </c>
      <c r="Q51" s="142" t="n"/>
      <c r="R51" s="143">
        <f>IF(Q51="","",IF($Q$9="","",IF($Q$9=0,"",Q51/$Q$9)))</f>
        <v/>
      </c>
      <c r="S51" s="142" t="n"/>
      <c r="T51" s="143">
        <f>IF(S51="","",IF($S$9="","",IF($S$9=0,"",S51/$S$9)))</f>
        <v/>
      </c>
      <c r="U51" s="144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46" t="n">
        <v>0.1234567901234568</v>
      </c>
      <c r="D52" s="140" t="n"/>
      <c r="E52" s="146" t="n">
        <v>5.185185185185184</v>
      </c>
      <c r="F52" s="146" t="n">
        <v>1</v>
      </c>
      <c r="G52" s="147" t="n">
        <v>0.1928571428571429</v>
      </c>
      <c r="H52" s="101" t="inlineStr">
        <is>
          <t>Atrasado</t>
        </is>
      </c>
      <c r="I52" s="142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2" t="n"/>
      <c r="N52" s="148">
        <f>IF(M52="","",IF($M$9="","",IF($M$9=0,"",M52/$M$9)))</f>
        <v/>
      </c>
      <c r="O52" s="142" t="n"/>
      <c r="P52" s="148">
        <f>IF(O52="","",IF($O$9="","",IF($O$9=0,"",O52/$O$9)))</f>
        <v/>
      </c>
      <c r="Q52" s="142" t="n"/>
      <c r="R52" s="148">
        <f>IF(Q52="","",IF($Q$9="","",IF($Q$9=0,"",Q52/$Q$9)))</f>
        <v/>
      </c>
      <c r="S52" s="142" t="n"/>
      <c r="T52" s="148">
        <f>IF(S52="","",IF($S$9="","",IF($S$9=0,"",S52/$S$9)))</f>
        <v/>
      </c>
      <c r="U52" s="144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 ht="15" customHeight="1" s="87">
      <c r="A53" s="92" t="n">
        <v>43</v>
      </c>
      <c r="B53" s="138" t="n">
        <v>46482</v>
      </c>
      <c r="C53" s="139" t="n">
        <v>0.1234567901234568</v>
      </c>
      <c r="D53" s="140" t="n"/>
      <c r="E53" s="139" t="n">
        <v>5.308641975308641</v>
      </c>
      <c r="F53" s="139" t="n">
        <v>1</v>
      </c>
      <c r="G53" s="141" t="n">
        <v>0.1883720930232559</v>
      </c>
      <c r="H53" s="100" t="inlineStr">
        <is>
          <t>Atrasado</t>
        </is>
      </c>
      <c r="I53" s="142" t="n"/>
      <c r="J53" s="143">
        <f>IF(I53="","",IF($I$9="","",IF($I$9=0,"",I53/$I$9)))</f>
        <v/>
      </c>
      <c r="K53" s="142" t="n"/>
      <c r="L53" s="143">
        <f>IF(K53="","",IF($K$9="","",IF($K$9=0,"",K53/$K$9)))</f>
        <v/>
      </c>
      <c r="M53" s="142" t="n"/>
      <c r="N53" s="143">
        <f>IF(M53="","",IF($M$9="","",IF($M$9=0,"",M53/$M$9)))</f>
        <v/>
      </c>
      <c r="O53" s="142" t="n"/>
      <c r="P53" s="143">
        <f>IF(O53="","",IF($O$9="","",IF($O$9=0,"",O53/$O$9)))</f>
        <v/>
      </c>
      <c r="Q53" s="142" t="n"/>
      <c r="R53" s="143">
        <f>IF(Q53="","",IF($Q$9="","",IF($Q$9=0,"",Q53/$Q$9)))</f>
        <v/>
      </c>
      <c r="S53" s="142" t="n"/>
      <c r="T53" s="143">
        <f>IF(S53="","",IF($S$9="","",IF($S$9=0,"",S53/$S$9)))</f>
        <v/>
      </c>
      <c r="U53" s="144" t="n"/>
      <c r="V53" s="143">
        <f>IF(U53="","",IF($U$9="","",IF($U$9=0,"",U53/$U$9)))</f>
        <v/>
      </c>
      <c r="W53" s="142" t="n"/>
      <c r="X53" s="143">
        <f>IF(W53="","",IF($W$9="","",IF($W$9=0,"",W53/$W$9)))</f>
        <v/>
      </c>
    </row>
    <row r="54" ht="15" customHeight="1" s="87">
      <c r="A54" s="115" t="n">
        <v>44</v>
      </c>
      <c r="B54" s="145" t="n">
        <v>46489</v>
      </c>
      <c r="C54" s="146" t="n">
        <v>0.1234567901234568</v>
      </c>
      <c r="D54" s="140" t="n"/>
      <c r="E54" s="146" t="n">
        <v>5.432098765432097</v>
      </c>
      <c r="F54" s="146" t="n">
        <v>1</v>
      </c>
      <c r="G54" s="147" t="n">
        <v>0.1840909090909091</v>
      </c>
      <c r="H54" s="101" t="inlineStr">
        <is>
          <t>Atrasado</t>
        </is>
      </c>
      <c r="I54" s="142" t="n"/>
      <c r="J54" s="148">
        <f>IF(I54="","",IF($I$9="","",IF($I$9=0,"",I54/$I$9)))</f>
        <v/>
      </c>
      <c r="K54" s="142" t="n"/>
      <c r="L54" s="148">
        <f>IF(K54="","",IF($K$9="","",IF($K$9=0,"",K54/$K$9)))</f>
        <v/>
      </c>
      <c r="M54" s="142" t="n"/>
      <c r="N54" s="148">
        <f>IF(M54="","",IF($M$9="","",IF($M$9=0,"",M54/$M$9)))</f>
        <v/>
      </c>
      <c r="O54" s="142" t="n"/>
      <c r="P54" s="148">
        <f>IF(O54="","",IF($O$9="","",IF($O$9=0,"",O54/$O$9)))</f>
        <v/>
      </c>
      <c r="Q54" s="142" t="n"/>
      <c r="R54" s="148">
        <f>IF(Q54="","",IF($Q$9="","",IF($Q$9=0,"",Q54/$Q$9)))</f>
        <v/>
      </c>
      <c r="S54" s="142" t="n"/>
      <c r="T54" s="148">
        <f>IF(S54="","",IF($S$9="","",IF($S$9=0,"",S54/$S$9)))</f>
        <v/>
      </c>
      <c r="U54" s="144" t="n"/>
      <c r="V54" s="148">
        <f>IF(U54="","",IF($U$9="","",IF($U$9=0,"",U54/$U$9)))</f>
        <v/>
      </c>
      <c r="W54" s="142" t="n"/>
      <c r="X54" s="148">
        <f>IF(W54="","",IF($W$9="","",IF($W$9=0,"",W54/$W$9)))</f>
        <v/>
      </c>
    </row>
    <row r="55" ht="15" customHeight="1" s="87">
      <c r="A55" s="92" t="n">
        <v>45</v>
      </c>
      <c r="B55" s="138" t="n">
        <v>46496</v>
      </c>
      <c r="C55" s="139" t="n">
        <v>0.1234567901234568</v>
      </c>
      <c r="D55" s="140" t="n"/>
      <c r="E55" s="139" t="n">
        <v>5.555555555555554</v>
      </c>
      <c r="F55" s="139" t="n">
        <v>1</v>
      </c>
      <c r="G55" s="141" t="n">
        <v>0.1800000000000001</v>
      </c>
      <c r="H55" s="100" t="inlineStr">
        <is>
          <t>Atrasado</t>
        </is>
      </c>
      <c r="I55" s="142" t="n"/>
      <c r="J55" s="143">
        <f>IF(I55="","",IF($I$9="","",IF($I$9=0,"",I55/$I$9)))</f>
        <v/>
      </c>
      <c r="K55" s="142" t="n"/>
      <c r="L55" s="143">
        <f>IF(K55="","",IF($K$9="","",IF($K$9=0,"",K55/$K$9)))</f>
        <v/>
      </c>
      <c r="M55" s="142" t="n"/>
      <c r="N55" s="143">
        <f>IF(M55="","",IF($M$9="","",IF($M$9=0,"",M55/$M$9)))</f>
        <v/>
      </c>
      <c r="O55" s="142" t="n"/>
      <c r="P55" s="143">
        <f>IF(O55="","",IF($O$9="","",IF($O$9=0,"",O55/$O$9)))</f>
        <v/>
      </c>
      <c r="Q55" s="142" t="n"/>
      <c r="R55" s="143">
        <f>IF(Q55="","",IF($Q$9="","",IF($Q$9=0,"",Q55/$Q$9)))</f>
        <v/>
      </c>
      <c r="S55" s="142" t="n"/>
      <c r="T55" s="143">
        <f>IF(S55="","",IF($S$9="","",IF($S$9=0,"",S55/$S$9)))</f>
        <v/>
      </c>
      <c r="U55" s="144" t="n"/>
      <c r="V55" s="143">
        <f>IF(U55="","",IF($U$9="","",IF($U$9=0,"",U55/$U$9)))</f>
        <v/>
      </c>
      <c r="W55" s="142" t="n"/>
      <c r="X55" s="143">
        <f>IF(W55="","",IF($W$9="","",IF($W$9=0,"",W55/$W$9)))</f>
        <v/>
      </c>
    </row>
    <row r="56" ht="15" customHeight="1" s="87">
      <c r="A56" s="115" t="n">
        <v>46</v>
      </c>
      <c r="B56" s="145" t="n">
        <v>46503</v>
      </c>
      <c r="C56" s="146" t="n">
        <v>0.1234567901234568</v>
      </c>
      <c r="D56" s="140" t="n"/>
      <c r="E56" s="146" t="n">
        <v>5.67901234567901</v>
      </c>
      <c r="F56" s="146" t="n">
        <v>1</v>
      </c>
      <c r="G56" s="147" t="n">
        <v>0.1760869565217392</v>
      </c>
      <c r="H56" s="101" t="inlineStr">
        <is>
          <t>Atrasado</t>
        </is>
      </c>
      <c r="I56" s="142" t="n"/>
      <c r="J56" s="148">
        <f>IF(I56="","",IF($I$9="","",IF($I$9=0,"",I56/$I$9)))</f>
        <v/>
      </c>
      <c r="K56" s="142" t="n"/>
      <c r="L56" s="148">
        <f>IF(K56="","",IF($K$9="","",IF($K$9=0,"",K56/$K$9)))</f>
        <v/>
      </c>
      <c r="M56" s="142" t="n"/>
      <c r="N56" s="148">
        <f>IF(M56="","",IF($M$9="","",IF($M$9=0,"",M56/$M$9)))</f>
        <v/>
      </c>
      <c r="O56" s="142" t="n"/>
      <c r="P56" s="148">
        <f>IF(O56="","",IF($O$9="","",IF($O$9=0,"",O56/$O$9)))</f>
        <v/>
      </c>
      <c r="Q56" s="142" t="n"/>
      <c r="R56" s="148">
        <f>IF(Q56="","",IF($Q$9="","",IF($Q$9=0,"",Q56/$Q$9)))</f>
        <v/>
      </c>
      <c r="S56" s="142" t="n"/>
      <c r="T56" s="148">
        <f>IF(S56="","",IF($S$9="","",IF($S$9=0,"",S56/$S$9)))</f>
        <v/>
      </c>
      <c r="U56" s="144" t="n"/>
      <c r="V56" s="148">
        <f>IF(U56="","",IF($U$9="","",IF($U$9=0,"",U56/$U$9)))</f>
        <v/>
      </c>
      <c r="W56" s="142" t="n"/>
      <c r="X56" s="148">
        <f>IF(W56="","",IF($W$9="","",IF($W$9=0,"",W56/$W$9)))</f>
        <v/>
      </c>
    </row>
    <row r="57" ht="15" customHeight="1" s="87">
      <c r="A57" s="92" t="n">
        <v>47</v>
      </c>
      <c r="B57" s="138" t="n">
        <v>46510</v>
      </c>
      <c r="C57" s="139" t="n">
        <v>0.1234567901234568</v>
      </c>
      <c r="D57" s="140" t="n"/>
      <c r="E57" s="139" t="n">
        <v>5.802469135802466</v>
      </c>
      <c r="F57" s="139" t="n">
        <v>1</v>
      </c>
      <c r="G57" s="141" t="n">
        <v>0.172340425531915</v>
      </c>
      <c r="H57" s="100" t="inlineStr">
        <is>
          <t>Atrasado</t>
        </is>
      </c>
      <c r="I57" s="142" t="n"/>
      <c r="J57" s="143">
        <f>IF(I57="","",IF($I$9="","",IF($I$9=0,"",I57/$I$9)))</f>
        <v/>
      </c>
      <c r="K57" s="142" t="n"/>
      <c r="L57" s="143">
        <f>IF(K57="","",IF($K$9="","",IF($K$9=0,"",K57/$K$9)))</f>
        <v/>
      </c>
      <c r="M57" s="142" t="n"/>
      <c r="N57" s="143">
        <f>IF(M57="","",IF($M$9="","",IF($M$9=0,"",M57/$M$9)))</f>
        <v/>
      </c>
      <c r="O57" s="142" t="n"/>
      <c r="P57" s="143">
        <f>IF(O57="","",IF($O$9="","",IF($O$9=0,"",O57/$O$9)))</f>
        <v/>
      </c>
      <c r="Q57" s="142" t="n"/>
      <c r="R57" s="143">
        <f>IF(Q57="","",IF($Q$9="","",IF($Q$9=0,"",Q57/$Q$9)))</f>
        <v/>
      </c>
      <c r="S57" s="142" t="n"/>
      <c r="T57" s="143">
        <f>IF(S57="","",IF($S$9="","",IF($S$9=0,"",S57/$S$9)))</f>
        <v/>
      </c>
      <c r="U57" s="144" t="n"/>
      <c r="V57" s="143">
        <f>IF(U57="","",IF($U$9="","",IF($U$9=0,"",U57/$U$9)))</f>
        <v/>
      </c>
      <c r="W57" s="142" t="n"/>
      <c r="X57" s="143">
        <f>IF(W57="","",IF($W$9="","",IF($W$9=0,"",W57/$W$9)))</f>
        <v/>
      </c>
    </row>
    <row r="58" ht="15" customHeight="1" s="87">
      <c r="A58" s="115" t="n">
        <v>48</v>
      </c>
      <c r="B58" s="145" t="n">
        <v>46517</v>
      </c>
      <c r="C58" s="146" t="n">
        <v>0.1234567901234568</v>
      </c>
      <c r="D58" s="140" t="n"/>
      <c r="E58" s="146" t="n">
        <v>5.925925925925923</v>
      </c>
      <c r="F58" s="146" t="n">
        <v>1</v>
      </c>
      <c r="G58" s="147" t="n">
        <v>0.1687500000000001</v>
      </c>
      <c r="H58" s="101" t="inlineStr">
        <is>
          <t>Atrasado</t>
        </is>
      </c>
      <c r="I58" s="142" t="n"/>
      <c r="J58" s="148">
        <f>IF(I58="","",IF($I$9="","",IF($I$9=0,"",I58/$I$9)))</f>
        <v/>
      </c>
      <c r="K58" s="142" t="n"/>
      <c r="L58" s="148">
        <f>IF(K58="","",IF($K$9="","",IF($K$9=0,"",K58/$K$9)))</f>
        <v/>
      </c>
      <c r="M58" s="142" t="n"/>
      <c r="N58" s="148">
        <f>IF(M58="","",IF($M$9="","",IF($M$9=0,"",M58/$M$9)))</f>
        <v/>
      </c>
      <c r="O58" s="142" t="n"/>
      <c r="P58" s="148">
        <f>IF(O58="","",IF($O$9="","",IF($O$9=0,"",O58/$O$9)))</f>
        <v/>
      </c>
      <c r="Q58" s="142" t="n"/>
      <c r="R58" s="148">
        <f>IF(Q58="","",IF($Q$9="","",IF($Q$9=0,"",Q58/$Q$9)))</f>
        <v/>
      </c>
      <c r="S58" s="142" t="n"/>
      <c r="T58" s="148">
        <f>IF(S58="","",IF($S$9="","",IF($S$9=0,"",S58/$S$9)))</f>
        <v/>
      </c>
      <c r="U58" s="144" t="n"/>
      <c r="V58" s="148">
        <f>IF(U58="","",IF($U$9="","",IF($U$9=0,"",U58/$U$9)))</f>
        <v/>
      </c>
      <c r="W58" s="142" t="n"/>
      <c r="X58" s="148">
        <f>IF(W58="","",IF($W$9="","",IF($W$9=0,"",W58/$W$9)))</f>
        <v/>
      </c>
    </row>
    <row r="59" ht="15" customHeight="1" s="87">
      <c r="A59" s="92" t="n">
        <v>49</v>
      </c>
      <c r="B59" s="138" t="n">
        <v>46524</v>
      </c>
      <c r="C59" s="139" t="n">
        <v>0.1234567901234568</v>
      </c>
      <c r="D59" s="140" t="n"/>
      <c r="E59" s="139" t="n">
        <v>6.049382716049379</v>
      </c>
      <c r="F59" s="139" t="n">
        <v>1</v>
      </c>
      <c r="G59" s="141" t="n">
        <v>0.1653061224489797</v>
      </c>
      <c r="H59" s="100" t="inlineStr">
        <is>
          <t>Atrasado</t>
        </is>
      </c>
      <c r="I59" s="142" t="n"/>
      <c r="J59" s="143">
        <f>IF(I59="","",IF($I$9="","",IF($I$9=0,"",I59/$I$9)))</f>
        <v/>
      </c>
      <c r="K59" s="142" t="n"/>
      <c r="L59" s="143">
        <f>IF(K59="","",IF($K$9="","",IF($K$9=0,"",K59/$K$9)))</f>
        <v/>
      </c>
      <c r="M59" s="142" t="n"/>
      <c r="N59" s="143">
        <f>IF(M59="","",IF($M$9="","",IF($M$9=0,"",M59/$M$9)))</f>
        <v/>
      </c>
      <c r="O59" s="142" t="n"/>
      <c r="P59" s="143">
        <f>IF(O59="","",IF($O$9="","",IF($O$9=0,"",O59/$O$9)))</f>
        <v/>
      </c>
      <c r="Q59" s="142" t="n"/>
      <c r="R59" s="143">
        <f>IF(Q59="","",IF($Q$9="","",IF($Q$9=0,"",Q59/$Q$9)))</f>
        <v/>
      </c>
      <c r="S59" s="142" t="n"/>
      <c r="T59" s="143">
        <f>IF(S59="","",IF($S$9="","",IF($S$9=0,"",S59/$S$9)))</f>
        <v/>
      </c>
      <c r="U59" s="144" t="n"/>
      <c r="V59" s="143">
        <f>IF(U59="","",IF($U$9="","",IF($U$9=0,"",U59/$U$9)))</f>
        <v/>
      </c>
      <c r="W59" s="142" t="n"/>
      <c r="X59" s="143">
        <f>IF(W59="","",IF($W$9="","",IF($W$9=0,"",W59/$W$9)))</f>
        <v/>
      </c>
    </row>
    <row r="60" ht="15" customHeight="1" s="87">
      <c r="A60" s="115" t="n">
        <v>50</v>
      </c>
      <c r="B60" s="145" t="n">
        <v>46531</v>
      </c>
      <c r="C60" s="146" t="n">
        <v>0.1234567901234568</v>
      </c>
      <c r="D60" s="140" t="n"/>
      <c r="E60" s="146" t="n">
        <v>6.172839506172836</v>
      </c>
      <c r="F60" s="146" t="n">
        <v>1</v>
      </c>
      <c r="G60" s="147" t="n">
        <v>0.1620000000000001</v>
      </c>
      <c r="H60" s="101" t="inlineStr">
        <is>
          <t>Atrasado</t>
        </is>
      </c>
      <c r="I60" s="142" t="n"/>
      <c r="J60" s="148">
        <f>IF(I60="","",IF($I$9="","",IF($I$9=0,"",I60/$I$9)))</f>
        <v/>
      </c>
      <c r="K60" s="142" t="n"/>
      <c r="L60" s="148">
        <f>IF(K60="","",IF($K$9="","",IF($K$9=0,"",K60/$K$9)))</f>
        <v/>
      </c>
      <c r="M60" s="142" t="n"/>
      <c r="N60" s="148">
        <f>IF(M60="","",IF($M$9="","",IF($M$9=0,"",M60/$M$9)))</f>
        <v/>
      </c>
      <c r="O60" s="142" t="n"/>
      <c r="P60" s="148">
        <f>IF(O60="","",IF($O$9="","",IF($O$9=0,"",O60/$O$9)))</f>
        <v/>
      </c>
      <c r="Q60" s="142" t="n"/>
      <c r="R60" s="148">
        <f>IF(Q60="","",IF($Q$9="","",IF($Q$9=0,"",Q60/$Q$9)))</f>
        <v/>
      </c>
      <c r="S60" s="142" t="n"/>
      <c r="T60" s="148">
        <f>IF(S60="","",IF($S$9="","",IF($S$9=0,"",S60/$S$9)))</f>
        <v/>
      </c>
      <c r="U60" s="144" t="n"/>
      <c r="V60" s="148">
        <f>IF(U60="","",IF($U$9="","",IF($U$9=0,"",U60/$U$9)))</f>
        <v/>
      </c>
      <c r="W60" s="142" t="n"/>
      <c r="X60" s="148">
        <f>IF(W60="","",IF($W$9="","",IF($W$9=0,"",W60/$W$9)))</f>
        <v/>
      </c>
    </row>
    <row r="61" ht="15" customHeight="1" s="87">
      <c r="A61" s="92" t="n">
        <v>51</v>
      </c>
      <c r="B61" s="138" t="n">
        <v>46538</v>
      </c>
      <c r="C61" s="139" t="n">
        <v>0.1234567901234568</v>
      </c>
      <c r="D61" s="140" t="n"/>
      <c r="E61" s="139" t="n">
        <v>6.296296296296292</v>
      </c>
      <c r="F61" s="139" t="n">
        <v>1</v>
      </c>
      <c r="G61" s="141" t="n">
        <v>0.1588235294117648</v>
      </c>
      <c r="H61" s="100" t="inlineStr">
        <is>
          <t>Atrasado</t>
        </is>
      </c>
      <c r="I61" s="142" t="n"/>
      <c r="J61" s="143">
        <f>IF(I61="","",IF($I$9="","",IF($I$9=0,"",I61/$I$9)))</f>
        <v/>
      </c>
      <c r="K61" s="142" t="n"/>
      <c r="L61" s="143">
        <f>IF(K61="","",IF($K$9="","",IF($K$9=0,"",K61/$K$9)))</f>
        <v/>
      </c>
      <c r="M61" s="142" t="n"/>
      <c r="N61" s="143">
        <f>IF(M61="","",IF($M$9="","",IF($M$9=0,"",M61/$M$9)))</f>
        <v/>
      </c>
      <c r="O61" s="142" t="n"/>
      <c r="P61" s="143">
        <f>IF(O61="","",IF($O$9="","",IF($O$9=0,"",O61/$O$9)))</f>
        <v/>
      </c>
      <c r="Q61" s="142" t="n"/>
      <c r="R61" s="143">
        <f>IF(Q61="","",IF($Q$9="","",IF($Q$9=0,"",Q61/$Q$9)))</f>
        <v/>
      </c>
      <c r="S61" s="142" t="n"/>
      <c r="T61" s="143">
        <f>IF(S61="","",IF($S$9="","",IF($S$9=0,"",S61/$S$9)))</f>
        <v/>
      </c>
      <c r="U61" s="144" t="n"/>
      <c r="V61" s="143">
        <f>IF(U61="","",IF($U$9="","",IF($U$9=0,"",U61/$U$9)))</f>
        <v/>
      </c>
      <c r="W61" s="142" t="n"/>
      <c r="X61" s="143">
        <f>IF(W61="","",IF($W$9="","",IF($W$9=0,"",W61/$W$9)))</f>
        <v/>
      </c>
    </row>
    <row r="62" ht="15" customHeight="1" s="87">
      <c r="A62" s="115" t="n">
        <v>52</v>
      </c>
      <c r="B62" s="145" t="n">
        <v>46545</v>
      </c>
      <c r="C62" s="146" t="n">
        <v>0.1234567901234568</v>
      </c>
      <c r="D62" s="140" t="n"/>
      <c r="E62" s="146" t="n">
        <v>6.419753086419749</v>
      </c>
      <c r="F62" s="146" t="n">
        <v>1</v>
      </c>
      <c r="G62" s="147" t="n">
        <v>0.1557692307692309</v>
      </c>
      <c r="H62" s="101" t="inlineStr">
        <is>
          <t>Atrasado</t>
        </is>
      </c>
      <c r="I62" s="142" t="n"/>
      <c r="J62" s="148">
        <f>IF(I62="","",IF($I$9="","",IF($I$9=0,"",I62/$I$9)))</f>
        <v/>
      </c>
      <c r="K62" s="142" t="n"/>
      <c r="L62" s="148">
        <f>IF(K62="","",IF($K$9="","",IF($K$9=0,"",K62/$K$9)))</f>
        <v/>
      </c>
      <c r="M62" s="142" t="n"/>
      <c r="N62" s="148">
        <f>IF(M62="","",IF($M$9="","",IF($M$9=0,"",M62/$M$9)))</f>
        <v/>
      </c>
      <c r="O62" s="142" t="n"/>
      <c r="P62" s="148">
        <f>IF(O62="","",IF($O$9="","",IF($O$9=0,"",O62/$O$9)))</f>
        <v/>
      </c>
      <c r="Q62" s="142" t="n"/>
      <c r="R62" s="148">
        <f>IF(Q62="","",IF($Q$9="","",IF($Q$9=0,"",Q62/$Q$9)))</f>
        <v/>
      </c>
      <c r="S62" s="142" t="n"/>
      <c r="T62" s="148">
        <f>IF(S62="","",IF($S$9="","",IF($S$9=0,"",S62/$S$9)))</f>
        <v/>
      </c>
      <c r="U62" s="144" t="n"/>
      <c r="V62" s="148">
        <f>IF(U62="","",IF($U$9="","",IF($U$9=0,"",U62/$U$9)))</f>
        <v/>
      </c>
      <c r="W62" s="142" t="n"/>
      <c r="X62" s="148">
        <f>IF(W62="","",IF($W$9="","",IF($W$9=0,"",W62/$W$9)))</f>
        <v/>
      </c>
    </row>
    <row r="63" ht="15" customHeight="1" s="87">
      <c r="A63" s="92" t="n">
        <v>53</v>
      </c>
      <c r="B63" s="138" t="n">
        <v>46552</v>
      </c>
      <c r="C63" s="139" t="n">
        <v>0.1234567901234568</v>
      </c>
      <c r="D63" s="140" t="n"/>
      <c r="E63" s="139" t="n">
        <v>6.543209876543205</v>
      </c>
      <c r="F63" s="139" t="n">
        <v>1</v>
      </c>
      <c r="G63" s="141" t="n">
        <v>0.1528301886792454</v>
      </c>
      <c r="H63" s="100" t="inlineStr">
        <is>
          <t>Atrasado</t>
        </is>
      </c>
      <c r="I63" s="142" t="n"/>
      <c r="J63" s="143">
        <f>IF(I63="","",IF($I$9="","",IF($I$9=0,"",I63/$I$9)))</f>
        <v/>
      </c>
      <c r="K63" s="142" t="n"/>
      <c r="L63" s="143">
        <f>IF(K63="","",IF($K$9="","",IF($K$9=0,"",K63/$K$9)))</f>
        <v/>
      </c>
      <c r="M63" s="142" t="n"/>
      <c r="N63" s="143">
        <f>IF(M63="","",IF($M$9="","",IF($M$9=0,"",M63/$M$9)))</f>
        <v/>
      </c>
      <c r="O63" s="142" t="n"/>
      <c r="P63" s="143">
        <f>IF(O63="","",IF($O$9="","",IF($O$9=0,"",O63/$O$9)))</f>
        <v/>
      </c>
      <c r="Q63" s="142" t="n"/>
      <c r="R63" s="143">
        <f>IF(Q63="","",IF($Q$9="","",IF($Q$9=0,"",Q63/$Q$9)))</f>
        <v/>
      </c>
      <c r="S63" s="142" t="n"/>
      <c r="T63" s="143">
        <f>IF(S63="","",IF($S$9="","",IF($S$9=0,"",S63/$S$9)))</f>
        <v/>
      </c>
      <c r="U63" s="144" t="n"/>
      <c r="V63" s="143">
        <f>IF(U63="","",IF($U$9="","",IF($U$9=0,"",U63/$U$9)))</f>
        <v/>
      </c>
      <c r="W63" s="142" t="n"/>
      <c r="X63" s="143">
        <f>IF(W63="","",IF($W$9="","",IF($W$9=0,"",W63/$W$9)))</f>
        <v/>
      </c>
    </row>
    <row r="64" ht="15" customHeight="1" s="87">
      <c r="A64" s="115" t="n">
        <v>54</v>
      </c>
      <c r="B64" s="145" t="n">
        <v>46559</v>
      </c>
      <c r="C64" s="146" t="n">
        <v>0.1234567901234568</v>
      </c>
      <c r="D64" s="140" t="n"/>
      <c r="E64" s="146" t="n">
        <v>6.666666666666662</v>
      </c>
      <c r="F64" s="146" t="n">
        <v>1</v>
      </c>
      <c r="G64" s="147" t="n">
        <v>0.1500000000000001</v>
      </c>
      <c r="H64" s="101" t="inlineStr">
        <is>
          <t>Atrasado</t>
        </is>
      </c>
      <c r="I64" s="142" t="n"/>
      <c r="J64" s="148">
        <f>IF(I64="","",IF($I$9="","",IF($I$9=0,"",I64/$I$9)))</f>
        <v/>
      </c>
      <c r="K64" s="142" t="n"/>
      <c r="L64" s="148">
        <f>IF(K64="","",IF($K$9="","",IF($K$9=0,"",K64/$K$9)))</f>
        <v/>
      </c>
      <c r="M64" s="142" t="n"/>
      <c r="N64" s="148">
        <f>IF(M64="","",IF($M$9="","",IF($M$9=0,"",M64/$M$9)))</f>
        <v/>
      </c>
      <c r="O64" s="142" t="n"/>
      <c r="P64" s="148">
        <f>IF(O64="","",IF($O$9="","",IF($O$9=0,"",O64/$O$9)))</f>
        <v/>
      </c>
      <c r="Q64" s="142" t="n"/>
      <c r="R64" s="148">
        <f>IF(Q64="","",IF($Q$9="","",IF($Q$9=0,"",Q64/$Q$9)))</f>
        <v/>
      </c>
      <c r="S64" s="142" t="n"/>
      <c r="T64" s="148">
        <f>IF(S64="","",IF($S$9="","",IF($S$9=0,"",S64/$S$9)))</f>
        <v/>
      </c>
      <c r="U64" s="144" t="n"/>
      <c r="V64" s="148">
        <f>IF(U64="","",IF($U$9="","",IF($U$9=0,"",U64/$U$9)))</f>
        <v/>
      </c>
      <c r="W64" s="142" t="n"/>
      <c r="X64" s="148">
        <f>IF(W64="","",IF($W$9="","",IF($W$9=0,"",W64/$W$9)))</f>
        <v/>
      </c>
    </row>
    <row r="65" ht="15" customHeight="1" s="87">
      <c r="A65" s="92" t="n">
        <v>55</v>
      </c>
      <c r="B65" s="138" t="n">
        <v>46566</v>
      </c>
      <c r="C65" s="139" t="n">
        <v>0.1234567901234568</v>
      </c>
      <c r="D65" s="140" t="n"/>
      <c r="E65" s="139" t="n">
        <v>6.790123456790118</v>
      </c>
      <c r="F65" s="139" t="n">
        <v>1</v>
      </c>
      <c r="G65" s="141" t="n">
        <v>0.1472727272727274</v>
      </c>
      <c r="H65" s="100" t="inlineStr">
        <is>
          <t>Atrasado</t>
        </is>
      </c>
      <c r="I65" s="142" t="n"/>
      <c r="J65" s="143">
        <f>IF(I65="","",IF($I$9="","",IF($I$9=0,"",I65/$I$9)))</f>
        <v/>
      </c>
      <c r="K65" s="142" t="n"/>
      <c r="L65" s="143">
        <f>IF(K65="","",IF($K$9="","",IF($K$9=0,"",K65/$K$9)))</f>
        <v/>
      </c>
      <c r="M65" s="142" t="n"/>
      <c r="N65" s="143">
        <f>IF(M65="","",IF($M$9="","",IF($M$9=0,"",M65/$M$9)))</f>
        <v/>
      </c>
      <c r="O65" s="142" t="n"/>
      <c r="P65" s="143">
        <f>IF(O65="","",IF($O$9="","",IF($O$9=0,"",O65/$O$9)))</f>
        <v/>
      </c>
      <c r="Q65" s="142" t="n"/>
      <c r="R65" s="143">
        <f>IF(Q65="","",IF($Q$9="","",IF($Q$9=0,"",Q65/$Q$9)))</f>
        <v/>
      </c>
      <c r="S65" s="142" t="n"/>
      <c r="T65" s="143">
        <f>IF(S65="","",IF($S$9="","",IF($S$9=0,"",S65/$S$9)))</f>
        <v/>
      </c>
      <c r="U65" s="144" t="n"/>
      <c r="V65" s="143">
        <f>IF(U65="","",IF($U$9="","",IF($U$9=0,"",U65/$U$9)))</f>
        <v/>
      </c>
      <c r="W65" s="142" t="n"/>
      <c r="X65" s="143">
        <f>IF(W65="","",IF($W$9="","",IF($W$9=0,"",W65/$W$9)))</f>
        <v/>
      </c>
    </row>
    <row r="66" ht="15" customHeight="1" s="87">
      <c r="A66" s="115" t="n">
        <v>56</v>
      </c>
      <c r="B66" s="145" t="n">
        <v>46573</v>
      </c>
      <c r="C66" s="146" t="n">
        <v>0.1234567901234568</v>
      </c>
      <c r="D66" s="140" t="n"/>
      <c r="E66" s="146" t="n">
        <v>6.913580246913575</v>
      </c>
      <c r="F66" s="146" t="n">
        <v>1</v>
      </c>
      <c r="G66" s="147" t="n">
        <v>0.1446428571428573</v>
      </c>
      <c r="H66" s="101" t="inlineStr">
        <is>
          <t>Atrasado</t>
        </is>
      </c>
      <c r="I66" s="142" t="n"/>
      <c r="J66" s="148">
        <f>IF(I66="","",IF($I$9="","",IF($I$9=0,"",I66/$I$9)))</f>
        <v/>
      </c>
      <c r="K66" s="142" t="n"/>
      <c r="L66" s="148">
        <f>IF(K66="","",IF($K$9="","",IF($K$9=0,"",K66/$K$9)))</f>
        <v/>
      </c>
      <c r="M66" s="142" t="n"/>
      <c r="N66" s="148">
        <f>IF(M66="","",IF($M$9="","",IF($M$9=0,"",M66/$M$9)))</f>
        <v/>
      </c>
      <c r="O66" s="142" t="n"/>
      <c r="P66" s="148">
        <f>IF(O66="","",IF($O$9="","",IF($O$9=0,"",O66/$O$9)))</f>
        <v/>
      </c>
      <c r="Q66" s="142" t="n"/>
      <c r="R66" s="148">
        <f>IF(Q66="","",IF($Q$9="","",IF($Q$9=0,"",Q66/$Q$9)))</f>
        <v/>
      </c>
      <c r="S66" s="142" t="n"/>
      <c r="T66" s="148">
        <f>IF(S66="","",IF($S$9="","",IF($S$9=0,"",S66/$S$9)))</f>
        <v/>
      </c>
      <c r="U66" s="144" t="n"/>
      <c r="V66" s="148">
        <f>IF(U66="","",IF($U$9="","",IF($U$9=0,"",U66/$U$9)))</f>
        <v/>
      </c>
      <c r="W66" s="142" t="n"/>
      <c r="X66" s="148">
        <f>IF(W66="","",IF($W$9="","",IF($W$9=0,"",W66/$W$9)))</f>
        <v/>
      </c>
    </row>
    <row r="67" ht="15" customHeight="1" s="87">
      <c r="A67" s="92" t="n">
        <v>57</v>
      </c>
      <c r="B67" s="138" t="n">
        <v>46580</v>
      </c>
      <c r="C67" s="139" t="n">
        <v>0.1234567901234568</v>
      </c>
      <c r="D67" s="140" t="n"/>
      <c r="E67" s="139" t="n">
        <v>7.037037037037031</v>
      </c>
      <c r="F67" s="139" t="n">
        <v>1</v>
      </c>
      <c r="G67" s="141" t="n">
        <v>0.1421052631578948</v>
      </c>
      <c r="H67" s="100" t="inlineStr">
        <is>
          <t>Atrasado</t>
        </is>
      </c>
      <c r="I67" s="142" t="n"/>
      <c r="J67" s="143">
        <f>IF(I67="","",IF($I$9="","",IF($I$9=0,"",I67/$I$9)))</f>
        <v/>
      </c>
      <c r="K67" s="142" t="n"/>
      <c r="L67" s="143">
        <f>IF(K67="","",IF($K$9="","",IF($K$9=0,"",K67/$K$9)))</f>
        <v/>
      </c>
      <c r="M67" s="142" t="n"/>
      <c r="N67" s="143">
        <f>IF(M67="","",IF($M$9="","",IF($M$9=0,"",M67/$M$9)))</f>
        <v/>
      </c>
      <c r="O67" s="142" t="n"/>
      <c r="P67" s="143">
        <f>IF(O67="","",IF($O$9="","",IF($O$9=0,"",O67/$O$9)))</f>
        <v/>
      </c>
      <c r="Q67" s="142" t="n"/>
      <c r="R67" s="143">
        <f>IF(Q67="","",IF($Q$9="","",IF($Q$9=0,"",Q67/$Q$9)))</f>
        <v/>
      </c>
      <c r="S67" s="142" t="n"/>
      <c r="T67" s="143">
        <f>IF(S67="","",IF($S$9="","",IF($S$9=0,"",S67/$S$9)))</f>
        <v/>
      </c>
      <c r="U67" s="144" t="n"/>
      <c r="V67" s="143">
        <f>IF(U67="","",IF($U$9="","",IF($U$9=0,"",U67/$U$9)))</f>
        <v/>
      </c>
      <c r="W67" s="142" t="n"/>
      <c r="X67" s="143">
        <f>IF(W67="","",IF($W$9="","",IF($W$9=0,"",W67/$W$9)))</f>
        <v/>
      </c>
    </row>
    <row r="68" ht="15" customHeight="1" s="87">
      <c r="A68" s="115" t="n">
        <v>58</v>
      </c>
      <c r="B68" s="145" t="n">
        <v>46587</v>
      </c>
      <c r="C68" s="146" t="n">
        <v>0.1234567901234568</v>
      </c>
      <c r="D68" s="140" t="n"/>
      <c r="E68" s="146" t="n">
        <v>7.160493827160487</v>
      </c>
      <c r="F68" s="146" t="n">
        <v>1</v>
      </c>
      <c r="G68" s="147" t="n">
        <v>0.1396551724137932</v>
      </c>
      <c r="H68" s="101" t="inlineStr">
        <is>
          <t>Atrasado</t>
        </is>
      </c>
      <c r="I68" s="142" t="n"/>
      <c r="J68" s="148">
        <f>IF(I68="","",IF($I$9="","",IF($I$9=0,"",I68/$I$9)))</f>
        <v/>
      </c>
      <c r="K68" s="142" t="n"/>
      <c r="L68" s="148">
        <f>IF(K68="","",IF($K$9="","",IF($K$9=0,"",K68/$K$9)))</f>
        <v/>
      </c>
      <c r="M68" s="142" t="n"/>
      <c r="N68" s="148">
        <f>IF(M68="","",IF($M$9="","",IF($M$9=0,"",M68/$M$9)))</f>
        <v/>
      </c>
      <c r="O68" s="142" t="n"/>
      <c r="P68" s="148">
        <f>IF(O68="","",IF($O$9="","",IF($O$9=0,"",O68/$O$9)))</f>
        <v/>
      </c>
      <c r="Q68" s="142" t="n"/>
      <c r="R68" s="148">
        <f>IF(Q68="","",IF($Q$9="","",IF($Q$9=0,"",Q68/$Q$9)))</f>
        <v/>
      </c>
      <c r="S68" s="142" t="n"/>
      <c r="T68" s="148">
        <f>IF(S68="","",IF($S$9="","",IF($S$9=0,"",S68/$S$9)))</f>
        <v/>
      </c>
      <c r="U68" s="144" t="n"/>
      <c r="V68" s="148">
        <f>IF(U68="","",IF($U$9="","",IF($U$9=0,"",U68/$U$9)))</f>
        <v/>
      </c>
      <c r="W68" s="142" t="n"/>
      <c r="X68" s="148">
        <f>IF(W68="","",IF($W$9="","",IF($W$9=0,"",W68/$W$9)))</f>
        <v/>
      </c>
    </row>
    <row r="69" ht="15" customHeight="1" s="87">
      <c r="A69" s="92" t="n">
        <v>59</v>
      </c>
      <c r="B69" s="138" t="n">
        <v>46594</v>
      </c>
      <c r="C69" s="139" t="n">
        <v>0.1234567901234568</v>
      </c>
      <c r="D69" s="140" t="n"/>
      <c r="E69" s="139" t="n">
        <v>7.283950617283944</v>
      </c>
      <c r="F69" s="139" t="n">
        <v>1</v>
      </c>
      <c r="G69" s="141" t="n">
        <v>0.1372881355932205</v>
      </c>
      <c r="H69" s="100" t="inlineStr">
        <is>
          <t>Atrasado</t>
        </is>
      </c>
      <c r="I69" s="142" t="n"/>
      <c r="J69" s="143">
        <f>IF(I69="","",IF($I$9="","",IF($I$9=0,"",I69/$I$9)))</f>
        <v/>
      </c>
      <c r="K69" s="142" t="n"/>
      <c r="L69" s="143">
        <f>IF(K69="","",IF($K$9="","",IF($K$9=0,"",K69/$K$9)))</f>
        <v/>
      </c>
      <c r="M69" s="142" t="n"/>
      <c r="N69" s="143">
        <f>IF(M69="","",IF($M$9="","",IF($M$9=0,"",M69/$M$9)))</f>
        <v/>
      </c>
      <c r="O69" s="142" t="n"/>
      <c r="P69" s="143">
        <f>IF(O69="","",IF($O$9="","",IF($O$9=0,"",O69/$O$9)))</f>
        <v/>
      </c>
      <c r="Q69" s="142" t="n"/>
      <c r="R69" s="143">
        <f>IF(Q69="","",IF($Q$9="","",IF($Q$9=0,"",Q69/$Q$9)))</f>
        <v/>
      </c>
      <c r="S69" s="142" t="n"/>
      <c r="T69" s="143">
        <f>IF(S69="","",IF($S$9="","",IF($S$9=0,"",S69/$S$9)))</f>
        <v/>
      </c>
      <c r="U69" s="144" t="n"/>
      <c r="V69" s="143">
        <f>IF(U69="","",IF($U$9="","",IF($U$9=0,"",U69/$U$9)))</f>
        <v/>
      </c>
      <c r="W69" s="142" t="n"/>
      <c r="X69" s="143">
        <f>IF(W69="","",IF($W$9="","",IF($W$9=0,"",W69/$W$9)))</f>
        <v/>
      </c>
    </row>
    <row r="70" ht="15" customHeight="1" s="87">
      <c r="A70" s="115" t="n">
        <v>60</v>
      </c>
      <c r="B70" s="145" t="n">
        <v>46601</v>
      </c>
      <c r="C70" s="146" t="n">
        <v>0.1234567901234568</v>
      </c>
      <c r="D70" s="140" t="n"/>
      <c r="E70" s="146" t="n">
        <v>7.4074074074074</v>
      </c>
      <c r="F70" s="146" t="n">
        <v>1</v>
      </c>
      <c r="G70" s="147" t="n">
        <v>0.1350000000000001</v>
      </c>
      <c r="H70" s="101" t="inlineStr">
        <is>
          <t>Atrasado</t>
        </is>
      </c>
      <c r="I70" s="142" t="n"/>
      <c r="J70" s="148">
        <f>IF(I70="","",IF($I$9="","",IF($I$9=0,"",I70/$I$9)))</f>
        <v/>
      </c>
      <c r="K70" s="142" t="n"/>
      <c r="L70" s="148">
        <f>IF(K70="","",IF($K$9="","",IF($K$9=0,"",K70/$K$9)))</f>
        <v/>
      </c>
      <c r="M70" s="142" t="n"/>
      <c r="N70" s="148">
        <f>IF(M70="","",IF($M$9="","",IF($M$9=0,"",M70/$M$9)))</f>
        <v/>
      </c>
      <c r="O70" s="142" t="n"/>
      <c r="P70" s="148">
        <f>IF(O70="","",IF($O$9="","",IF($O$9=0,"",O70/$O$9)))</f>
        <v/>
      </c>
      <c r="Q70" s="142" t="n"/>
      <c r="R70" s="148">
        <f>IF(Q70="","",IF($Q$9="","",IF($Q$9=0,"",Q70/$Q$9)))</f>
        <v/>
      </c>
      <c r="S70" s="142" t="n"/>
      <c r="T70" s="148">
        <f>IF(S70="","",IF($S$9="","",IF($S$9=0,"",S70/$S$9)))</f>
        <v/>
      </c>
      <c r="U70" s="144" t="n"/>
      <c r="V70" s="148">
        <f>IF(U70="","",IF($U$9="","",IF($U$9=0,"",U70/$U$9)))</f>
        <v/>
      </c>
      <c r="W70" s="142" t="n"/>
      <c r="X70" s="148">
        <f>IF(W70="","",IF($W$9="","",IF($W$9=0,"",W70/$W$9)))</f>
        <v/>
      </c>
    </row>
    <row r="71" ht="15" customHeight="1" s="87">
      <c r="A71" s="92" t="n">
        <v>61</v>
      </c>
      <c r="B71" s="138" t="n">
        <v>46608</v>
      </c>
      <c r="C71" s="139" t="n">
        <v>0.1234567901234568</v>
      </c>
      <c r="D71" s="140" t="n"/>
      <c r="E71" s="139" t="n">
        <v>7.530864197530857</v>
      </c>
      <c r="F71" s="139" t="n">
        <v>1</v>
      </c>
      <c r="G71" s="141" t="n">
        <v>0.1327868852459018</v>
      </c>
      <c r="H71" s="100" t="inlineStr">
        <is>
          <t>Atrasado</t>
        </is>
      </c>
      <c r="I71" s="142" t="n"/>
      <c r="J71" s="143">
        <f>IF(I71="","",IF($I$9="","",IF($I$9=0,"",I71/$I$9)))</f>
        <v/>
      </c>
      <c r="K71" s="142" t="n"/>
      <c r="L71" s="143">
        <f>IF(K71="","",IF($K$9="","",IF($K$9=0,"",K71/$K$9)))</f>
        <v/>
      </c>
      <c r="M71" s="142" t="n"/>
      <c r="N71" s="143">
        <f>IF(M71="","",IF($M$9="","",IF($M$9=0,"",M71/$M$9)))</f>
        <v/>
      </c>
      <c r="O71" s="142" t="n"/>
      <c r="P71" s="143">
        <f>IF(O71="","",IF($O$9="","",IF($O$9=0,"",O71/$O$9)))</f>
        <v/>
      </c>
      <c r="Q71" s="142" t="n"/>
      <c r="R71" s="143">
        <f>IF(Q71="","",IF($Q$9="","",IF($Q$9=0,"",Q71/$Q$9)))</f>
        <v/>
      </c>
      <c r="S71" s="142" t="n"/>
      <c r="T71" s="143">
        <f>IF(S71="","",IF($S$9="","",IF($S$9=0,"",S71/$S$9)))</f>
        <v/>
      </c>
      <c r="U71" s="144" t="n"/>
      <c r="V71" s="143">
        <f>IF(U71="","",IF($U$9="","",IF($U$9=0,"",U71/$U$9)))</f>
        <v/>
      </c>
      <c r="W71" s="142" t="n"/>
      <c r="X71" s="143">
        <f>IF(W71="","",IF($W$9="","",IF($W$9=0,"",W71/$W$9)))</f>
        <v/>
      </c>
    </row>
    <row r="72" ht="15" customHeight="1" s="87">
      <c r="A72" s="115" t="n">
        <v>62</v>
      </c>
      <c r="B72" s="145" t="n">
        <v>46615</v>
      </c>
      <c r="C72" s="146" t="n">
        <v>0.1234567901234568</v>
      </c>
      <c r="D72" s="140" t="n"/>
      <c r="E72" s="146" t="n">
        <v>7.654320987654313</v>
      </c>
      <c r="F72" s="146" t="n">
        <v>1</v>
      </c>
      <c r="G72" s="147" t="n">
        <v>0.1306451612903227</v>
      </c>
      <c r="H72" s="101" t="inlineStr">
        <is>
          <t>Atrasado</t>
        </is>
      </c>
      <c r="I72" s="142" t="n"/>
      <c r="J72" s="148">
        <f>IF(I72="","",IF($I$9="","",IF($I$9=0,"",I72/$I$9)))</f>
        <v/>
      </c>
      <c r="K72" s="142" t="n"/>
      <c r="L72" s="148">
        <f>IF(K72="","",IF($K$9="","",IF($K$9=0,"",K72/$K$9)))</f>
        <v/>
      </c>
      <c r="M72" s="142" t="n"/>
      <c r="N72" s="148">
        <f>IF(M72="","",IF($M$9="","",IF($M$9=0,"",M72/$M$9)))</f>
        <v/>
      </c>
      <c r="O72" s="142" t="n"/>
      <c r="P72" s="148">
        <f>IF(O72="","",IF($O$9="","",IF($O$9=0,"",O72/$O$9)))</f>
        <v/>
      </c>
      <c r="Q72" s="142" t="n"/>
      <c r="R72" s="148">
        <f>IF(Q72="","",IF($Q$9="","",IF($Q$9=0,"",Q72/$Q$9)))</f>
        <v/>
      </c>
      <c r="S72" s="142" t="n"/>
      <c r="T72" s="148">
        <f>IF(S72="","",IF($S$9="","",IF($S$9=0,"",S72/$S$9)))</f>
        <v/>
      </c>
      <c r="U72" s="144" t="n"/>
      <c r="V72" s="148">
        <f>IF(U72="","",IF($U$9="","",IF($U$9=0,"",U72/$U$9)))</f>
        <v/>
      </c>
      <c r="W72" s="142" t="n"/>
      <c r="X72" s="148">
        <f>IF(W72="","",IF($W$9="","",IF($W$9=0,"",W72/$W$9)))</f>
        <v/>
      </c>
    </row>
    <row r="73" ht="15" customHeight="1" s="87">
      <c r="A73" s="92" t="n">
        <v>63</v>
      </c>
      <c r="B73" s="138" t="n">
        <v>46622</v>
      </c>
      <c r="C73" s="139" t="n">
        <v>0.1234567901234568</v>
      </c>
      <c r="D73" s="140" t="n"/>
      <c r="E73" s="139" t="n">
        <v>7.77777777777777</v>
      </c>
      <c r="F73" s="139" t="n">
        <v>1</v>
      </c>
      <c r="G73" s="141" t="n">
        <v>0.1285714285714287</v>
      </c>
      <c r="H73" s="100" t="inlineStr">
        <is>
          <t>Atrasado</t>
        </is>
      </c>
      <c r="I73" s="142" t="n"/>
      <c r="J73" s="143">
        <f>IF(I73="","",IF($I$9="","",IF($I$9=0,"",I73/$I$9)))</f>
        <v/>
      </c>
      <c r="K73" s="142" t="n"/>
      <c r="L73" s="143">
        <f>IF(K73="","",IF($K$9="","",IF($K$9=0,"",K73/$K$9)))</f>
        <v/>
      </c>
      <c r="M73" s="142" t="n"/>
      <c r="N73" s="143">
        <f>IF(M73="","",IF($M$9="","",IF($M$9=0,"",M73/$M$9)))</f>
        <v/>
      </c>
      <c r="O73" s="142" t="n"/>
      <c r="P73" s="143">
        <f>IF(O73="","",IF($O$9="","",IF($O$9=0,"",O73/$O$9)))</f>
        <v/>
      </c>
      <c r="Q73" s="142" t="n"/>
      <c r="R73" s="143">
        <f>IF(Q73="","",IF($Q$9="","",IF($Q$9=0,"",Q73/$Q$9)))</f>
        <v/>
      </c>
      <c r="S73" s="142" t="n"/>
      <c r="T73" s="143">
        <f>IF(S73="","",IF($S$9="","",IF($S$9=0,"",S73/$S$9)))</f>
        <v/>
      </c>
      <c r="U73" s="144" t="n"/>
      <c r="V73" s="143">
        <f>IF(U73="","",IF($U$9="","",IF($U$9=0,"",U73/$U$9)))</f>
        <v/>
      </c>
      <c r="W73" s="142" t="n"/>
      <c r="X73" s="143">
        <f>IF(W73="","",IF($W$9="","",IF($W$9=0,"",W73/$W$9)))</f>
        <v/>
      </c>
    </row>
    <row r="74" ht="15" customHeight="1" s="87">
      <c r="A74" s="115" t="n">
        <v>64</v>
      </c>
      <c r="B74" s="145" t="n">
        <v>46629</v>
      </c>
      <c r="C74" s="146" t="n">
        <v>0.1234567901234568</v>
      </c>
      <c r="D74" s="140" t="n"/>
      <c r="E74" s="146" t="n">
        <v>7.901234567901226</v>
      </c>
      <c r="F74" s="146" t="n">
        <v>1</v>
      </c>
      <c r="G74" s="147" t="n">
        <v>0.1265625000000001</v>
      </c>
      <c r="H74" s="101" t="inlineStr">
        <is>
          <t>Atrasado</t>
        </is>
      </c>
      <c r="I74" s="142" t="n"/>
      <c r="J74" s="148">
        <f>IF(I74="","",IF($I$9="","",IF($I$9=0,"",I74/$I$9)))</f>
        <v/>
      </c>
      <c r="K74" s="142" t="n"/>
      <c r="L74" s="148">
        <f>IF(K74="","",IF($K$9="","",IF($K$9=0,"",K74/$K$9)))</f>
        <v/>
      </c>
      <c r="M74" s="142" t="n"/>
      <c r="N74" s="148">
        <f>IF(M74="","",IF($M$9="","",IF($M$9=0,"",M74/$M$9)))</f>
        <v/>
      </c>
      <c r="O74" s="142" t="n"/>
      <c r="P74" s="148">
        <f>IF(O74="","",IF($O$9="","",IF($O$9=0,"",O74/$O$9)))</f>
        <v/>
      </c>
      <c r="Q74" s="142" t="n"/>
      <c r="R74" s="148">
        <f>IF(Q74="","",IF($Q$9="","",IF($Q$9=0,"",Q74/$Q$9)))</f>
        <v/>
      </c>
      <c r="S74" s="142" t="n"/>
      <c r="T74" s="148">
        <f>IF(S74="","",IF($S$9="","",IF($S$9=0,"",S74/$S$9)))</f>
        <v/>
      </c>
      <c r="U74" s="144" t="n"/>
      <c r="V74" s="148">
        <f>IF(U74="","",IF($U$9="","",IF($U$9=0,"",U74/$U$9)))</f>
        <v/>
      </c>
      <c r="W74" s="142" t="n"/>
      <c r="X74" s="148">
        <f>IF(W74="","",IF($W$9="","",IF($W$9=0,"",W74/$W$9)))</f>
        <v/>
      </c>
    </row>
    <row r="75" ht="15" customHeight="1" s="87">
      <c r="A75" s="92" t="n">
        <v>65</v>
      </c>
      <c r="B75" s="138" t="n">
        <v>46636</v>
      </c>
      <c r="C75" s="139" t="n">
        <v>0.1234567901234568</v>
      </c>
      <c r="D75" s="140" t="n"/>
      <c r="E75" s="139" t="n">
        <v>8.024691358024683</v>
      </c>
      <c r="F75" s="139" t="n">
        <v>1</v>
      </c>
      <c r="G75" s="141" t="n">
        <v>0.1246153846153848</v>
      </c>
      <c r="H75" s="100" t="inlineStr">
        <is>
          <t>Atrasado</t>
        </is>
      </c>
      <c r="I75" s="142" t="n"/>
      <c r="J75" s="143">
        <f>IF(I75="","",IF($I$9="","",IF($I$9=0,"",I75/$I$9)))</f>
        <v/>
      </c>
      <c r="K75" s="142" t="n"/>
      <c r="L75" s="143">
        <f>IF(K75="","",IF($K$9="","",IF($K$9=0,"",K75/$K$9)))</f>
        <v/>
      </c>
      <c r="M75" s="142" t="n"/>
      <c r="N75" s="143">
        <f>IF(M75="","",IF($M$9="","",IF($M$9=0,"",M75/$M$9)))</f>
        <v/>
      </c>
      <c r="O75" s="142" t="n"/>
      <c r="P75" s="143">
        <f>IF(O75="","",IF($O$9="","",IF($O$9=0,"",O75/$O$9)))</f>
        <v/>
      </c>
      <c r="Q75" s="142" t="n"/>
      <c r="R75" s="143">
        <f>IF(Q75="","",IF($Q$9="","",IF($Q$9=0,"",Q75/$Q$9)))</f>
        <v/>
      </c>
      <c r="S75" s="142" t="n"/>
      <c r="T75" s="143">
        <f>IF(S75="","",IF($S$9="","",IF($S$9=0,"",S75/$S$9)))</f>
        <v/>
      </c>
      <c r="U75" s="144" t="n"/>
      <c r="V75" s="143">
        <f>IF(U75="","",IF($U$9="","",IF($U$9=0,"",U75/$U$9)))</f>
        <v/>
      </c>
      <c r="W75" s="142" t="n"/>
      <c r="X75" s="143">
        <f>IF(W75="","",IF($W$9="","",IF($W$9=0,"",W75/$W$9)))</f>
        <v/>
      </c>
    </row>
    <row r="76" ht="15" customHeight="1" s="87">
      <c r="A76" s="115" t="n">
        <v>66</v>
      </c>
      <c r="B76" s="145" t="n">
        <v>46643</v>
      </c>
      <c r="C76" s="146" t="n">
        <v>0.1234567901234568</v>
      </c>
      <c r="D76" s="140" t="n"/>
      <c r="E76" s="146" t="n">
        <v>8.14814814814814</v>
      </c>
      <c r="F76" s="146" t="n">
        <v>1</v>
      </c>
      <c r="G76" s="147" t="n">
        <v>0.1227272727272729</v>
      </c>
      <c r="H76" s="101" t="inlineStr">
        <is>
          <t>Atrasado</t>
        </is>
      </c>
      <c r="I76" s="142" t="n"/>
      <c r="J76" s="148">
        <f>IF(I76="","",IF($I$9="","",IF($I$9=0,"",I76/$I$9)))</f>
        <v/>
      </c>
      <c r="K76" s="142" t="n"/>
      <c r="L76" s="148">
        <f>IF(K76="","",IF($K$9="","",IF($K$9=0,"",K76/$K$9)))</f>
        <v/>
      </c>
      <c r="M76" s="142" t="n"/>
      <c r="N76" s="148">
        <f>IF(M76="","",IF($M$9="","",IF($M$9=0,"",M76/$M$9)))</f>
        <v/>
      </c>
      <c r="O76" s="142" t="n"/>
      <c r="P76" s="148">
        <f>IF(O76="","",IF($O$9="","",IF($O$9=0,"",O76/$O$9)))</f>
        <v/>
      </c>
      <c r="Q76" s="142" t="n"/>
      <c r="R76" s="148">
        <f>IF(Q76="","",IF($Q$9="","",IF($Q$9=0,"",Q76/$Q$9)))</f>
        <v/>
      </c>
      <c r="S76" s="142" t="n"/>
      <c r="T76" s="148">
        <f>IF(S76="","",IF($S$9="","",IF($S$9=0,"",S76/$S$9)))</f>
        <v/>
      </c>
      <c r="U76" s="144" t="n"/>
      <c r="V76" s="148">
        <f>IF(U76="","",IF($U$9="","",IF($U$9=0,"",U76/$U$9)))</f>
        <v/>
      </c>
      <c r="W76" s="142" t="n"/>
      <c r="X76" s="148">
        <f>IF(W76="","",IF($W$9="","",IF($W$9=0,"",W76/$W$9)))</f>
        <v/>
      </c>
    </row>
    <row r="77" ht="15" customHeight="1" s="87">
      <c r="A77" s="92" t="n">
        <v>67</v>
      </c>
      <c r="B77" s="138" t="n">
        <v>46650</v>
      </c>
      <c r="C77" s="139" t="n">
        <v>0.1234567901234568</v>
      </c>
      <c r="D77" s="140" t="n"/>
      <c r="E77" s="139" t="n">
        <v>8.271604938271597</v>
      </c>
      <c r="F77" s="139" t="n">
        <v>1</v>
      </c>
      <c r="G77" s="141" t="n">
        <v>0.1208955223880598</v>
      </c>
      <c r="H77" s="100" t="inlineStr">
        <is>
          <t>Atrasado</t>
        </is>
      </c>
      <c r="I77" s="142" t="n"/>
      <c r="J77" s="143">
        <f>IF(I77="","",IF($I$9="","",IF($I$9=0,"",I77/$I$9)))</f>
        <v/>
      </c>
      <c r="K77" s="142" t="n"/>
      <c r="L77" s="143">
        <f>IF(K77="","",IF($K$9="","",IF($K$9=0,"",K77/$K$9)))</f>
        <v/>
      </c>
      <c r="M77" s="142" t="n"/>
      <c r="N77" s="143">
        <f>IF(M77="","",IF($M$9="","",IF($M$9=0,"",M77/$M$9)))</f>
        <v/>
      </c>
      <c r="O77" s="142" t="n"/>
      <c r="P77" s="143">
        <f>IF(O77="","",IF($O$9="","",IF($O$9=0,"",O77/$O$9)))</f>
        <v/>
      </c>
      <c r="Q77" s="142" t="n"/>
      <c r="R77" s="143">
        <f>IF(Q77="","",IF($Q$9="","",IF($Q$9=0,"",Q77/$Q$9)))</f>
        <v/>
      </c>
      <c r="S77" s="142" t="n"/>
      <c r="T77" s="143">
        <f>IF(S77="","",IF($S$9="","",IF($S$9=0,"",S77/$S$9)))</f>
        <v/>
      </c>
      <c r="U77" s="144" t="n"/>
      <c r="V77" s="143">
        <f>IF(U77="","",IF($U$9="","",IF($U$9=0,"",U77/$U$9)))</f>
        <v/>
      </c>
      <c r="W77" s="142" t="n"/>
      <c r="X77" s="143">
        <f>IF(W77="","",IF($W$9="","",IF($W$9=0,"",W77/$W$9)))</f>
        <v/>
      </c>
    </row>
    <row r="78" ht="15" customHeight="1" s="87">
      <c r="A78" s="115" t="n">
        <v>68</v>
      </c>
      <c r="B78" s="145" t="n">
        <v>46657</v>
      </c>
      <c r="C78" s="146" t="n">
        <v>0.1234567901234568</v>
      </c>
      <c r="D78" s="140" t="n"/>
      <c r="E78" s="146" t="n">
        <v>8.395061728395055</v>
      </c>
      <c r="F78" s="146" t="n">
        <v>1</v>
      </c>
      <c r="G78" s="147" t="n">
        <v>0.1191176470588236</v>
      </c>
      <c r="H78" s="101" t="inlineStr">
        <is>
          <t>Atrasado</t>
        </is>
      </c>
      <c r="I78" s="142" t="n"/>
      <c r="J78" s="148">
        <f>IF(I78="","",IF($I$9="","",IF($I$9=0,"",I78/$I$9)))</f>
        <v/>
      </c>
      <c r="K78" s="142" t="n"/>
      <c r="L78" s="148">
        <f>IF(K78="","",IF($K$9="","",IF($K$9=0,"",K78/$K$9)))</f>
        <v/>
      </c>
      <c r="M78" s="142" t="n"/>
      <c r="N78" s="148">
        <f>IF(M78="","",IF($M$9="","",IF($M$9=0,"",M78/$M$9)))</f>
        <v/>
      </c>
      <c r="O78" s="142" t="n"/>
      <c r="P78" s="148">
        <f>IF(O78="","",IF($O$9="","",IF($O$9=0,"",O78/$O$9)))</f>
        <v/>
      </c>
      <c r="Q78" s="142" t="n"/>
      <c r="R78" s="148">
        <f>IF(Q78="","",IF($Q$9="","",IF($Q$9=0,"",Q78/$Q$9)))</f>
        <v/>
      </c>
      <c r="S78" s="142" t="n"/>
      <c r="T78" s="148">
        <f>IF(S78="","",IF($S$9="","",IF($S$9=0,"",S78/$S$9)))</f>
        <v/>
      </c>
      <c r="U78" s="144" t="n"/>
      <c r="V78" s="148">
        <f>IF(U78="","",IF($U$9="","",IF($U$9=0,"",U78/$U$9)))</f>
        <v/>
      </c>
      <c r="W78" s="142" t="n"/>
      <c r="X78" s="148">
        <f>IF(W78="","",IF($W$9="","",IF($W$9=0,"",W78/$W$9)))</f>
        <v/>
      </c>
    </row>
    <row r="79" ht="15" customHeight="1" s="87">
      <c r="A79" s="92" t="n">
        <v>69</v>
      </c>
      <c r="B79" s="138" t="n">
        <v>46664</v>
      </c>
      <c r="C79" s="139" t="n">
        <v>0.1234567901234568</v>
      </c>
      <c r="D79" s="140" t="n"/>
      <c r="E79" s="139" t="n">
        <v>8.518518518518512</v>
      </c>
      <c r="F79" s="139" t="n">
        <v>1</v>
      </c>
      <c r="G79" s="141" t="n">
        <v>0.1173913043478262</v>
      </c>
      <c r="H79" s="100" t="inlineStr">
        <is>
          <t>Atrasado</t>
        </is>
      </c>
      <c r="I79" s="142" t="n"/>
      <c r="J79" s="143">
        <f>IF(I79="","",IF($I$9="","",IF($I$9=0,"",I79/$I$9)))</f>
        <v/>
      </c>
      <c r="K79" s="142" t="n"/>
      <c r="L79" s="143">
        <f>IF(K79="","",IF($K$9="","",IF($K$9=0,"",K79/$K$9)))</f>
        <v/>
      </c>
      <c r="M79" s="142" t="n"/>
      <c r="N79" s="143">
        <f>IF(M79="","",IF($M$9="","",IF($M$9=0,"",M79/$M$9)))</f>
        <v/>
      </c>
      <c r="O79" s="142" t="n"/>
      <c r="P79" s="143">
        <f>IF(O79="","",IF($O$9="","",IF($O$9=0,"",O79/$O$9)))</f>
        <v/>
      </c>
      <c r="Q79" s="142" t="n"/>
      <c r="R79" s="143">
        <f>IF(Q79="","",IF($Q$9="","",IF($Q$9=0,"",Q79/$Q$9)))</f>
        <v/>
      </c>
      <c r="S79" s="142" t="n"/>
      <c r="T79" s="143">
        <f>IF(S79="","",IF($S$9="","",IF($S$9=0,"",S79/$S$9)))</f>
        <v/>
      </c>
      <c r="U79" s="144" t="n"/>
      <c r="V79" s="143">
        <f>IF(U79="","",IF($U$9="","",IF($U$9=0,"",U79/$U$9)))</f>
        <v/>
      </c>
      <c r="W79" s="142" t="n"/>
      <c r="X79" s="143">
        <f>IF(W79="","",IF($W$9="","",IF($W$9=0,"",W79/$W$9)))</f>
        <v/>
      </c>
    </row>
    <row r="80" ht="15" customHeight="1" s="87">
      <c r="A80" s="115" t="n">
        <v>70</v>
      </c>
      <c r="B80" s="145" t="n">
        <v>46671</v>
      </c>
      <c r="C80" s="146" t="n">
        <v>0.1234567901234568</v>
      </c>
      <c r="D80" s="140" t="n"/>
      <c r="E80" s="146" t="n">
        <v>8.641975308641969</v>
      </c>
      <c r="F80" s="146" t="n">
        <v>1</v>
      </c>
      <c r="G80" s="147" t="n">
        <v>0.1157142857142858</v>
      </c>
      <c r="H80" s="101" t="inlineStr">
        <is>
          <t>Atrasado</t>
        </is>
      </c>
      <c r="I80" s="142" t="n"/>
      <c r="J80" s="148">
        <f>IF(I80="","",IF($I$9="","",IF($I$9=0,"",I80/$I$9)))</f>
        <v/>
      </c>
      <c r="K80" s="142" t="n"/>
      <c r="L80" s="148">
        <f>IF(K80="","",IF($K$9="","",IF($K$9=0,"",K80/$K$9)))</f>
        <v/>
      </c>
      <c r="M80" s="142" t="n"/>
      <c r="N80" s="148">
        <f>IF(M80="","",IF($M$9="","",IF($M$9=0,"",M80/$M$9)))</f>
        <v/>
      </c>
      <c r="O80" s="142" t="n"/>
      <c r="P80" s="148">
        <f>IF(O80="","",IF($O$9="","",IF($O$9=0,"",O80/$O$9)))</f>
        <v/>
      </c>
      <c r="Q80" s="142" t="n"/>
      <c r="R80" s="148">
        <f>IF(Q80="","",IF($Q$9="","",IF($Q$9=0,"",Q80/$Q$9)))</f>
        <v/>
      </c>
      <c r="S80" s="142" t="n"/>
      <c r="T80" s="148">
        <f>IF(S80="","",IF($S$9="","",IF($S$9=0,"",S80/$S$9)))</f>
        <v/>
      </c>
      <c r="U80" s="144" t="n"/>
      <c r="V80" s="148">
        <f>IF(U80="","",IF($U$9="","",IF($U$9=0,"",U80/$U$9)))</f>
        <v/>
      </c>
      <c r="W80" s="142" t="n"/>
      <c r="X80" s="148">
        <f>IF(W80="","",IF($W$9="","",IF($W$9=0,"",W80/$W$9)))</f>
        <v/>
      </c>
    </row>
    <row r="81" ht="15" customHeight="1" s="87">
      <c r="A81" s="92" t="n">
        <v>71</v>
      </c>
      <c r="B81" s="138" t="n">
        <v>46678</v>
      </c>
      <c r="C81" s="139" t="n">
        <v>0.1234567901234568</v>
      </c>
      <c r="D81" s="140" t="n"/>
      <c r="E81" s="139" t="n">
        <v>8.765432098765427</v>
      </c>
      <c r="F81" s="139" t="n">
        <v>1</v>
      </c>
      <c r="G81" s="141" t="n">
        <v>0.1140845070422536</v>
      </c>
      <c r="H81" s="100" t="inlineStr">
        <is>
          <t>Atrasado</t>
        </is>
      </c>
      <c r="I81" s="142" t="n"/>
      <c r="J81" s="143">
        <f>IF(I81="","",IF($I$9="","",IF($I$9=0,"",I81/$I$9)))</f>
        <v/>
      </c>
      <c r="K81" s="142" t="n"/>
      <c r="L81" s="143">
        <f>IF(K81="","",IF($K$9="","",IF($K$9=0,"",K81/$K$9)))</f>
        <v/>
      </c>
      <c r="M81" s="142" t="n"/>
      <c r="N81" s="143">
        <f>IF(M81="","",IF($M$9="","",IF($M$9=0,"",M81/$M$9)))</f>
        <v/>
      </c>
      <c r="O81" s="142" t="n"/>
      <c r="P81" s="143">
        <f>IF(O81="","",IF($O$9="","",IF($O$9=0,"",O81/$O$9)))</f>
        <v/>
      </c>
      <c r="Q81" s="142" t="n"/>
      <c r="R81" s="143">
        <f>IF(Q81="","",IF($Q$9="","",IF($Q$9=0,"",Q81/$Q$9)))</f>
        <v/>
      </c>
      <c r="S81" s="142" t="n"/>
      <c r="T81" s="143">
        <f>IF(S81="","",IF($S$9="","",IF($S$9=0,"",S81/$S$9)))</f>
        <v/>
      </c>
      <c r="U81" s="144" t="n"/>
      <c r="V81" s="143">
        <f>IF(U81="","",IF($U$9="","",IF($U$9=0,"",U81/$U$9)))</f>
        <v/>
      </c>
      <c r="W81" s="142" t="n"/>
      <c r="X81" s="143">
        <f>IF(W81="","",IF($W$9="","",IF($W$9=0,"",W81/$W$9)))</f>
        <v/>
      </c>
    </row>
    <row r="82" ht="15" customHeight="1" s="87">
      <c r="A82" s="115" t="n">
        <v>72</v>
      </c>
      <c r="B82" s="145" t="n">
        <v>46685</v>
      </c>
      <c r="C82" s="146" t="n">
        <v>0.1234567901234568</v>
      </c>
      <c r="D82" s="140" t="n"/>
      <c r="E82" s="146" t="n">
        <v>8.888888888888884</v>
      </c>
      <c r="F82" s="146" t="n">
        <v>1</v>
      </c>
      <c r="G82" s="147" t="n">
        <v>0.1125000000000001</v>
      </c>
      <c r="H82" s="101" t="inlineStr">
        <is>
          <t>Atrasado</t>
        </is>
      </c>
      <c r="I82" s="142" t="n"/>
      <c r="J82" s="148">
        <f>IF(I82="","",IF($I$9="","",IF($I$9=0,"",I82/$I$9)))</f>
        <v/>
      </c>
      <c r="K82" s="142" t="n"/>
      <c r="L82" s="148">
        <f>IF(K82="","",IF($K$9="","",IF($K$9=0,"",K82/$K$9)))</f>
        <v/>
      </c>
      <c r="M82" s="142" t="n"/>
      <c r="N82" s="148">
        <f>IF(M82="","",IF($M$9="","",IF($M$9=0,"",M82/$M$9)))</f>
        <v/>
      </c>
      <c r="O82" s="142" t="n"/>
      <c r="P82" s="148">
        <f>IF(O82="","",IF($O$9="","",IF($O$9=0,"",O82/$O$9)))</f>
        <v/>
      </c>
      <c r="Q82" s="142" t="n"/>
      <c r="R82" s="148">
        <f>IF(Q82="","",IF($Q$9="","",IF($Q$9=0,"",Q82/$Q$9)))</f>
        <v/>
      </c>
      <c r="S82" s="142" t="n"/>
      <c r="T82" s="148">
        <f>IF(S82="","",IF($S$9="","",IF($S$9=0,"",S82/$S$9)))</f>
        <v/>
      </c>
      <c r="U82" s="144" t="n"/>
      <c r="V82" s="148">
        <f>IF(U82="","",IF($U$9="","",IF($U$9=0,"",U82/$U$9)))</f>
        <v/>
      </c>
      <c r="W82" s="142" t="n"/>
      <c r="X82" s="148">
        <f>IF(W82="","",IF($W$9="","",IF($W$9=0,"",W82/$W$9)))</f>
        <v/>
      </c>
    </row>
    <row r="83" ht="15" customHeight="1" s="87">
      <c r="A83" s="92" t="n">
        <v>73</v>
      </c>
      <c r="B83" s="138" t="n">
        <v>46692</v>
      </c>
      <c r="C83" s="139" t="n">
        <v>0.1234567901234568</v>
      </c>
      <c r="D83" s="140" t="n"/>
      <c r="E83" s="139" t="n">
        <v>9.012345679012341</v>
      </c>
      <c r="F83" s="139" t="n">
        <v>1</v>
      </c>
      <c r="G83" s="141" t="n">
        <v>0.1109589041095891</v>
      </c>
      <c r="H83" s="100" t="inlineStr">
        <is>
          <t>Atrasado</t>
        </is>
      </c>
      <c r="I83" s="142" t="n"/>
      <c r="J83" s="143">
        <f>IF(I83="","",IF($I$9="","",IF($I$9=0,"",I83/$I$9)))</f>
        <v/>
      </c>
      <c r="K83" s="142" t="n"/>
      <c r="L83" s="143">
        <f>IF(K83="","",IF($K$9="","",IF($K$9=0,"",K83/$K$9)))</f>
        <v/>
      </c>
      <c r="M83" s="142" t="n"/>
      <c r="N83" s="143">
        <f>IF(M83="","",IF($M$9="","",IF($M$9=0,"",M83/$M$9)))</f>
        <v/>
      </c>
      <c r="O83" s="142" t="n"/>
      <c r="P83" s="143">
        <f>IF(O83="","",IF($O$9="","",IF($O$9=0,"",O83/$O$9)))</f>
        <v/>
      </c>
      <c r="Q83" s="142" t="n"/>
      <c r="R83" s="143">
        <f>IF(Q83="","",IF($Q$9="","",IF($Q$9=0,"",Q83/$Q$9)))</f>
        <v/>
      </c>
      <c r="S83" s="142" t="n"/>
      <c r="T83" s="143">
        <f>IF(S83="","",IF($S$9="","",IF($S$9=0,"",S83/$S$9)))</f>
        <v/>
      </c>
      <c r="U83" s="144" t="n"/>
      <c r="V83" s="143">
        <f>IF(U83="","",IF($U$9="","",IF($U$9=0,"",U83/$U$9)))</f>
        <v/>
      </c>
      <c r="W83" s="142" t="n"/>
      <c r="X83" s="143">
        <f>IF(W83="","",IF($W$9="","",IF($W$9=0,"",W83/$W$9)))</f>
        <v/>
      </c>
    </row>
    <row r="84" ht="15" customHeight="1" s="87">
      <c r="A84" s="115" t="n">
        <v>74</v>
      </c>
      <c r="B84" s="145" t="n">
        <v>46699</v>
      </c>
      <c r="C84" s="146" t="n">
        <v>0.1234567901234568</v>
      </c>
      <c r="D84" s="140" t="n"/>
      <c r="E84" s="146" t="n">
        <v>9.135802469135799</v>
      </c>
      <c r="F84" s="146" t="n">
        <v>1</v>
      </c>
      <c r="G84" s="147" t="n">
        <v>0.1094594594594595</v>
      </c>
      <c r="H84" s="101" t="inlineStr">
        <is>
          <t>Atrasado</t>
        </is>
      </c>
      <c r="I84" s="142" t="n"/>
      <c r="J84" s="148">
        <f>IF(I84="","",IF($I$9="","",IF($I$9=0,"",I84/$I$9)))</f>
        <v/>
      </c>
      <c r="K84" s="142" t="n"/>
      <c r="L84" s="148">
        <f>IF(K84="","",IF($K$9="","",IF($K$9=0,"",K84/$K$9)))</f>
        <v/>
      </c>
      <c r="M84" s="142" t="n"/>
      <c r="N84" s="148">
        <f>IF(M84="","",IF($M$9="","",IF($M$9=0,"",M84/$M$9)))</f>
        <v/>
      </c>
      <c r="O84" s="142" t="n"/>
      <c r="P84" s="148">
        <f>IF(O84="","",IF($O$9="","",IF($O$9=0,"",O84/$O$9)))</f>
        <v/>
      </c>
      <c r="Q84" s="142" t="n"/>
      <c r="R84" s="148">
        <f>IF(Q84="","",IF($Q$9="","",IF($Q$9=0,"",Q84/$Q$9)))</f>
        <v/>
      </c>
      <c r="S84" s="142" t="n"/>
      <c r="T84" s="148">
        <f>IF(S84="","",IF($S$9="","",IF($S$9=0,"",S84/$S$9)))</f>
        <v/>
      </c>
      <c r="U84" s="144" t="n"/>
      <c r="V84" s="148">
        <f>IF(U84="","",IF($U$9="","",IF($U$9=0,"",U84/$U$9)))</f>
        <v/>
      </c>
      <c r="W84" s="142" t="n"/>
      <c r="X84" s="148">
        <f>IF(W84="","",IF($W$9="","",IF($W$9=0,"",W84/$W$9)))</f>
        <v/>
      </c>
    </row>
    <row r="85" ht="15" customHeight="1" s="87">
      <c r="A85" s="92" t="n">
        <v>75</v>
      </c>
      <c r="B85" s="138" t="n">
        <v>46706</v>
      </c>
      <c r="C85" s="139" t="n">
        <v>0.1234567901234568</v>
      </c>
      <c r="D85" s="140" t="n"/>
      <c r="E85" s="139" t="n">
        <v>9.259259259259256</v>
      </c>
      <c r="F85" s="139" t="n">
        <v>1</v>
      </c>
      <c r="G85" s="141" t="n">
        <v>0.108</v>
      </c>
      <c r="H85" s="100" t="inlineStr">
        <is>
          <t>Atrasado</t>
        </is>
      </c>
      <c r="I85" s="142" t="n"/>
      <c r="J85" s="143">
        <f>IF(I85="","",IF($I$9="","",IF($I$9=0,"",I85/$I$9)))</f>
        <v/>
      </c>
      <c r="K85" s="142" t="n"/>
      <c r="L85" s="143">
        <f>IF(K85="","",IF($K$9="","",IF($K$9=0,"",K85/$K$9)))</f>
        <v/>
      </c>
      <c r="M85" s="142" t="n"/>
      <c r="N85" s="143">
        <f>IF(M85="","",IF($M$9="","",IF($M$9=0,"",M85/$M$9)))</f>
        <v/>
      </c>
      <c r="O85" s="142" t="n"/>
      <c r="P85" s="143">
        <f>IF(O85="","",IF($O$9="","",IF($O$9=0,"",O85/$O$9)))</f>
        <v/>
      </c>
      <c r="Q85" s="142" t="n"/>
      <c r="R85" s="143">
        <f>IF(Q85="","",IF($Q$9="","",IF($Q$9=0,"",Q85/$Q$9)))</f>
        <v/>
      </c>
      <c r="S85" s="142" t="n"/>
      <c r="T85" s="143">
        <f>IF(S85="","",IF($S$9="","",IF($S$9=0,"",S85/$S$9)))</f>
        <v/>
      </c>
      <c r="U85" s="144" t="n"/>
      <c r="V85" s="143">
        <f>IF(U85="","",IF($U$9="","",IF($U$9=0,"",U85/$U$9)))</f>
        <v/>
      </c>
      <c r="W85" s="142" t="n"/>
      <c r="X85" s="143">
        <f>IF(W85="","",IF($W$9="","",IF($W$9=0,"",W85/$W$9)))</f>
        <v/>
      </c>
    </row>
    <row r="86" ht="15" customHeight="1" s="87">
      <c r="A86" s="115" t="n">
        <v>76</v>
      </c>
      <c r="B86" s="145" t="n">
        <v>46713</v>
      </c>
      <c r="C86" s="146" t="n">
        <v>0.1234567901234568</v>
      </c>
      <c r="D86" s="140" t="n"/>
      <c r="E86" s="146" t="n">
        <v>9.382716049382713</v>
      </c>
      <c r="F86" s="146" t="n">
        <v>1</v>
      </c>
      <c r="G86" s="147" t="n">
        <v>0.1065789473684211</v>
      </c>
      <c r="H86" s="101" t="inlineStr">
        <is>
          <t>Atrasado</t>
        </is>
      </c>
      <c r="I86" s="142" t="n"/>
      <c r="J86" s="148">
        <f>IF(I86="","",IF($I$9="","",IF($I$9=0,"",I86/$I$9)))</f>
        <v/>
      </c>
      <c r="K86" s="142" t="n"/>
      <c r="L86" s="148">
        <f>IF(K86="","",IF($K$9="","",IF($K$9=0,"",K86/$K$9)))</f>
        <v/>
      </c>
      <c r="M86" s="142" t="n"/>
      <c r="N86" s="148">
        <f>IF(M86="","",IF($M$9="","",IF($M$9=0,"",M86/$M$9)))</f>
        <v/>
      </c>
      <c r="O86" s="142" t="n"/>
      <c r="P86" s="148">
        <f>IF(O86="","",IF($O$9="","",IF($O$9=0,"",O86/$O$9)))</f>
        <v/>
      </c>
      <c r="Q86" s="142" t="n"/>
      <c r="R86" s="148">
        <f>IF(Q86="","",IF($Q$9="","",IF($Q$9=0,"",Q86/$Q$9)))</f>
        <v/>
      </c>
      <c r="S86" s="142" t="n"/>
      <c r="T86" s="148">
        <f>IF(S86="","",IF($S$9="","",IF($S$9=0,"",S86/$S$9)))</f>
        <v/>
      </c>
      <c r="U86" s="144" t="n"/>
      <c r="V86" s="148">
        <f>IF(U86="","",IF($U$9="","",IF($U$9=0,"",U86/$U$9)))</f>
        <v/>
      </c>
      <c r="W86" s="142" t="n"/>
      <c r="X86" s="148">
        <f>IF(W86="","",IF($W$9="","",IF($W$9=0,"",W86/$W$9)))</f>
        <v/>
      </c>
    </row>
    <row r="87" ht="15" customHeight="1" s="87">
      <c r="A87" s="92" t="n">
        <v>77</v>
      </c>
      <c r="B87" s="138" t="n">
        <v>46720</v>
      </c>
      <c r="C87" s="139" t="n">
        <v>0.1234567901234568</v>
      </c>
      <c r="D87" s="140" t="n"/>
      <c r="E87" s="139" t="n">
        <v>9.506172839506171</v>
      </c>
      <c r="F87" s="139" t="n">
        <v>1</v>
      </c>
      <c r="G87" s="141" t="n">
        <v>0.1051948051948052</v>
      </c>
      <c r="H87" s="100" t="inlineStr">
        <is>
          <t>Atrasado</t>
        </is>
      </c>
      <c r="I87" s="142" t="n"/>
      <c r="J87" s="143">
        <f>IF(I87="","",IF($I$9="","",IF($I$9=0,"",I87/$I$9)))</f>
        <v/>
      </c>
      <c r="K87" s="142" t="n"/>
      <c r="L87" s="143">
        <f>IF(K87="","",IF($K$9="","",IF($K$9=0,"",K87/$K$9)))</f>
        <v/>
      </c>
      <c r="M87" s="142" t="n"/>
      <c r="N87" s="143">
        <f>IF(M87="","",IF($M$9="","",IF($M$9=0,"",M87/$M$9)))</f>
        <v/>
      </c>
      <c r="O87" s="142" t="n"/>
      <c r="P87" s="143">
        <f>IF(O87="","",IF($O$9="","",IF($O$9=0,"",O87/$O$9)))</f>
        <v/>
      </c>
      <c r="Q87" s="142" t="n"/>
      <c r="R87" s="143">
        <f>IF(Q87="","",IF($Q$9="","",IF($Q$9=0,"",Q87/$Q$9)))</f>
        <v/>
      </c>
      <c r="S87" s="142" t="n"/>
      <c r="T87" s="143">
        <f>IF(S87="","",IF($S$9="","",IF($S$9=0,"",S87/$S$9)))</f>
        <v/>
      </c>
      <c r="U87" s="144" t="n"/>
      <c r="V87" s="143">
        <f>IF(U87="","",IF($U$9="","",IF($U$9=0,"",U87/$U$9)))</f>
        <v/>
      </c>
      <c r="W87" s="142" t="n"/>
      <c r="X87" s="143">
        <f>IF(W87="","",IF($W$9="","",IF($W$9=0,"",W87/$W$9)))</f>
        <v/>
      </c>
    </row>
    <row r="88" ht="15" customHeight="1" s="87">
      <c r="A88" s="115" t="n">
        <v>78</v>
      </c>
      <c r="B88" s="145" t="n">
        <v>46727</v>
      </c>
      <c r="C88" s="146" t="n">
        <v>0.1234567901234568</v>
      </c>
      <c r="D88" s="140" t="n"/>
      <c r="E88" s="146" t="n">
        <v>9.629629629629628</v>
      </c>
      <c r="F88" s="146" t="n">
        <v>1</v>
      </c>
      <c r="G88" s="147" t="n">
        <v>0.1038461538461539</v>
      </c>
      <c r="H88" s="101" t="inlineStr">
        <is>
          <t>Atrasado</t>
        </is>
      </c>
      <c r="I88" s="142" t="n"/>
      <c r="J88" s="148">
        <f>IF(I88="","",IF($I$9="","",IF($I$9=0,"",I88/$I$9)))</f>
        <v/>
      </c>
      <c r="K88" s="142" t="n"/>
      <c r="L88" s="148">
        <f>IF(K88="","",IF($K$9="","",IF($K$9=0,"",K88/$K$9)))</f>
        <v/>
      </c>
      <c r="M88" s="142" t="n"/>
      <c r="N88" s="148">
        <f>IF(M88="","",IF($M$9="","",IF($M$9=0,"",M88/$M$9)))</f>
        <v/>
      </c>
      <c r="O88" s="142" t="n"/>
      <c r="P88" s="148">
        <f>IF(O88="","",IF($O$9="","",IF($O$9=0,"",O88/$O$9)))</f>
        <v/>
      </c>
      <c r="Q88" s="142" t="n"/>
      <c r="R88" s="148">
        <f>IF(Q88="","",IF($Q$9="","",IF($Q$9=0,"",Q88/$Q$9)))</f>
        <v/>
      </c>
      <c r="S88" s="142" t="n"/>
      <c r="T88" s="148">
        <f>IF(S88="","",IF($S$9="","",IF($S$9=0,"",S88/$S$9)))</f>
        <v/>
      </c>
      <c r="U88" s="144" t="n"/>
      <c r="V88" s="148">
        <f>IF(U88="","",IF($U$9="","",IF($U$9=0,"",U88/$U$9)))</f>
        <v/>
      </c>
      <c r="W88" s="142" t="n"/>
      <c r="X88" s="148">
        <f>IF(W88="","",IF($W$9="","",IF($W$9=0,"",W88/$W$9)))</f>
        <v/>
      </c>
    </row>
    <row r="89" ht="15" customHeight="1" s="87">
      <c r="A89" s="92" t="n">
        <v>79</v>
      </c>
      <c r="B89" s="138" t="n">
        <v>46734</v>
      </c>
      <c r="C89" s="139" t="n">
        <v>0.1234567901234568</v>
      </c>
      <c r="D89" s="140" t="n"/>
      <c r="E89" s="139" t="n">
        <v>9.753086419753085</v>
      </c>
      <c r="F89" s="139" t="n">
        <v>1</v>
      </c>
      <c r="G89" s="141" t="n">
        <v>0.1025316455696203</v>
      </c>
      <c r="H89" s="100" t="inlineStr">
        <is>
          <t>Atrasado</t>
        </is>
      </c>
      <c r="I89" s="142" t="n"/>
      <c r="J89" s="143">
        <f>IF(I89="","",IF($I$9="","",IF($I$9=0,"",I89/$I$9)))</f>
        <v/>
      </c>
      <c r="K89" s="142" t="n"/>
      <c r="L89" s="143">
        <f>IF(K89="","",IF($K$9="","",IF($K$9=0,"",K89/$K$9)))</f>
        <v/>
      </c>
      <c r="M89" s="142" t="n"/>
      <c r="N89" s="143">
        <f>IF(M89="","",IF($M$9="","",IF($M$9=0,"",M89/$M$9)))</f>
        <v/>
      </c>
      <c r="O89" s="142" t="n"/>
      <c r="P89" s="143">
        <f>IF(O89="","",IF($O$9="","",IF($O$9=0,"",O89/$O$9)))</f>
        <v/>
      </c>
      <c r="Q89" s="142" t="n"/>
      <c r="R89" s="143">
        <f>IF(Q89="","",IF($Q$9="","",IF($Q$9=0,"",Q89/$Q$9)))</f>
        <v/>
      </c>
      <c r="S89" s="142" t="n"/>
      <c r="T89" s="143">
        <f>IF(S89="","",IF($S$9="","",IF($S$9=0,"",S89/$S$9)))</f>
        <v/>
      </c>
      <c r="U89" s="144" t="n"/>
      <c r="V89" s="143">
        <f>IF(U89="","",IF($U$9="","",IF($U$9=0,"",U89/$U$9)))</f>
        <v/>
      </c>
      <c r="W89" s="142" t="n"/>
      <c r="X89" s="143">
        <f>IF(W89="","",IF($W$9="","",IF($W$9=0,"",W89/$W$9)))</f>
        <v/>
      </c>
    </row>
    <row r="90" ht="15" customHeight="1" s="87">
      <c r="A90" s="115" t="n">
        <v>80</v>
      </c>
      <c r="B90" s="145" t="n">
        <v>46741</v>
      </c>
      <c r="C90" s="146" t="n">
        <v>0.1234567901234568</v>
      </c>
      <c r="D90" s="140" t="n"/>
      <c r="E90" s="146" t="n">
        <v>9.876543209876543</v>
      </c>
      <c r="F90" s="146" t="n">
        <v>1</v>
      </c>
      <c r="G90" s="147" t="n">
        <v>0.10125</v>
      </c>
      <c r="H90" s="101" t="inlineStr">
        <is>
          <t>Atrasado</t>
        </is>
      </c>
      <c r="I90" s="142" t="n"/>
      <c r="J90" s="148">
        <f>IF(I90="","",IF($I$9="","",IF($I$9=0,"",I90/$I$9)))</f>
        <v/>
      </c>
      <c r="K90" s="142" t="n"/>
      <c r="L90" s="148">
        <f>IF(K90="","",IF($K$9="","",IF($K$9=0,"",K90/$K$9)))</f>
        <v/>
      </c>
      <c r="M90" s="142" t="n"/>
      <c r="N90" s="148">
        <f>IF(M90="","",IF($M$9="","",IF($M$9=0,"",M90/$M$9)))</f>
        <v/>
      </c>
      <c r="O90" s="142" t="n"/>
      <c r="P90" s="148">
        <f>IF(O90="","",IF($O$9="","",IF($O$9=0,"",O90/$O$9)))</f>
        <v/>
      </c>
      <c r="Q90" s="142" t="n"/>
      <c r="R90" s="148">
        <f>IF(Q90="","",IF($Q$9="","",IF($Q$9=0,"",Q90/$Q$9)))</f>
        <v/>
      </c>
      <c r="S90" s="142" t="n"/>
      <c r="T90" s="148">
        <f>IF(S90="","",IF($S$9="","",IF($S$9=0,"",S90/$S$9)))</f>
        <v/>
      </c>
      <c r="U90" s="144" t="n"/>
      <c r="V90" s="148">
        <f>IF(U90="","",IF($U$9="","",IF($U$9=0,"",U90/$U$9)))</f>
        <v/>
      </c>
      <c r="W90" s="142" t="n"/>
      <c r="X90" s="148">
        <f>IF(W90="","",IF($W$9="","",IF($W$9=0,"",W90/$W$9)))</f>
        <v/>
      </c>
    </row>
    <row r="91" ht="15" customHeight="1" s="87">
      <c r="A91" s="92" t="n">
        <v>81</v>
      </c>
      <c r="B91" s="138" t="n">
        <v>46748</v>
      </c>
      <c r="C91" s="139" t="n">
        <v>0.1234567901234568</v>
      </c>
      <c r="D91" s="140" t="n"/>
      <c r="E91" s="139" t="n">
        <v>10</v>
      </c>
      <c r="F91" s="139" t="n">
        <v>1</v>
      </c>
      <c r="G91" s="141" t="n">
        <v>0.1</v>
      </c>
      <c r="H91" s="100" t="inlineStr">
        <is>
          <t>Atrasado</t>
        </is>
      </c>
      <c r="I91" s="142" t="n"/>
      <c r="J91" s="143">
        <f>IF(I91="","",IF($I$9="","",IF($I$9=0,"",I91/$I$9)))</f>
        <v/>
      </c>
      <c r="K91" s="142" t="n"/>
      <c r="L91" s="143">
        <f>IF(K91="","",IF($K$9="","",IF($K$9=0,"",K91/$K$9)))</f>
        <v/>
      </c>
      <c r="M91" s="142" t="n"/>
      <c r="N91" s="143">
        <f>IF(M91="","",IF($M$9="","",IF($M$9=0,"",M91/$M$9)))</f>
        <v/>
      </c>
      <c r="O91" s="142" t="n"/>
      <c r="P91" s="143">
        <f>IF(O91="","",IF($O$9="","",IF($O$9=0,"",O91/$O$9)))</f>
        <v/>
      </c>
      <c r="Q91" s="142" t="n"/>
      <c r="R91" s="143">
        <f>IF(Q91="","",IF($Q$9="","",IF($Q$9=0,"",Q91/$Q$9)))</f>
        <v/>
      </c>
      <c r="S91" s="142" t="n"/>
      <c r="T91" s="143">
        <f>IF(S91="","",IF($S$9="","",IF($S$9=0,"",S91/$S$9)))</f>
        <v/>
      </c>
      <c r="U91" s="144" t="n"/>
      <c r="V91" s="143">
        <f>IF(U91="","",IF($U$9="","",IF($U$9=0,"",U91/$U$9)))</f>
        <v/>
      </c>
      <c r="W91" s="142" t="n"/>
      <c r="X91" s="143">
        <f>IF(W91="","",IF($W$9="","",IF($W$9=0,"",W91/$W$9)))</f>
        <v/>
      </c>
    </row>
    <row r="92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91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X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4 — Cumplir el 100% de entregas y colocaciones en tiempo y forma</t>
        </is>
      </c>
    </row>
    <row r="2" ht="15" customHeight="1" s="87">
      <c r="A2" s="104" t="inlineStr">
        <is>
          <t>Indicador lag:</t>
        </is>
      </c>
      <c r="B2" s="127" t="inlineStr">
        <is>
          <t>% de colocaciones y entregas de la semana realizadas en tiempo y forma.</t>
        </is>
      </c>
    </row>
    <row r="3" ht="15" customHeight="1" s="87">
      <c r="A3" s="104" t="inlineStr">
        <is>
          <t>De X a Y:</t>
        </is>
      </c>
      <c r="B3" s="127" t="inlineStr">
        <is>
          <t>Sostener 100% de cumplimiento semanal durante todo el periodo.</t>
        </is>
      </c>
    </row>
    <row r="4" ht="15" customHeight="1" s="87">
      <c r="A4" s="104" t="inlineStr">
        <is>
          <t>Dueño:</t>
        </is>
      </c>
      <c r="B4" s="128" t="inlineStr">
        <is>
          <t>K. Solis</t>
        </is>
      </c>
      <c r="D4" s="104" t="inlineStr">
        <is>
          <t>Equipo:</t>
        </is>
      </c>
      <c r="E4" s="127" t="inlineStr">
        <is>
          <t>Finanzas</t>
        </is>
      </c>
    </row>
    <row r="5" ht="15" customHeight="1" s="87">
      <c r="A5" s="104" t="inlineStr">
        <is>
          <t>Meta:</t>
        </is>
      </c>
      <c r="B5" s="151" t="n">
        <v>1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46748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COUNT(A11:A91)</f>
        <v/>
      </c>
      <c r="H8" s="132" t="inlineStr">
        <is>
          <t>Lead →</t>
        </is>
      </c>
      <c r="I8" s="133" t="inlineStr">
        <is>
          <t>L1. % entregas programadas con checklist completo</t>
        </is>
      </c>
      <c r="J8" s="134" t="n"/>
      <c r="K8" s="133" t="inlineStr">
        <is>
          <t>L2. Riesgos de entrega escalados ≥1 semana antes</t>
        </is>
      </c>
      <c r="L8" s="134" t="n"/>
      <c r="M8" s="133" t="inlineStr">
        <is>
          <t>L3. % órdenes de compra liberadas a tiempo</t>
        </is>
      </c>
      <c r="N8" s="134" t="n"/>
      <c r="O8" s="133" t="inlineStr">
        <is>
          <t>L4. % inventario confirmado ≥5 días antes</t>
        </is>
      </c>
      <c r="P8" s="134" t="n"/>
      <c r="Q8" s="133" t="inlineStr">
        <is>
          <t>L5. Coordinaciones logísticas confirmadas</t>
        </is>
      </c>
      <c r="R8" s="134" t="n"/>
      <c r="S8" s="133" t="inlineStr">
        <is>
          <t>L6. % facturas emitidas ≤48h tras la entrega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5" t="n">
        <v>1</v>
      </c>
      <c r="L9" s="134" t="n"/>
      <c r="M9" s="136" t="n">
        <v>1</v>
      </c>
      <c r="N9" s="134" t="n"/>
      <c r="O9" s="136" t="n">
        <v>1</v>
      </c>
      <c r="P9" s="134" t="n"/>
      <c r="Q9" s="135" t="n">
        <v>5</v>
      </c>
      <c r="R9" s="134" t="n"/>
      <c r="S9" s="136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52" t="n">
        <v>1</v>
      </c>
      <c r="D11" s="140" t="n">
        <v>1</v>
      </c>
      <c r="E11" s="92" t="n"/>
      <c r="F11" s="92" t="n"/>
      <c r="G11" s="141" t="n">
        <v>0</v>
      </c>
      <c r="H11" s="100" t="inlineStr">
        <is>
          <t>En meta</t>
        </is>
      </c>
      <c r="I11" s="144" t="n">
        <v>1</v>
      </c>
      <c r="J11" s="143" t="n">
        <v>1</v>
      </c>
      <c r="K11" s="142" t="n">
        <v>1</v>
      </c>
      <c r="L11" s="143" t="n">
        <v>1</v>
      </c>
      <c r="M11" s="144" t="n">
        <v>1</v>
      </c>
      <c r="N11" s="143" t="n">
        <v>1</v>
      </c>
      <c r="O11" s="144" t="n">
        <v>1</v>
      </c>
      <c r="P11" s="143" t="n">
        <v>1</v>
      </c>
      <c r="Q11" s="142" t="n">
        <v>5</v>
      </c>
      <c r="R11" s="143" t="n">
        <v>1</v>
      </c>
      <c r="S11" s="144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53" t="n">
        <v>1</v>
      </c>
      <c r="D12" s="140" t="n">
        <v>0.96</v>
      </c>
      <c r="E12" s="115" t="n"/>
      <c r="F12" s="115" t="n"/>
      <c r="G12" s="147" t="n">
        <v>-0.04000000000000004</v>
      </c>
      <c r="H12" s="101" t="inlineStr">
        <is>
          <t>Riesgo</t>
        </is>
      </c>
      <c r="I12" s="144" t="n">
        <v>1</v>
      </c>
      <c r="J12" s="148" t="n">
        <v>1</v>
      </c>
      <c r="K12" s="142" t="n">
        <v>1</v>
      </c>
      <c r="L12" s="148" t="n">
        <v>1</v>
      </c>
      <c r="M12" s="144" t="n">
        <v>1</v>
      </c>
      <c r="N12" s="148" t="n">
        <v>1</v>
      </c>
      <c r="O12" s="144" t="n">
        <v>1</v>
      </c>
      <c r="P12" s="148" t="n">
        <v>1</v>
      </c>
      <c r="Q12" s="142" t="n">
        <v>6</v>
      </c>
      <c r="R12" s="148" t="n">
        <v>1.2</v>
      </c>
      <c r="S12" s="144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52" t="n">
        <v>1</v>
      </c>
      <c r="D13" s="140" t="n">
        <v>1</v>
      </c>
      <c r="E13" s="92" t="n"/>
      <c r="F13" s="92" t="n"/>
      <c r="G13" s="141" t="n">
        <v>0</v>
      </c>
      <c r="H13" s="100" t="inlineStr">
        <is>
          <t>En meta</t>
        </is>
      </c>
      <c r="I13" s="144" t="n">
        <v>1</v>
      </c>
      <c r="J13" s="143" t="n">
        <v>1</v>
      </c>
      <c r="K13" s="142" t="n">
        <v>1</v>
      </c>
      <c r="L13" s="143" t="n">
        <v>1</v>
      </c>
      <c r="M13" s="144" t="n">
        <v>1</v>
      </c>
      <c r="N13" s="143" t="n">
        <v>1</v>
      </c>
      <c r="O13" s="144" t="n">
        <v>1</v>
      </c>
      <c r="P13" s="143" t="n">
        <v>1</v>
      </c>
      <c r="Q13" s="142" t="n">
        <v>6</v>
      </c>
      <c r="R13" s="143" t="n">
        <v>1.2</v>
      </c>
      <c r="S13" s="144" t="n">
        <v>1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53" t="n">
        <v>1</v>
      </c>
      <c r="D14" s="140" t="n">
        <v>1</v>
      </c>
      <c r="E14" s="115" t="n"/>
      <c r="F14" s="115" t="n"/>
      <c r="G14" s="147" t="n">
        <v>0</v>
      </c>
      <c r="H14" s="101" t="inlineStr">
        <is>
          <t>En meta</t>
        </is>
      </c>
      <c r="I14" s="144" t="n">
        <v>1</v>
      </c>
      <c r="J14" s="148" t="n">
        <v>1</v>
      </c>
      <c r="K14" s="142" t="n">
        <v>1</v>
      </c>
      <c r="L14" s="148" t="n">
        <v>1</v>
      </c>
      <c r="M14" s="144" t="n">
        <v>1</v>
      </c>
      <c r="N14" s="148" t="n">
        <v>1</v>
      </c>
      <c r="O14" s="144" t="n">
        <v>1</v>
      </c>
      <c r="P14" s="148" t="n">
        <v>1</v>
      </c>
      <c r="Q14" s="142" t="n">
        <v>5</v>
      </c>
      <c r="R14" s="148" t="n">
        <v>1</v>
      </c>
      <c r="S14" s="144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52" t="n">
        <v>1</v>
      </c>
      <c r="D15" s="140" t="n">
        <v>0.95</v>
      </c>
      <c r="E15" s="92" t="n"/>
      <c r="F15" s="92" t="n"/>
      <c r="G15" s="141" t="n">
        <v>-0.05000000000000004</v>
      </c>
      <c r="H15" s="100" t="inlineStr">
        <is>
          <t>Riesgo</t>
        </is>
      </c>
      <c r="I15" s="144" t="n">
        <v>1</v>
      </c>
      <c r="J15" s="143" t="n">
        <v>1</v>
      </c>
      <c r="K15" s="142" t="n">
        <v>1</v>
      </c>
      <c r="L15" s="143" t="n">
        <v>1</v>
      </c>
      <c r="M15" s="144" t="n">
        <v>1</v>
      </c>
      <c r="N15" s="143" t="n">
        <v>1</v>
      </c>
      <c r="O15" s="144" t="n">
        <v>1</v>
      </c>
      <c r="P15" s="143" t="n">
        <v>1</v>
      </c>
      <c r="Q15" s="142" t="n">
        <v>5</v>
      </c>
      <c r="R15" s="143" t="n">
        <v>1</v>
      </c>
      <c r="S15" s="144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53" t="n">
        <v>1</v>
      </c>
      <c r="D16" s="140" t="n">
        <v>1</v>
      </c>
      <c r="E16" s="115" t="n"/>
      <c r="F16" s="115" t="n"/>
      <c r="G16" s="147" t="n">
        <v>0</v>
      </c>
      <c r="H16" s="101" t="inlineStr">
        <is>
          <t>En meta</t>
        </is>
      </c>
      <c r="I16" s="144" t="n">
        <v>1</v>
      </c>
      <c r="J16" s="148" t="n">
        <v>1</v>
      </c>
      <c r="K16" s="142" t="n">
        <v>1</v>
      </c>
      <c r="L16" s="148" t="n">
        <v>1</v>
      </c>
      <c r="M16" s="144" t="n">
        <v>1</v>
      </c>
      <c r="N16" s="148" t="n">
        <v>1</v>
      </c>
      <c r="O16" s="144" t="n">
        <v>1</v>
      </c>
      <c r="P16" s="148" t="n">
        <v>1</v>
      </c>
      <c r="Q16" s="142" t="n">
        <v>4</v>
      </c>
      <c r="R16" s="148" t="n">
        <v>0.8</v>
      </c>
      <c r="S16" s="144" t="n">
        <v>1</v>
      </c>
      <c r="T16" s="148" t="n">
        <v>1</v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52" t="n">
        <v>1</v>
      </c>
      <c r="D17" s="140" t="n">
        <v>1</v>
      </c>
      <c r="E17" s="92" t="n"/>
      <c r="F17" s="92" t="n"/>
      <c r="G17" s="141" t="n">
        <v>0</v>
      </c>
      <c r="H17" s="100" t="inlineStr">
        <is>
          <t>En meta</t>
        </is>
      </c>
      <c r="I17" s="144" t="n">
        <v>1</v>
      </c>
      <c r="J17" s="143" t="n">
        <v>1</v>
      </c>
      <c r="K17" s="142" t="n">
        <v>1</v>
      </c>
      <c r="L17" s="143" t="n">
        <v>1</v>
      </c>
      <c r="M17" s="144" t="n">
        <v>1</v>
      </c>
      <c r="N17" s="143" t="n">
        <v>1</v>
      </c>
      <c r="O17" s="144" t="n">
        <v>1</v>
      </c>
      <c r="P17" s="143" t="n">
        <v>1</v>
      </c>
      <c r="Q17" s="142" t="n">
        <v>6</v>
      </c>
      <c r="R17" s="143" t="n">
        <v>1.2</v>
      </c>
      <c r="S17" s="144" t="n">
        <v>1</v>
      </c>
      <c r="T17" s="143" t="n">
        <v>1</v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53" t="n">
        <v>1</v>
      </c>
      <c r="D18" s="140" t="n">
        <v>0.98</v>
      </c>
      <c r="E18" s="115" t="n"/>
      <c r="F18" s="115" t="n"/>
      <c r="G18" s="147" t="n">
        <v>-0.02000000000000002</v>
      </c>
      <c r="H18" s="101" t="inlineStr">
        <is>
          <t>Riesgo</t>
        </is>
      </c>
      <c r="I18" s="144" t="n">
        <v>1</v>
      </c>
      <c r="J18" s="148" t="n">
        <v>1</v>
      </c>
      <c r="K18" s="142" t="n">
        <v>1</v>
      </c>
      <c r="L18" s="148" t="n">
        <v>1</v>
      </c>
      <c r="M18" s="144" t="n">
        <v>1</v>
      </c>
      <c r="N18" s="148" t="n">
        <v>1</v>
      </c>
      <c r="O18" s="144" t="n">
        <v>1</v>
      </c>
      <c r="P18" s="148" t="n">
        <v>1</v>
      </c>
      <c r="Q18" s="142" t="n">
        <v>4</v>
      </c>
      <c r="R18" s="148" t="n">
        <v>0.8</v>
      </c>
      <c r="S18" s="144" t="n">
        <v>1</v>
      </c>
      <c r="T18" s="148" t="n">
        <v>1</v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52" t="n">
        <v>1</v>
      </c>
      <c r="D19" s="140" t="n">
        <v>1</v>
      </c>
      <c r="E19" s="92" t="n"/>
      <c r="F19" s="92" t="n"/>
      <c r="G19" s="141" t="n">
        <v>0</v>
      </c>
      <c r="H19" s="100" t="inlineStr">
        <is>
          <t>En meta</t>
        </is>
      </c>
      <c r="I19" s="144" t="n">
        <v>1</v>
      </c>
      <c r="J19" s="143" t="n">
        <v>1</v>
      </c>
      <c r="K19" s="142" t="n">
        <v>1</v>
      </c>
      <c r="L19" s="143" t="n">
        <v>1</v>
      </c>
      <c r="M19" s="144" t="n">
        <v>1</v>
      </c>
      <c r="N19" s="143" t="n">
        <v>1</v>
      </c>
      <c r="O19" s="144" t="n">
        <v>1</v>
      </c>
      <c r="P19" s="143" t="n">
        <v>1</v>
      </c>
      <c r="Q19" s="142" t="n">
        <v>3</v>
      </c>
      <c r="R19" s="143" t="n">
        <v>0.6</v>
      </c>
      <c r="S19" s="144" t="n">
        <v>1</v>
      </c>
      <c r="T19" s="143" t="n">
        <v>1</v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53" t="n">
        <v>1</v>
      </c>
      <c r="D20" s="140" t="n">
        <v>1</v>
      </c>
      <c r="E20" s="115" t="n"/>
      <c r="F20" s="115" t="n"/>
      <c r="G20" s="147" t="n">
        <v>0</v>
      </c>
      <c r="H20" s="101" t="inlineStr">
        <is>
          <t>En meta</t>
        </is>
      </c>
      <c r="I20" s="144" t="n">
        <v>1</v>
      </c>
      <c r="J20" s="148" t="n">
        <v>1</v>
      </c>
      <c r="K20" s="142" t="n">
        <v>1</v>
      </c>
      <c r="L20" s="148" t="n">
        <v>1</v>
      </c>
      <c r="M20" s="144" t="n">
        <v>1</v>
      </c>
      <c r="N20" s="148" t="n">
        <v>1</v>
      </c>
      <c r="O20" s="144" t="n">
        <v>1</v>
      </c>
      <c r="P20" s="148" t="n">
        <v>1</v>
      </c>
      <c r="Q20" s="142" t="n">
        <v>6</v>
      </c>
      <c r="R20" s="148" t="n">
        <v>1.2</v>
      </c>
      <c r="S20" s="144" t="n">
        <v>1</v>
      </c>
      <c r="T20" s="148" t="n">
        <v>1</v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52" t="n">
        <v>1</v>
      </c>
      <c r="D21" s="140" t="n">
        <v>1</v>
      </c>
      <c r="E21" s="92" t="n"/>
      <c r="F21" s="92" t="n"/>
      <c r="G21" s="141" t="n">
        <v>0</v>
      </c>
      <c r="H21" s="100" t="inlineStr">
        <is>
          <t>En meta</t>
        </is>
      </c>
      <c r="I21" s="144" t="n">
        <v>1</v>
      </c>
      <c r="J21" s="143" t="n">
        <v>1</v>
      </c>
      <c r="K21" s="142" t="n">
        <v>1</v>
      </c>
      <c r="L21" s="143" t="n">
        <v>1</v>
      </c>
      <c r="M21" s="144" t="n">
        <v>1</v>
      </c>
      <c r="N21" s="143" t="n">
        <v>1</v>
      </c>
      <c r="O21" s="144" t="n">
        <v>1</v>
      </c>
      <c r="P21" s="143" t="n">
        <v>1</v>
      </c>
      <c r="Q21" s="142" t="n">
        <v>5</v>
      </c>
      <c r="R21" s="143" t="n">
        <v>1</v>
      </c>
      <c r="S21" s="144" t="n">
        <v>1</v>
      </c>
      <c r="T21" s="143" t="n">
        <v>1</v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53" t="n">
        <v>1</v>
      </c>
      <c r="D22" s="140" t="n">
        <v>1</v>
      </c>
      <c r="E22" s="115" t="n"/>
      <c r="F22" s="115" t="n"/>
      <c r="G22" s="147" t="n">
        <v>0</v>
      </c>
      <c r="H22" s="101" t="inlineStr">
        <is>
          <t>En meta</t>
        </is>
      </c>
      <c r="I22" s="144" t="n">
        <v>1</v>
      </c>
      <c r="J22" s="148" t="n">
        <v>1</v>
      </c>
      <c r="K22" s="142" t="n">
        <v>1</v>
      </c>
      <c r="L22" s="148" t="n">
        <v>1</v>
      </c>
      <c r="M22" s="144" t="n">
        <v>1</v>
      </c>
      <c r="N22" s="148" t="n">
        <v>1</v>
      </c>
      <c r="O22" s="144" t="n">
        <v>1</v>
      </c>
      <c r="P22" s="148" t="n">
        <v>1</v>
      </c>
      <c r="Q22" s="142" t="n">
        <v>5</v>
      </c>
      <c r="R22" s="148" t="n">
        <v>1</v>
      </c>
      <c r="S22" s="144" t="n">
        <v>1</v>
      </c>
      <c r="T22" s="148" t="n">
        <v>1</v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52" t="n">
        <v>1</v>
      </c>
      <c r="D23" s="140" t="n"/>
      <c r="E23" s="92" t="n"/>
      <c r="F23" s="92" t="n"/>
      <c r="G23" s="141">
        <f>IF(D23="","",D23-C23)</f>
        <v/>
      </c>
      <c r="H23" s="100">
        <f>IF(D23="","",IF(D23&gt;=C23,"En meta",IF(D23&gt;=C23-0.05,"Riesgo","Atrasado")))</f>
        <v/>
      </c>
      <c r="I23" s="144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4" t="n"/>
      <c r="N23" s="143">
        <f>IF(M23="","",IF($M$9="","",IF($M$9=0,"",M23/$M$9)))</f>
        <v/>
      </c>
      <c r="O23" s="144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4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53" t="n">
        <v>1</v>
      </c>
      <c r="D24" s="140" t="n"/>
      <c r="E24" s="115" t="n"/>
      <c r="F24" s="115" t="n"/>
      <c r="G24" s="147">
        <f>IF(D24="","",D24-C24)</f>
        <v/>
      </c>
      <c r="H24" s="101">
        <f>IF(D24="","",IF(D24&gt;=C24,"En meta",IF(D24&gt;=C24-0.05,"Riesgo","Atrasado")))</f>
        <v/>
      </c>
      <c r="I24" s="144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4" t="n"/>
      <c r="N24" s="148">
        <f>IF(M24="","",IF($M$9="","",IF($M$9=0,"",M24/$M$9)))</f>
        <v/>
      </c>
      <c r="O24" s="144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4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52" t="n">
        <v>1</v>
      </c>
      <c r="D25" s="140" t="n"/>
      <c r="E25" s="92" t="n"/>
      <c r="F25" s="92" t="n"/>
      <c r="G25" s="141">
        <f>IF(D25="","",D25-C25)</f>
        <v/>
      </c>
      <c r="H25" s="100">
        <f>IF(D25="","",IF(D25&gt;=C25,"En meta",IF(D25&gt;=C25-0.05,"Riesgo","Atrasado")))</f>
        <v/>
      </c>
      <c r="I25" s="144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4" t="n"/>
      <c r="N25" s="143">
        <f>IF(M25="","",IF($M$9="","",IF($M$9=0,"",M25/$M$9)))</f>
        <v/>
      </c>
      <c r="O25" s="144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4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53" t="n">
        <v>1</v>
      </c>
      <c r="D26" s="140" t="n"/>
      <c r="E26" s="115" t="n"/>
      <c r="F26" s="115" t="n"/>
      <c r="G26" s="147">
        <f>IF(D26="","",D26-C26)</f>
        <v/>
      </c>
      <c r="H26" s="101">
        <f>IF(D26="","",IF(D26&gt;=C26,"En meta",IF(D26&gt;=C26-0.05,"Riesgo","Atrasado")))</f>
        <v/>
      </c>
      <c r="I26" s="144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4" t="n"/>
      <c r="N26" s="148">
        <f>IF(M26="","",IF($M$9="","",IF($M$9=0,"",M26/$M$9)))</f>
        <v/>
      </c>
      <c r="O26" s="144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4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52" t="n">
        <v>1</v>
      </c>
      <c r="D27" s="140" t="n"/>
      <c r="E27" s="92" t="n"/>
      <c r="F27" s="92" t="n"/>
      <c r="G27" s="141">
        <f>IF(D27="","",D27-C27)</f>
        <v/>
      </c>
      <c r="H27" s="100">
        <f>IF(D27="","",IF(D27&gt;=C27,"En meta",IF(D27&gt;=C27-0.05,"Riesgo","Atrasado")))</f>
        <v/>
      </c>
      <c r="I27" s="144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4" t="n"/>
      <c r="N27" s="143">
        <f>IF(M27="","",IF($M$9="","",IF($M$9=0,"",M27/$M$9)))</f>
        <v/>
      </c>
      <c r="O27" s="144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4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53" t="n">
        <v>1</v>
      </c>
      <c r="D28" s="140" t="n"/>
      <c r="E28" s="115" t="n"/>
      <c r="F28" s="115" t="n"/>
      <c r="G28" s="147">
        <f>IF(D28="","",D28-C28)</f>
        <v/>
      </c>
      <c r="H28" s="101">
        <f>IF(D28="","",IF(D28&gt;=C28,"En meta",IF(D28&gt;=C28-0.05,"Riesgo","Atrasado")))</f>
        <v/>
      </c>
      <c r="I28" s="144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4" t="n"/>
      <c r="N28" s="148">
        <f>IF(M28="","",IF($M$9="","",IF($M$9=0,"",M28/$M$9)))</f>
        <v/>
      </c>
      <c r="O28" s="144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4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52" t="n">
        <v>1</v>
      </c>
      <c r="D29" s="140" t="n"/>
      <c r="E29" s="92" t="n"/>
      <c r="F29" s="92" t="n"/>
      <c r="G29" s="141">
        <f>IF(D29="","",D29-C29)</f>
        <v/>
      </c>
      <c r="H29" s="100">
        <f>IF(D29="","",IF(D29&gt;=C29,"En meta",IF(D29&gt;=C29-0.05,"Riesgo","Atrasado")))</f>
        <v/>
      </c>
      <c r="I29" s="144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4" t="n"/>
      <c r="N29" s="143">
        <f>IF(M29="","",IF($M$9="","",IF($M$9=0,"",M29/$M$9)))</f>
        <v/>
      </c>
      <c r="O29" s="144" t="n"/>
      <c r="P29" s="143">
        <f>IF(O29="","",IF($O$9="","",IF($O$9=0,"",O29/$O$9)))</f>
        <v/>
      </c>
      <c r="Q29" s="142" t="n"/>
      <c r="R29" s="143">
        <f>IF(Q29="","",IF($Q$9="","",IF($Q$9=0,"",Q29/$Q$9)))</f>
        <v/>
      </c>
      <c r="S29" s="144" t="n"/>
      <c r="T29" s="143">
        <f>IF(S29="","",IF($S$9="","",IF($S$9=0,"",S29/$S$9)))</f>
        <v/>
      </c>
      <c r="U29" s="142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53" t="n">
        <v>1</v>
      </c>
      <c r="D30" s="140" t="n"/>
      <c r="E30" s="115" t="n"/>
      <c r="F30" s="115" t="n"/>
      <c r="G30" s="147">
        <f>IF(D30="","",D30-C30)</f>
        <v/>
      </c>
      <c r="H30" s="101">
        <f>IF(D30="","",IF(D30&gt;=C30,"En meta",IF(D30&gt;=C30-0.05,"Riesgo","Atrasado")))</f>
        <v/>
      </c>
      <c r="I30" s="144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4" t="n"/>
      <c r="N30" s="148">
        <f>IF(M30="","",IF($M$9="","",IF($M$9=0,"",M30/$M$9)))</f>
        <v/>
      </c>
      <c r="O30" s="144" t="n"/>
      <c r="P30" s="148">
        <f>IF(O30="","",IF($O$9="","",IF($O$9=0,"",O30/$O$9)))</f>
        <v/>
      </c>
      <c r="Q30" s="142" t="n"/>
      <c r="R30" s="148">
        <f>IF(Q30="","",IF($Q$9="","",IF($Q$9=0,"",Q30/$Q$9)))</f>
        <v/>
      </c>
      <c r="S30" s="144" t="n"/>
      <c r="T30" s="148">
        <f>IF(S30="","",IF($S$9="","",IF($S$9=0,"",S30/$S$9)))</f>
        <v/>
      </c>
      <c r="U30" s="142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52" t="n">
        <v>1</v>
      </c>
      <c r="D31" s="140" t="n"/>
      <c r="E31" s="92" t="n"/>
      <c r="F31" s="92" t="n"/>
      <c r="G31" s="141">
        <f>IF(D31="","",D31-C31)</f>
        <v/>
      </c>
      <c r="H31" s="100">
        <f>IF(D31="","",IF(D31&gt;=C31,"En meta",IF(D31&gt;=C31-0.05,"Riesgo","Atrasado")))</f>
        <v/>
      </c>
      <c r="I31" s="144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4" t="n"/>
      <c r="N31" s="143">
        <f>IF(M31="","",IF($M$9="","",IF($M$9=0,"",M31/$M$9)))</f>
        <v/>
      </c>
      <c r="O31" s="144" t="n"/>
      <c r="P31" s="143">
        <f>IF(O31="","",IF($O$9="","",IF($O$9=0,"",O31/$O$9)))</f>
        <v/>
      </c>
      <c r="Q31" s="142" t="n"/>
      <c r="R31" s="143">
        <f>IF(Q31="","",IF($Q$9="","",IF($Q$9=0,"",Q31/$Q$9)))</f>
        <v/>
      </c>
      <c r="S31" s="144" t="n"/>
      <c r="T31" s="143">
        <f>IF(S31="","",IF($S$9="","",IF($S$9=0,"",S31/$S$9)))</f>
        <v/>
      </c>
      <c r="U31" s="142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53" t="n">
        <v>1</v>
      </c>
      <c r="D32" s="140" t="n"/>
      <c r="E32" s="115" t="n"/>
      <c r="F32" s="115" t="n"/>
      <c r="G32" s="147">
        <f>IF(D32="","",D32-C32)</f>
        <v/>
      </c>
      <c r="H32" s="101">
        <f>IF(D32="","",IF(D32&gt;=C32,"En meta",IF(D32&gt;=C32-0.05,"Riesgo","Atrasado")))</f>
        <v/>
      </c>
      <c r="I32" s="144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4" t="n"/>
      <c r="N32" s="148">
        <f>IF(M32="","",IF($M$9="","",IF($M$9=0,"",M32/$M$9)))</f>
        <v/>
      </c>
      <c r="O32" s="144" t="n"/>
      <c r="P32" s="148">
        <f>IF(O32="","",IF($O$9="","",IF($O$9=0,"",O32/$O$9)))</f>
        <v/>
      </c>
      <c r="Q32" s="142" t="n"/>
      <c r="R32" s="148">
        <f>IF(Q32="","",IF($Q$9="","",IF($Q$9=0,"",Q32/$Q$9)))</f>
        <v/>
      </c>
      <c r="S32" s="144" t="n"/>
      <c r="T32" s="148">
        <f>IF(S32="","",IF($S$9="","",IF($S$9=0,"",S32/$S$9)))</f>
        <v/>
      </c>
      <c r="U32" s="142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52" t="n">
        <v>1</v>
      </c>
      <c r="D33" s="140" t="n"/>
      <c r="E33" s="92" t="n"/>
      <c r="F33" s="92" t="n"/>
      <c r="G33" s="141">
        <f>IF(D33="","",D33-C33)</f>
        <v/>
      </c>
      <c r="H33" s="100">
        <f>IF(D33="","",IF(D33&gt;=C33,"En meta",IF(D33&gt;=C33-0.05,"Riesgo","Atrasado")))</f>
        <v/>
      </c>
      <c r="I33" s="144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4" t="n"/>
      <c r="N33" s="143">
        <f>IF(M33="","",IF($M$9="","",IF($M$9=0,"",M33/$M$9)))</f>
        <v/>
      </c>
      <c r="O33" s="144" t="n"/>
      <c r="P33" s="143">
        <f>IF(O33="","",IF($O$9="","",IF($O$9=0,"",O33/$O$9)))</f>
        <v/>
      </c>
      <c r="Q33" s="142" t="n"/>
      <c r="R33" s="143">
        <f>IF(Q33="","",IF($Q$9="","",IF($Q$9=0,"",Q33/$Q$9)))</f>
        <v/>
      </c>
      <c r="S33" s="144" t="n"/>
      <c r="T33" s="143">
        <f>IF(S33="","",IF($S$9="","",IF($S$9=0,"",S33/$S$9)))</f>
        <v/>
      </c>
      <c r="U33" s="142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53" t="n">
        <v>1</v>
      </c>
      <c r="D34" s="140" t="n"/>
      <c r="E34" s="115" t="n"/>
      <c r="F34" s="115" t="n"/>
      <c r="G34" s="147">
        <f>IF(D34="","",D34-C34)</f>
        <v/>
      </c>
      <c r="H34" s="101">
        <f>IF(D34="","",IF(D34&gt;=C34,"En meta",IF(D34&gt;=C34-0.05,"Riesgo","Atrasado")))</f>
        <v/>
      </c>
      <c r="I34" s="144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4" t="n"/>
      <c r="N34" s="148">
        <f>IF(M34="","",IF($M$9="","",IF($M$9=0,"",M34/$M$9)))</f>
        <v/>
      </c>
      <c r="O34" s="144" t="n"/>
      <c r="P34" s="148">
        <f>IF(O34="","",IF($O$9="","",IF($O$9=0,"",O34/$O$9)))</f>
        <v/>
      </c>
      <c r="Q34" s="142" t="n"/>
      <c r="R34" s="148">
        <f>IF(Q34="","",IF($Q$9="","",IF($Q$9=0,"",Q34/$Q$9)))</f>
        <v/>
      </c>
      <c r="S34" s="144" t="n"/>
      <c r="T34" s="148">
        <f>IF(S34="","",IF($S$9="","",IF($S$9=0,"",S34/$S$9)))</f>
        <v/>
      </c>
      <c r="U34" s="142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52" t="n">
        <v>1</v>
      </c>
      <c r="D35" s="140" t="n"/>
      <c r="E35" s="92" t="n"/>
      <c r="F35" s="92" t="n"/>
      <c r="G35" s="141">
        <f>IF(D35="","",D35-C35)</f>
        <v/>
      </c>
      <c r="H35" s="100">
        <f>IF(D35="","",IF(D35&gt;=C35,"En meta",IF(D35&gt;=C35-0.05,"Riesgo","Atrasado")))</f>
        <v/>
      </c>
      <c r="I35" s="144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4" t="n"/>
      <c r="N35" s="143">
        <f>IF(M35="","",IF($M$9="","",IF($M$9=0,"",M35/$M$9)))</f>
        <v/>
      </c>
      <c r="O35" s="144" t="n"/>
      <c r="P35" s="143">
        <f>IF(O35="","",IF($O$9="","",IF($O$9=0,"",O35/$O$9)))</f>
        <v/>
      </c>
      <c r="Q35" s="142" t="n"/>
      <c r="R35" s="143">
        <f>IF(Q35="","",IF($Q$9="","",IF($Q$9=0,"",Q35/$Q$9)))</f>
        <v/>
      </c>
      <c r="S35" s="144" t="n"/>
      <c r="T35" s="143">
        <f>IF(S35="","",IF($S$9="","",IF($S$9=0,"",S35/$S$9)))</f>
        <v/>
      </c>
      <c r="U35" s="142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53" t="n">
        <v>1</v>
      </c>
      <c r="D36" s="140" t="n"/>
      <c r="E36" s="115" t="n"/>
      <c r="F36" s="115" t="n"/>
      <c r="G36" s="147">
        <f>IF(D36="","",D36-C36)</f>
        <v/>
      </c>
      <c r="H36" s="101">
        <f>IF(D36="","",IF(D36&gt;=C36,"En meta",IF(D36&gt;=C36-0.05,"Riesgo","Atrasado")))</f>
        <v/>
      </c>
      <c r="I36" s="144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4" t="n"/>
      <c r="N36" s="148">
        <f>IF(M36="","",IF($M$9="","",IF($M$9=0,"",M36/$M$9)))</f>
        <v/>
      </c>
      <c r="O36" s="144" t="n"/>
      <c r="P36" s="148">
        <f>IF(O36="","",IF($O$9="","",IF($O$9=0,"",O36/$O$9)))</f>
        <v/>
      </c>
      <c r="Q36" s="142" t="n"/>
      <c r="R36" s="148">
        <f>IF(Q36="","",IF($Q$9="","",IF($Q$9=0,"",Q36/$Q$9)))</f>
        <v/>
      </c>
      <c r="S36" s="144" t="n"/>
      <c r="T36" s="148">
        <f>IF(S36="","",IF($S$9="","",IF($S$9=0,"",S36/$S$9)))</f>
        <v/>
      </c>
      <c r="U36" s="142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52" t="n">
        <v>1</v>
      </c>
      <c r="D37" s="140" t="n"/>
      <c r="E37" s="92" t="n"/>
      <c r="F37" s="92" t="n"/>
      <c r="G37" s="141">
        <f>IF(D37="","",D37-C37)</f>
        <v/>
      </c>
      <c r="H37" s="100">
        <f>IF(D37="","",IF(D37&gt;=C37,"En meta",IF(D37&gt;=C37-0.05,"Riesgo","Atrasado")))</f>
        <v/>
      </c>
      <c r="I37" s="144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4" t="n"/>
      <c r="N37" s="143">
        <f>IF(M37="","",IF($M$9="","",IF($M$9=0,"",M37/$M$9)))</f>
        <v/>
      </c>
      <c r="O37" s="144" t="n"/>
      <c r="P37" s="143">
        <f>IF(O37="","",IF($O$9="","",IF($O$9=0,"",O37/$O$9)))</f>
        <v/>
      </c>
      <c r="Q37" s="142" t="n"/>
      <c r="R37" s="143">
        <f>IF(Q37="","",IF($Q$9="","",IF($Q$9=0,"",Q37/$Q$9)))</f>
        <v/>
      </c>
      <c r="S37" s="144" t="n"/>
      <c r="T37" s="143">
        <f>IF(S37="","",IF($S$9="","",IF($S$9=0,"",S37/$S$9)))</f>
        <v/>
      </c>
      <c r="U37" s="142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53" t="n">
        <v>1</v>
      </c>
      <c r="D38" s="140" t="n"/>
      <c r="E38" s="115" t="n"/>
      <c r="F38" s="115" t="n"/>
      <c r="G38" s="147">
        <f>IF(D38="","",D38-C38)</f>
        <v/>
      </c>
      <c r="H38" s="101">
        <f>IF(D38="","",IF(D38&gt;=C38,"En meta",IF(D38&gt;=C38-0.05,"Riesgo","Atrasado")))</f>
        <v/>
      </c>
      <c r="I38" s="144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4" t="n"/>
      <c r="N38" s="148">
        <f>IF(M38="","",IF($M$9="","",IF($M$9=0,"",M38/$M$9)))</f>
        <v/>
      </c>
      <c r="O38" s="144" t="n"/>
      <c r="P38" s="148">
        <f>IF(O38="","",IF($O$9="","",IF($O$9=0,"",O38/$O$9)))</f>
        <v/>
      </c>
      <c r="Q38" s="142" t="n"/>
      <c r="R38" s="148">
        <f>IF(Q38="","",IF($Q$9="","",IF($Q$9=0,"",Q38/$Q$9)))</f>
        <v/>
      </c>
      <c r="S38" s="144" t="n"/>
      <c r="T38" s="148">
        <f>IF(S38="","",IF($S$9="","",IF($S$9=0,"",S38/$S$9)))</f>
        <v/>
      </c>
      <c r="U38" s="142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52" t="n">
        <v>1</v>
      </c>
      <c r="D39" s="140" t="n"/>
      <c r="E39" s="92" t="n"/>
      <c r="F39" s="92" t="n"/>
      <c r="G39" s="141">
        <f>IF(D39="","",D39-C39)</f>
        <v/>
      </c>
      <c r="H39" s="100">
        <f>IF(D39="","",IF(D39&gt;=C39,"En meta",IF(D39&gt;=C39-0.05,"Riesgo","Atrasado")))</f>
        <v/>
      </c>
      <c r="I39" s="144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4" t="n"/>
      <c r="N39" s="143">
        <f>IF(M39="","",IF($M$9="","",IF($M$9=0,"",M39/$M$9)))</f>
        <v/>
      </c>
      <c r="O39" s="144" t="n"/>
      <c r="P39" s="143">
        <f>IF(O39="","",IF($O$9="","",IF($O$9=0,"",O39/$O$9)))</f>
        <v/>
      </c>
      <c r="Q39" s="142" t="n"/>
      <c r="R39" s="143">
        <f>IF(Q39="","",IF($Q$9="","",IF($Q$9=0,"",Q39/$Q$9)))</f>
        <v/>
      </c>
      <c r="S39" s="144" t="n"/>
      <c r="T39" s="143">
        <f>IF(S39="","",IF($S$9="","",IF($S$9=0,"",S39/$S$9)))</f>
        <v/>
      </c>
      <c r="U39" s="142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53" t="n">
        <v>1</v>
      </c>
      <c r="D40" s="140" t="n"/>
      <c r="E40" s="115" t="n"/>
      <c r="F40" s="115" t="n"/>
      <c r="G40" s="147">
        <f>IF(D40="","",D40-C40)</f>
        <v/>
      </c>
      <c r="H40" s="101">
        <f>IF(D40="","",IF(D40&gt;=C40,"En meta",IF(D40&gt;=C40-0.05,"Riesgo","Atrasado")))</f>
        <v/>
      </c>
      <c r="I40" s="144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4" t="n"/>
      <c r="N40" s="148">
        <f>IF(M40="","",IF($M$9="","",IF($M$9=0,"",M40/$M$9)))</f>
        <v/>
      </c>
      <c r="O40" s="144" t="n"/>
      <c r="P40" s="148">
        <f>IF(O40="","",IF($O$9="","",IF($O$9=0,"",O40/$O$9)))</f>
        <v/>
      </c>
      <c r="Q40" s="142" t="n"/>
      <c r="R40" s="148">
        <f>IF(Q40="","",IF($Q$9="","",IF($Q$9=0,"",Q40/$Q$9)))</f>
        <v/>
      </c>
      <c r="S40" s="144" t="n"/>
      <c r="T40" s="148">
        <f>IF(S40="","",IF($S$9="","",IF($S$9=0,"",S40/$S$9)))</f>
        <v/>
      </c>
      <c r="U40" s="142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52" t="n">
        <v>1</v>
      </c>
      <c r="D41" s="140" t="n"/>
      <c r="E41" s="92" t="n"/>
      <c r="F41" s="92" t="n"/>
      <c r="G41" s="141">
        <f>IF(D41="","",D41-C41)</f>
        <v/>
      </c>
      <c r="H41" s="100">
        <f>IF(D41="","",IF(D41&gt;=C41,"En meta",IF(D41&gt;=C41-0.05,"Riesgo","Atrasado")))</f>
        <v/>
      </c>
      <c r="I41" s="144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4" t="n"/>
      <c r="N41" s="143">
        <f>IF(M41="","",IF($M$9="","",IF($M$9=0,"",M41/$M$9)))</f>
        <v/>
      </c>
      <c r="O41" s="144" t="n"/>
      <c r="P41" s="143">
        <f>IF(O41="","",IF($O$9="","",IF($O$9=0,"",O41/$O$9)))</f>
        <v/>
      </c>
      <c r="Q41" s="142" t="n"/>
      <c r="R41" s="143">
        <f>IF(Q41="","",IF($Q$9="","",IF($Q$9=0,"",Q41/$Q$9)))</f>
        <v/>
      </c>
      <c r="S41" s="144" t="n"/>
      <c r="T41" s="143">
        <f>IF(S41="","",IF($S$9="","",IF($S$9=0,"",S41/$S$9)))</f>
        <v/>
      </c>
      <c r="U41" s="142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53" t="n">
        <v>1</v>
      </c>
      <c r="D42" s="140" t="n"/>
      <c r="E42" s="115" t="n"/>
      <c r="F42" s="115" t="n"/>
      <c r="G42" s="147">
        <f>IF(D42="","",D42-C42)</f>
        <v/>
      </c>
      <c r="H42" s="101">
        <f>IF(D42="","",IF(D42&gt;=C42,"En meta",IF(D42&gt;=C42-0.05,"Riesgo","Atrasado")))</f>
        <v/>
      </c>
      <c r="I42" s="144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4" t="n"/>
      <c r="N42" s="148">
        <f>IF(M42="","",IF($M$9="","",IF($M$9=0,"",M42/$M$9)))</f>
        <v/>
      </c>
      <c r="O42" s="144" t="n"/>
      <c r="P42" s="148">
        <f>IF(O42="","",IF($O$9="","",IF($O$9=0,"",O42/$O$9)))</f>
        <v/>
      </c>
      <c r="Q42" s="142" t="n"/>
      <c r="R42" s="148">
        <f>IF(Q42="","",IF($Q$9="","",IF($Q$9=0,"",Q42/$Q$9)))</f>
        <v/>
      </c>
      <c r="S42" s="144" t="n"/>
      <c r="T42" s="148">
        <f>IF(S42="","",IF($S$9="","",IF($S$9=0,"",S42/$S$9)))</f>
        <v/>
      </c>
      <c r="U42" s="142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52" t="n">
        <v>1</v>
      </c>
      <c r="D43" s="140" t="n"/>
      <c r="E43" s="92" t="n"/>
      <c r="F43" s="92" t="n"/>
      <c r="G43" s="141">
        <f>IF(D43="","",D43-C43)</f>
        <v/>
      </c>
      <c r="H43" s="100">
        <f>IF(D43="","",IF(D43&gt;=C43,"En meta",IF(D43&gt;=C43-0.05,"Riesgo","Atrasado")))</f>
        <v/>
      </c>
      <c r="I43" s="144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4" t="n"/>
      <c r="N43" s="143">
        <f>IF(M43="","",IF($M$9="","",IF($M$9=0,"",M43/$M$9)))</f>
        <v/>
      </c>
      <c r="O43" s="144" t="n"/>
      <c r="P43" s="143">
        <f>IF(O43="","",IF($O$9="","",IF($O$9=0,"",O43/$O$9)))</f>
        <v/>
      </c>
      <c r="Q43" s="142" t="n"/>
      <c r="R43" s="143">
        <f>IF(Q43="","",IF($Q$9="","",IF($Q$9=0,"",Q43/$Q$9)))</f>
        <v/>
      </c>
      <c r="S43" s="144" t="n"/>
      <c r="T43" s="143">
        <f>IF(S43="","",IF($S$9="","",IF($S$9=0,"",S43/$S$9)))</f>
        <v/>
      </c>
      <c r="U43" s="142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53" t="n">
        <v>1</v>
      </c>
      <c r="D44" s="140" t="n"/>
      <c r="E44" s="115" t="n"/>
      <c r="F44" s="115" t="n"/>
      <c r="G44" s="147">
        <f>IF(D44="","",D44-C44)</f>
        <v/>
      </c>
      <c r="H44" s="101">
        <f>IF(D44="","",IF(D44&gt;=C44,"En meta",IF(D44&gt;=C44-0.05,"Riesgo","Atrasado")))</f>
        <v/>
      </c>
      <c r="I44" s="144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4" t="n"/>
      <c r="N44" s="148">
        <f>IF(M44="","",IF($M$9="","",IF($M$9=0,"",M44/$M$9)))</f>
        <v/>
      </c>
      <c r="O44" s="144" t="n"/>
      <c r="P44" s="148">
        <f>IF(O44="","",IF($O$9="","",IF($O$9=0,"",O44/$O$9)))</f>
        <v/>
      </c>
      <c r="Q44" s="142" t="n"/>
      <c r="R44" s="148">
        <f>IF(Q44="","",IF($Q$9="","",IF($Q$9=0,"",Q44/$Q$9)))</f>
        <v/>
      </c>
      <c r="S44" s="144" t="n"/>
      <c r="T44" s="148">
        <f>IF(S44="","",IF($S$9="","",IF($S$9=0,"",S44/$S$9)))</f>
        <v/>
      </c>
      <c r="U44" s="142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52" t="n">
        <v>1</v>
      </c>
      <c r="D45" s="140" t="n"/>
      <c r="E45" s="92" t="n"/>
      <c r="F45" s="92" t="n"/>
      <c r="G45" s="141">
        <f>IF(D45="","",D45-C45)</f>
        <v/>
      </c>
      <c r="H45" s="100">
        <f>IF(D45="","",IF(D45&gt;=C45,"En meta",IF(D45&gt;=C45-0.05,"Riesgo","Atrasado")))</f>
        <v/>
      </c>
      <c r="I45" s="144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4" t="n"/>
      <c r="N45" s="143">
        <f>IF(M45="","",IF($M$9="","",IF($M$9=0,"",M45/$M$9)))</f>
        <v/>
      </c>
      <c r="O45" s="144" t="n"/>
      <c r="P45" s="143">
        <f>IF(O45="","",IF($O$9="","",IF($O$9=0,"",O45/$O$9)))</f>
        <v/>
      </c>
      <c r="Q45" s="142" t="n"/>
      <c r="R45" s="143">
        <f>IF(Q45="","",IF($Q$9="","",IF($Q$9=0,"",Q45/$Q$9)))</f>
        <v/>
      </c>
      <c r="S45" s="144" t="n"/>
      <c r="T45" s="143">
        <f>IF(S45="","",IF($S$9="","",IF($S$9=0,"",S45/$S$9)))</f>
        <v/>
      </c>
      <c r="U45" s="142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53" t="n">
        <v>1</v>
      </c>
      <c r="D46" s="140" t="n"/>
      <c r="E46" s="115" t="n"/>
      <c r="F46" s="115" t="n"/>
      <c r="G46" s="147">
        <f>IF(D46="","",D46-C46)</f>
        <v/>
      </c>
      <c r="H46" s="101">
        <f>IF(D46="","",IF(D46&gt;=C46,"En meta",IF(D46&gt;=C46-0.05,"Riesgo","Atrasado")))</f>
        <v/>
      </c>
      <c r="I46" s="144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4" t="n"/>
      <c r="N46" s="148">
        <f>IF(M46="","",IF($M$9="","",IF($M$9=0,"",M46/$M$9)))</f>
        <v/>
      </c>
      <c r="O46" s="144" t="n"/>
      <c r="P46" s="148">
        <f>IF(O46="","",IF($O$9="","",IF($O$9=0,"",O46/$O$9)))</f>
        <v/>
      </c>
      <c r="Q46" s="142" t="n"/>
      <c r="R46" s="148">
        <f>IF(Q46="","",IF($Q$9="","",IF($Q$9=0,"",Q46/$Q$9)))</f>
        <v/>
      </c>
      <c r="S46" s="144" t="n"/>
      <c r="T46" s="148">
        <f>IF(S46="","",IF($S$9="","",IF($S$9=0,"",S46/$S$9)))</f>
        <v/>
      </c>
      <c r="U46" s="142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52" t="n">
        <v>1</v>
      </c>
      <c r="D47" s="140" t="n"/>
      <c r="E47" s="92" t="n"/>
      <c r="F47" s="92" t="n"/>
      <c r="G47" s="141">
        <f>IF(D47="","",D47-C47)</f>
        <v/>
      </c>
      <c r="H47" s="100">
        <f>IF(D47="","",IF(D47&gt;=C47,"En meta",IF(D47&gt;=C47-0.05,"Riesgo","Atrasado")))</f>
        <v/>
      </c>
      <c r="I47" s="144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4" t="n"/>
      <c r="N47" s="143">
        <f>IF(M47="","",IF($M$9="","",IF($M$9=0,"",M47/$M$9)))</f>
        <v/>
      </c>
      <c r="O47" s="144" t="n"/>
      <c r="P47" s="143">
        <f>IF(O47="","",IF($O$9="","",IF($O$9=0,"",O47/$O$9)))</f>
        <v/>
      </c>
      <c r="Q47" s="142" t="n"/>
      <c r="R47" s="143">
        <f>IF(Q47="","",IF($Q$9="","",IF($Q$9=0,"",Q47/$Q$9)))</f>
        <v/>
      </c>
      <c r="S47" s="144" t="n"/>
      <c r="T47" s="143">
        <f>IF(S47="","",IF($S$9="","",IF($S$9=0,"",S47/$S$9)))</f>
        <v/>
      </c>
      <c r="U47" s="142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53" t="n">
        <v>1</v>
      </c>
      <c r="D48" s="140" t="n"/>
      <c r="E48" s="115" t="n"/>
      <c r="F48" s="115" t="n"/>
      <c r="G48" s="147">
        <f>IF(D48="","",D48-C48)</f>
        <v/>
      </c>
      <c r="H48" s="101">
        <f>IF(D48="","",IF(D48&gt;=C48,"En meta",IF(D48&gt;=C48-0.05,"Riesgo","Atrasado")))</f>
        <v/>
      </c>
      <c r="I48" s="144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4" t="n"/>
      <c r="N48" s="148">
        <f>IF(M48="","",IF($M$9="","",IF($M$9=0,"",M48/$M$9)))</f>
        <v/>
      </c>
      <c r="O48" s="144" t="n"/>
      <c r="P48" s="148">
        <f>IF(O48="","",IF($O$9="","",IF($O$9=0,"",O48/$O$9)))</f>
        <v/>
      </c>
      <c r="Q48" s="142" t="n"/>
      <c r="R48" s="148">
        <f>IF(Q48="","",IF($Q$9="","",IF($Q$9=0,"",Q48/$Q$9)))</f>
        <v/>
      </c>
      <c r="S48" s="144" t="n"/>
      <c r="T48" s="148">
        <f>IF(S48="","",IF($S$9="","",IF($S$9=0,"",S48/$S$9)))</f>
        <v/>
      </c>
      <c r="U48" s="142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52" t="n">
        <v>1</v>
      </c>
      <c r="D49" s="140" t="n"/>
      <c r="E49" s="92" t="n"/>
      <c r="F49" s="92" t="n"/>
      <c r="G49" s="141">
        <f>IF(D49="","",D49-C49)</f>
        <v/>
      </c>
      <c r="H49" s="100">
        <f>IF(D49="","",IF(D49&gt;=C49,"En meta",IF(D49&gt;=C49-0.05,"Riesgo","Atrasado")))</f>
        <v/>
      </c>
      <c r="I49" s="144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4" t="n"/>
      <c r="N49" s="143">
        <f>IF(M49="","",IF($M$9="","",IF($M$9=0,"",M49/$M$9)))</f>
        <v/>
      </c>
      <c r="O49" s="144" t="n"/>
      <c r="P49" s="143">
        <f>IF(O49="","",IF($O$9="","",IF($O$9=0,"",O49/$O$9)))</f>
        <v/>
      </c>
      <c r="Q49" s="142" t="n"/>
      <c r="R49" s="143">
        <f>IF(Q49="","",IF($Q$9="","",IF($Q$9=0,"",Q49/$Q$9)))</f>
        <v/>
      </c>
      <c r="S49" s="144" t="n"/>
      <c r="T49" s="143">
        <f>IF(S49="","",IF($S$9="","",IF($S$9=0,"",S49/$S$9)))</f>
        <v/>
      </c>
      <c r="U49" s="142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53" t="n">
        <v>1</v>
      </c>
      <c r="D50" s="140" t="n"/>
      <c r="E50" s="115" t="n"/>
      <c r="F50" s="115" t="n"/>
      <c r="G50" s="147">
        <f>IF(D50="","",D50-C50)</f>
        <v/>
      </c>
      <c r="H50" s="101">
        <f>IF(D50="","",IF(D50&gt;=C50,"En meta",IF(D50&gt;=C50-0.05,"Riesgo","Atrasado")))</f>
        <v/>
      </c>
      <c r="I50" s="144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4" t="n"/>
      <c r="N50" s="148">
        <f>IF(M50="","",IF($M$9="","",IF($M$9=0,"",M50/$M$9)))</f>
        <v/>
      </c>
      <c r="O50" s="144" t="n"/>
      <c r="P50" s="148">
        <f>IF(O50="","",IF($O$9="","",IF($O$9=0,"",O50/$O$9)))</f>
        <v/>
      </c>
      <c r="Q50" s="142" t="n"/>
      <c r="R50" s="148">
        <f>IF(Q50="","",IF($Q$9="","",IF($Q$9=0,"",Q50/$Q$9)))</f>
        <v/>
      </c>
      <c r="S50" s="144" t="n"/>
      <c r="T50" s="148">
        <f>IF(S50="","",IF($S$9="","",IF($S$9=0,"",S50/$S$9)))</f>
        <v/>
      </c>
      <c r="U50" s="142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52" t="n">
        <v>1</v>
      </c>
      <c r="D51" s="140" t="n"/>
      <c r="E51" s="92" t="n"/>
      <c r="F51" s="92" t="n"/>
      <c r="G51" s="141">
        <f>IF(D51="","",D51-C51)</f>
        <v/>
      </c>
      <c r="H51" s="100">
        <f>IF(D51="","",IF(D51&gt;=C51,"En meta",IF(D51&gt;=C51-0.05,"Riesgo","Atrasado")))</f>
        <v/>
      </c>
      <c r="I51" s="144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4" t="n"/>
      <c r="N51" s="143">
        <f>IF(M51="","",IF($M$9="","",IF($M$9=0,"",M51/$M$9)))</f>
        <v/>
      </c>
      <c r="O51" s="144" t="n"/>
      <c r="P51" s="143">
        <f>IF(O51="","",IF($O$9="","",IF($O$9=0,"",O51/$O$9)))</f>
        <v/>
      </c>
      <c r="Q51" s="142" t="n"/>
      <c r="R51" s="143">
        <f>IF(Q51="","",IF($Q$9="","",IF($Q$9=0,"",Q51/$Q$9)))</f>
        <v/>
      </c>
      <c r="S51" s="144" t="n"/>
      <c r="T51" s="143">
        <f>IF(S51="","",IF($S$9="","",IF($S$9=0,"",S51/$S$9)))</f>
        <v/>
      </c>
      <c r="U51" s="142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53" t="n">
        <v>1</v>
      </c>
      <c r="D52" s="140" t="n"/>
      <c r="E52" s="115" t="n"/>
      <c r="F52" s="115" t="n"/>
      <c r="G52" s="147">
        <f>IF(D52="","",D52-C52)</f>
        <v/>
      </c>
      <c r="H52" s="101">
        <f>IF(D52="","",IF(D52&gt;=C52,"En meta",IF(D52&gt;=C52-0.05,"Riesgo","Atrasado")))</f>
        <v/>
      </c>
      <c r="I52" s="144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4" t="n"/>
      <c r="N52" s="148">
        <f>IF(M52="","",IF($M$9="","",IF($M$9=0,"",M52/$M$9)))</f>
        <v/>
      </c>
      <c r="O52" s="144" t="n"/>
      <c r="P52" s="148">
        <f>IF(O52="","",IF($O$9="","",IF($O$9=0,"",O52/$O$9)))</f>
        <v/>
      </c>
      <c r="Q52" s="142" t="n"/>
      <c r="R52" s="148">
        <f>IF(Q52="","",IF($Q$9="","",IF($Q$9=0,"",Q52/$Q$9)))</f>
        <v/>
      </c>
      <c r="S52" s="144" t="n"/>
      <c r="T52" s="148">
        <f>IF(S52="","",IF($S$9="","",IF($S$9=0,"",S52/$S$9)))</f>
        <v/>
      </c>
      <c r="U52" s="142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 ht="15" customHeight="1" s="87">
      <c r="A53" s="92" t="n">
        <v>43</v>
      </c>
      <c r="B53" s="138" t="n">
        <v>46482</v>
      </c>
      <c r="C53" s="152" t="n">
        <v>1</v>
      </c>
      <c r="D53" s="140" t="n"/>
      <c r="E53" s="92" t="n"/>
      <c r="F53" s="92" t="n"/>
      <c r="G53" s="141">
        <f>IF(D53="","",D53-C53)</f>
        <v/>
      </c>
      <c r="H53" s="100">
        <f>IF(D53="","",IF(D53&gt;=C53,"En meta",IF(D53&gt;=C53-0.05,"Riesgo","Atrasado")))</f>
        <v/>
      </c>
      <c r="I53" s="144" t="n"/>
      <c r="J53" s="143">
        <f>IF(I53="","",IF($I$9="","",IF($I$9=0,"",I53/$I$9)))</f>
        <v/>
      </c>
      <c r="K53" s="142" t="n"/>
      <c r="L53" s="143">
        <f>IF(K53="","",IF($K$9="","",IF($K$9=0,"",K53/$K$9)))</f>
        <v/>
      </c>
      <c r="M53" s="144" t="n"/>
      <c r="N53" s="143">
        <f>IF(M53="","",IF($M$9="","",IF($M$9=0,"",M53/$M$9)))</f>
        <v/>
      </c>
      <c r="O53" s="144" t="n"/>
      <c r="P53" s="143">
        <f>IF(O53="","",IF($O$9="","",IF($O$9=0,"",O53/$O$9)))</f>
        <v/>
      </c>
      <c r="Q53" s="142" t="n"/>
      <c r="R53" s="143">
        <f>IF(Q53="","",IF($Q$9="","",IF($Q$9=0,"",Q53/$Q$9)))</f>
        <v/>
      </c>
      <c r="S53" s="144" t="n"/>
      <c r="T53" s="143">
        <f>IF(S53="","",IF($S$9="","",IF($S$9=0,"",S53/$S$9)))</f>
        <v/>
      </c>
      <c r="U53" s="142" t="n"/>
      <c r="V53" s="143">
        <f>IF(U53="","",IF($U$9="","",IF($U$9=0,"",U53/$U$9)))</f>
        <v/>
      </c>
      <c r="W53" s="142" t="n"/>
      <c r="X53" s="143">
        <f>IF(W53="","",IF($W$9="","",IF($W$9=0,"",W53/$W$9)))</f>
        <v/>
      </c>
    </row>
    <row r="54" ht="15" customHeight="1" s="87">
      <c r="A54" s="115" t="n">
        <v>44</v>
      </c>
      <c r="B54" s="145" t="n">
        <v>46489</v>
      </c>
      <c r="C54" s="153" t="n">
        <v>1</v>
      </c>
      <c r="D54" s="140" t="n"/>
      <c r="E54" s="115" t="n"/>
      <c r="F54" s="115" t="n"/>
      <c r="G54" s="147">
        <f>IF(D54="","",D54-C54)</f>
        <v/>
      </c>
      <c r="H54" s="101">
        <f>IF(D54="","",IF(D54&gt;=C54,"En meta",IF(D54&gt;=C54-0.05,"Riesgo","Atrasado")))</f>
        <v/>
      </c>
      <c r="I54" s="144" t="n"/>
      <c r="J54" s="148">
        <f>IF(I54="","",IF($I$9="","",IF($I$9=0,"",I54/$I$9)))</f>
        <v/>
      </c>
      <c r="K54" s="142" t="n"/>
      <c r="L54" s="148">
        <f>IF(K54="","",IF($K$9="","",IF($K$9=0,"",K54/$K$9)))</f>
        <v/>
      </c>
      <c r="M54" s="144" t="n"/>
      <c r="N54" s="148">
        <f>IF(M54="","",IF($M$9="","",IF($M$9=0,"",M54/$M$9)))</f>
        <v/>
      </c>
      <c r="O54" s="144" t="n"/>
      <c r="P54" s="148">
        <f>IF(O54="","",IF($O$9="","",IF($O$9=0,"",O54/$O$9)))</f>
        <v/>
      </c>
      <c r="Q54" s="142" t="n"/>
      <c r="R54" s="148">
        <f>IF(Q54="","",IF($Q$9="","",IF($Q$9=0,"",Q54/$Q$9)))</f>
        <v/>
      </c>
      <c r="S54" s="144" t="n"/>
      <c r="T54" s="148">
        <f>IF(S54="","",IF($S$9="","",IF($S$9=0,"",S54/$S$9)))</f>
        <v/>
      </c>
      <c r="U54" s="142" t="n"/>
      <c r="V54" s="148">
        <f>IF(U54="","",IF($U$9="","",IF($U$9=0,"",U54/$U$9)))</f>
        <v/>
      </c>
      <c r="W54" s="142" t="n"/>
      <c r="X54" s="148">
        <f>IF(W54="","",IF($W$9="","",IF($W$9=0,"",W54/$W$9)))</f>
        <v/>
      </c>
    </row>
    <row r="55" ht="15" customHeight="1" s="87">
      <c r="A55" s="92" t="n">
        <v>45</v>
      </c>
      <c r="B55" s="138" t="n">
        <v>46496</v>
      </c>
      <c r="C55" s="152" t="n">
        <v>1</v>
      </c>
      <c r="D55" s="140" t="n"/>
      <c r="E55" s="92" t="n"/>
      <c r="F55" s="92" t="n"/>
      <c r="G55" s="141">
        <f>IF(D55="","",D55-C55)</f>
        <v/>
      </c>
      <c r="H55" s="100">
        <f>IF(D55="","",IF(D55&gt;=C55,"En meta",IF(D55&gt;=C55-0.05,"Riesgo","Atrasado")))</f>
        <v/>
      </c>
      <c r="I55" s="144" t="n"/>
      <c r="J55" s="143">
        <f>IF(I55="","",IF($I$9="","",IF($I$9=0,"",I55/$I$9)))</f>
        <v/>
      </c>
      <c r="K55" s="142" t="n"/>
      <c r="L55" s="143">
        <f>IF(K55="","",IF($K$9="","",IF($K$9=0,"",K55/$K$9)))</f>
        <v/>
      </c>
      <c r="M55" s="144" t="n"/>
      <c r="N55" s="143">
        <f>IF(M55="","",IF($M$9="","",IF($M$9=0,"",M55/$M$9)))</f>
        <v/>
      </c>
      <c r="O55" s="144" t="n"/>
      <c r="P55" s="143">
        <f>IF(O55="","",IF($O$9="","",IF($O$9=0,"",O55/$O$9)))</f>
        <v/>
      </c>
      <c r="Q55" s="142" t="n"/>
      <c r="R55" s="143">
        <f>IF(Q55="","",IF($Q$9="","",IF($Q$9=0,"",Q55/$Q$9)))</f>
        <v/>
      </c>
      <c r="S55" s="144" t="n"/>
      <c r="T55" s="143">
        <f>IF(S55="","",IF($S$9="","",IF($S$9=0,"",S55/$S$9)))</f>
        <v/>
      </c>
      <c r="U55" s="142" t="n"/>
      <c r="V55" s="143">
        <f>IF(U55="","",IF($U$9="","",IF($U$9=0,"",U55/$U$9)))</f>
        <v/>
      </c>
      <c r="W55" s="142" t="n"/>
      <c r="X55" s="143">
        <f>IF(W55="","",IF($W$9="","",IF($W$9=0,"",W55/$W$9)))</f>
        <v/>
      </c>
    </row>
    <row r="56" ht="15" customHeight="1" s="87">
      <c r="A56" s="115" t="n">
        <v>46</v>
      </c>
      <c r="B56" s="145" t="n">
        <v>46503</v>
      </c>
      <c r="C56" s="153" t="n">
        <v>1</v>
      </c>
      <c r="D56" s="140" t="n"/>
      <c r="E56" s="115" t="n"/>
      <c r="F56" s="115" t="n"/>
      <c r="G56" s="147">
        <f>IF(D56="","",D56-C56)</f>
        <v/>
      </c>
      <c r="H56" s="101">
        <f>IF(D56="","",IF(D56&gt;=C56,"En meta",IF(D56&gt;=C56-0.05,"Riesgo","Atrasado")))</f>
        <v/>
      </c>
      <c r="I56" s="144" t="n"/>
      <c r="J56" s="148">
        <f>IF(I56="","",IF($I$9="","",IF($I$9=0,"",I56/$I$9)))</f>
        <v/>
      </c>
      <c r="K56" s="142" t="n"/>
      <c r="L56" s="148">
        <f>IF(K56="","",IF($K$9="","",IF($K$9=0,"",K56/$K$9)))</f>
        <v/>
      </c>
      <c r="M56" s="144" t="n"/>
      <c r="N56" s="148">
        <f>IF(M56="","",IF($M$9="","",IF($M$9=0,"",M56/$M$9)))</f>
        <v/>
      </c>
      <c r="O56" s="144" t="n"/>
      <c r="P56" s="148">
        <f>IF(O56="","",IF($O$9="","",IF($O$9=0,"",O56/$O$9)))</f>
        <v/>
      </c>
      <c r="Q56" s="142" t="n"/>
      <c r="R56" s="148">
        <f>IF(Q56="","",IF($Q$9="","",IF($Q$9=0,"",Q56/$Q$9)))</f>
        <v/>
      </c>
      <c r="S56" s="144" t="n"/>
      <c r="T56" s="148">
        <f>IF(S56="","",IF($S$9="","",IF($S$9=0,"",S56/$S$9)))</f>
        <v/>
      </c>
      <c r="U56" s="142" t="n"/>
      <c r="V56" s="148">
        <f>IF(U56="","",IF($U$9="","",IF($U$9=0,"",U56/$U$9)))</f>
        <v/>
      </c>
      <c r="W56" s="142" t="n"/>
      <c r="X56" s="148">
        <f>IF(W56="","",IF($W$9="","",IF($W$9=0,"",W56/$W$9)))</f>
        <v/>
      </c>
    </row>
    <row r="57" ht="15" customHeight="1" s="87">
      <c r="A57" s="92" t="n">
        <v>47</v>
      </c>
      <c r="B57" s="138" t="n">
        <v>46510</v>
      </c>
      <c r="C57" s="152" t="n">
        <v>1</v>
      </c>
      <c r="D57" s="140" t="n"/>
      <c r="E57" s="92" t="n"/>
      <c r="F57" s="92" t="n"/>
      <c r="G57" s="141">
        <f>IF(D57="","",D57-C57)</f>
        <v/>
      </c>
      <c r="H57" s="100">
        <f>IF(D57="","",IF(D57&gt;=C57,"En meta",IF(D57&gt;=C57-0.05,"Riesgo","Atrasado")))</f>
        <v/>
      </c>
      <c r="I57" s="144" t="n"/>
      <c r="J57" s="143">
        <f>IF(I57="","",IF($I$9="","",IF($I$9=0,"",I57/$I$9)))</f>
        <v/>
      </c>
      <c r="K57" s="142" t="n"/>
      <c r="L57" s="143">
        <f>IF(K57="","",IF($K$9="","",IF($K$9=0,"",K57/$K$9)))</f>
        <v/>
      </c>
      <c r="M57" s="144" t="n"/>
      <c r="N57" s="143">
        <f>IF(M57="","",IF($M$9="","",IF($M$9=0,"",M57/$M$9)))</f>
        <v/>
      </c>
      <c r="O57" s="144" t="n"/>
      <c r="P57" s="143">
        <f>IF(O57="","",IF($O$9="","",IF($O$9=0,"",O57/$O$9)))</f>
        <v/>
      </c>
      <c r="Q57" s="142" t="n"/>
      <c r="R57" s="143">
        <f>IF(Q57="","",IF($Q$9="","",IF($Q$9=0,"",Q57/$Q$9)))</f>
        <v/>
      </c>
      <c r="S57" s="144" t="n"/>
      <c r="T57" s="143">
        <f>IF(S57="","",IF($S$9="","",IF($S$9=0,"",S57/$S$9)))</f>
        <v/>
      </c>
      <c r="U57" s="142" t="n"/>
      <c r="V57" s="143">
        <f>IF(U57="","",IF($U$9="","",IF($U$9=0,"",U57/$U$9)))</f>
        <v/>
      </c>
      <c r="W57" s="142" t="n"/>
      <c r="X57" s="143">
        <f>IF(W57="","",IF($W$9="","",IF($W$9=0,"",W57/$W$9)))</f>
        <v/>
      </c>
    </row>
    <row r="58" ht="15" customHeight="1" s="87">
      <c r="A58" s="115" t="n">
        <v>48</v>
      </c>
      <c r="B58" s="145" t="n">
        <v>46517</v>
      </c>
      <c r="C58" s="153" t="n">
        <v>1</v>
      </c>
      <c r="D58" s="140" t="n"/>
      <c r="E58" s="115" t="n"/>
      <c r="F58" s="115" t="n"/>
      <c r="G58" s="147">
        <f>IF(D58="","",D58-C58)</f>
        <v/>
      </c>
      <c r="H58" s="101">
        <f>IF(D58="","",IF(D58&gt;=C58,"En meta",IF(D58&gt;=C58-0.05,"Riesgo","Atrasado")))</f>
        <v/>
      </c>
      <c r="I58" s="144" t="n"/>
      <c r="J58" s="148">
        <f>IF(I58="","",IF($I$9="","",IF($I$9=0,"",I58/$I$9)))</f>
        <v/>
      </c>
      <c r="K58" s="142" t="n"/>
      <c r="L58" s="148">
        <f>IF(K58="","",IF($K$9="","",IF($K$9=0,"",K58/$K$9)))</f>
        <v/>
      </c>
      <c r="M58" s="144" t="n"/>
      <c r="N58" s="148">
        <f>IF(M58="","",IF($M$9="","",IF($M$9=0,"",M58/$M$9)))</f>
        <v/>
      </c>
      <c r="O58" s="144" t="n"/>
      <c r="P58" s="148">
        <f>IF(O58="","",IF($O$9="","",IF($O$9=0,"",O58/$O$9)))</f>
        <v/>
      </c>
      <c r="Q58" s="142" t="n"/>
      <c r="R58" s="148">
        <f>IF(Q58="","",IF($Q$9="","",IF($Q$9=0,"",Q58/$Q$9)))</f>
        <v/>
      </c>
      <c r="S58" s="144" t="n"/>
      <c r="T58" s="148">
        <f>IF(S58="","",IF($S$9="","",IF($S$9=0,"",S58/$S$9)))</f>
        <v/>
      </c>
      <c r="U58" s="142" t="n"/>
      <c r="V58" s="148">
        <f>IF(U58="","",IF($U$9="","",IF($U$9=0,"",U58/$U$9)))</f>
        <v/>
      </c>
      <c r="W58" s="142" t="n"/>
      <c r="X58" s="148">
        <f>IF(W58="","",IF($W$9="","",IF($W$9=0,"",W58/$W$9)))</f>
        <v/>
      </c>
    </row>
    <row r="59" ht="15" customHeight="1" s="87">
      <c r="A59" s="92" t="n">
        <v>49</v>
      </c>
      <c r="B59" s="138" t="n">
        <v>46524</v>
      </c>
      <c r="C59" s="152" t="n">
        <v>1</v>
      </c>
      <c r="D59" s="140" t="n"/>
      <c r="E59" s="92" t="n"/>
      <c r="F59" s="92" t="n"/>
      <c r="G59" s="141">
        <f>IF(D59="","",D59-C59)</f>
        <v/>
      </c>
      <c r="H59" s="100">
        <f>IF(D59="","",IF(D59&gt;=C59,"En meta",IF(D59&gt;=C59-0.05,"Riesgo","Atrasado")))</f>
        <v/>
      </c>
      <c r="I59" s="144" t="n"/>
      <c r="J59" s="143">
        <f>IF(I59="","",IF($I$9="","",IF($I$9=0,"",I59/$I$9)))</f>
        <v/>
      </c>
      <c r="K59" s="142" t="n"/>
      <c r="L59" s="143">
        <f>IF(K59="","",IF($K$9="","",IF($K$9=0,"",K59/$K$9)))</f>
        <v/>
      </c>
      <c r="M59" s="144" t="n"/>
      <c r="N59" s="143">
        <f>IF(M59="","",IF($M$9="","",IF($M$9=0,"",M59/$M$9)))</f>
        <v/>
      </c>
      <c r="O59" s="144" t="n"/>
      <c r="P59" s="143">
        <f>IF(O59="","",IF($O$9="","",IF($O$9=0,"",O59/$O$9)))</f>
        <v/>
      </c>
      <c r="Q59" s="142" t="n"/>
      <c r="R59" s="143">
        <f>IF(Q59="","",IF($Q$9="","",IF($Q$9=0,"",Q59/$Q$9)))</f>
        <v/>
      </c>
      <c r="S59" s="144" t="n"/>
      <c r="T59" s="143">
        <f>IF(S59="","",IF($S$9="","",IF($S$9=0,"",S59/$S$9)))</f>
        <v/>
      </c>
      <c r="U59" s="142" t="n"/>
      <c r="V59" s="143">
        <f>IF(U59="","",IF($U$9="","",IF($U$9=0,"",U59/$U$9)))</f>
        <v/>
      </c>
      <c r="W59" s="142" t="n"/>
      <c r="X59" s="143">
        <f>IF(W59="","",IF($W$9="","",IF($W$9=0,"",W59/$W$9)))</f>
        <v/>
      </c>
    </row>
    <row r="60" ht="15" customHeight="1" s="87">
      <c r="A60" s="115" t="n">
        <v>50</v>
      </c>
      <c r="B60" s="145" t="n">
        <v>46531</v>
      </c>
      <c r="C60" s="153" t="n">
        <v>1</v>
      </c>
      <c r="D60" s="140" t="n"/>
      <c r="E60" s="115" t="n"/>
      <c r="F60" s="115" t="n"/>
      <c r="G60" s="147">
        <f>IF(D60="","",D60-C60)</f>
        <v/>
      </c>
      <c r="H60" s="101">
        <f>IF(D60="","",IF(D60&gt;=C60,"En meta",IF(D60&gt;=C60-0.05,"Riesgo","Atrasado")))</f>
        <v/>
      </c>
      <c r="I60" s="144" t="n"/>
      <c r="J60" s="148">
        <f>IF(I60="","",IF($I$9="","",IF($I$9=0,"",I60/$I$9)))</f>
        <v/>
      </c>
      <c r="K60" s="142" t="n"/>
      <c r="L60" s="148">
        <f>IF(K60="","",IF($K$9="","",IF($K$9=0,"",K60/$K$9)))</f>
        <v/>
      </c>
      <c r="M60" s="144" t="n"/>
      <c r="N60" s="148">
        <f>IF(M60="","",IF($M$9="","",IF($M$9=0,"",M60/$M$9)))</f>
        <v/>
      </c>
      <c r="O60" s="144" t="n"/>
      <c r="P60" s="148">
        <f>IF(O60="","",IF($O$9="","",IF($O$9=0,"",O60/$O$9)))</f>
        <v/>
      </c>
      <c r="Q60" s="142" t="n"/>
      <c r="R60" s="148">
        <f>IF(Q60="","",IF($Q$9="","",IF($Q$9=0,"",Q60/$Q$9)))</f>
        <v/>
      </c>
      <c r="S60" s="144" t="n"/>
      <c r="T60" s="148">
        <f>IF(S60="","",IF($S$9="","",IF($S$9=0,"",S60/$S$9)))</f>
        <v/>
      </c>
      <c r="U60" s="142" t="n"/>
      <c r="V60" s="148">
        <f>IF(U60="","",IF($U$9="","",IF($U$9=0,"",U60/$U$9)))</f>
        <v/>
      </c>
      <c r="W60" s="142" t="n"/>
      <c r="X60" s="148">
        <f>IF(W60="","",IF($W$9="","",IF($W$9=0,"",W60/$W$9)))</f>
        <v/>
      </c>
    </row>
    <row r="61" ht="15" customHeight="1" s="87">
      <c r="A61" s="92" t="n">
        <v>51</v>
      </c>
      <c r="B61" s="138" t="n">
        <v>46538</v>
      </c>
      <c r="C61" s="152" t="n">
        <v>1</v>
      </c>
      <c r="D61" s="140" t="n"/>
      <c r="E61" s="92" t="n"/>
      <c r="F61" s="92" t="n"/>
      <c r="G61" s="141">
        <f>IF(D61="","",D61-C61)</f>
        <v/>
      </c>
      <c r="H61" s="100">
        <f>IF(D61="","",IF(D61&gt;=C61,"En meta",IF(D61&gt;=C61-0.05,"Riesgo","Atrasado")))</f>
        <v/>
      </c>
      <c r="I61" s="144" t="n"/>
      <c r="J61" s="143">
        <f>IF(I61="","",IF($I$9="","",IF($I$9=0,"",I61/$I$9)))</f>
        <v/>
      </c>
      <c r="K61" s="142" t="n"/>
      <c r="L61" s="143">
        <f>IF(K61="","",IF($K$9="","",IF($K$9=0,"",K61/$K$9)))</f>
        <v/>
      </c>
      <c r="M61" s="144" t="n"/>
      <c r="N61" s="143">
        <f>IF(M61="","",IF($M$9="","",IF($M$9=0,"",M61/$M$9)))</f>
        <v/>
      </c>
      <c r="O61" s="144" t="n"/>
      <c r="P61" s="143">
        <f>IF(O61="","",IF($O$9="","",IF($O$9=0,"",O61/$O$9)))</f>
        <v/>
      </c>
      <c r="Q61" s="142" t="n"/>
      <c r="R61" s="143">
        <f>IF(Q61="","",IF($Q$9="","",IF($Q$9=0,"",Q61/$Q$9)))</f>
        <v/>
      </c>
      <c r="S61" s="144" t="n"/>
      <c r="T61" s="143">
        <f>IF(S61="","",IF($S$9="","",IF($S$9=0,"",S61/$S$9)))</f>
        <v/>
      </c>
      <c r="U61" s="142" t="n"/>
      <c r="V61" s="143">
        <f>IF(U61="","",IF($U$9="","",IF($U$9=0,"",U61/$U$9)))</f>
        <v/>
      </c>
      <c r="W61" s="142" t="n"/>
      <c r="X61" s="143">
        <f>IF(W61="","",IF($W$9="","",IF($W$9=0,"",W61/$W$9)))</f>
        <v/>
      </c>
    </row>
    <row r="62" ht="15" customHeight="1" s="87">
      <c r="A62" s="115" t="n">
        <v>52</v>
      </c>
      <c r="B62" s="145" t="n">
        <v>46545</v>
      </c>
      <c r="C62" s="153" t="n">
        <v>1</v>
      </c>
      <c r="D62" s="140" t="n"/>
      <c r="E62" s="115" t="n"/>
      <c r="F62" s="115" t="n"/>
      <c r="G62" s="147">
        <f>IF(D62="","",D62-C62)</f>
        <v/>
      </c>
      <c r="H62" s="101">
        <f>IF(D62="","",IF(D62&gt;=C62,"En meta",IF(D62&gt;=C62-0.05,"Riesgo","Atrasado")))</f>
        <v/>
      </c>
      <c r="I62" s="144" t="n"/>
      <c r="J62" s="148">
        <f>IF(I62="","",IF($I$9="","",IF($I$9=0,"",I62/$I$9)))</f>
        <v/>
      </c>
      <c r="K62" s="142" t="n"/>
      <c r="L62" s="148">
        <f>IF(K62="","",IF($K$9="","",IF($K$9=0,"",K62/$K$9)))</f>
        <v/>
      </c>
      <c r="M62" s="144" t="n"/>
      <c r="N62" s="148">
        <f>IF(M62="","",IF($M$9="","",IF($M$9=0,"",M62/$M$9)))</f>
        <v/>
      </c>
      <c r="O62" s="144" t="n"/>
      <c r="P62" s="148">
        <f>IF(O62="","",IF($O$9="","",IF($O$9=0,"",O62/$O$9)))</f>
        <v/>
      </c>
      <c r="Q62" s="142" t="n"/>
      <c r="R62" s="148">
        <f>IF(Q62="","",IF($Q$9="","",IF($Q$9=0,"",Q62/$Q$9)))</f>
        <v/>
      </c>
      <c r="S62" s="144" t="n"/>
      <c r="T62" s="148">
        <f>IF(S62="","",IF($S$9="","",IF($S$9=0,"",S62/$S$9)))</f>
        <v/>
      </c>
      <c r="U62" s="142" t="n"/>
      <c r="V62" s="148">
        <f>IF(U62="","",IF($U$9="","",IF($U$9=0,"",U62/$U$9)))</f>
        <v/>
      </c>
      <c r="W62" s="142" t="n"/>
      <c r="X62" s="148">
        <f>IF(W62="","",IF($W$9="","",IF($W$9=0,"",W62/$W$9)))</f>
        <v/>
      </c>
    </row>
    <row r="63" ht="15" customHeight="1" s="87">
      <c r="A63" s="92" t="n">
        <v>53</v>
      </c>
      <c r="B63" s="138" t="n">
        <v>46552</v>
      </c>
      <c r="C63" s="152" t="n">
        <v>1</v>
      </c>
      <c r="D63" s="140" t="n"/>
      <c r="E63" s="92" t="n"/>
      <c r="F63" s="92" t="n"/>
      <c r="G63" s="141">
        <f>IF(D63="","",D63-C63)</f>
        <v/>
      </c>
      <c r="H63" s="100">
        <f>IF(D63="","",IF(D63&gt;=C63,"En meta",IF(D63&gt;=C63-0.05,"Riesgo","Atrasado")))</f>
        <v/>
      </c>
      <c r="I63" s="144" t="n"/>
      <c r="J63" s="143">
        <f>IF(I63="","",IF($I$9="","",IF($I$9=0,"",I63/$I$9)))</f>
        <v/>
      </c>
      <c r="K63" s="142" t="n"/>
      <c r="L63" s="143">
        <f>IF(K63="","",IF($K$9="","",IF($K$9=0,"",K63/$K$9)))</f>
        <v/>
      </c>
      <c r="M63" s="144" t="n"/>
      <c r="N63" s="143">
        <f>IF(M63="","",IF($M$9="","",IF($M$9=0,"",M63/$M$9)))</f>
        <v/>
      </c>
      <c r="O63" s="144" t="n"/>
      <c r="P63" s="143">
        <f>IF(O63="","",IF($O$9="","",IF($O$9=0,"",O63/$O$9)))</f>
        <v/>
      </c>
      <c r="Q63" s="142" t="n"/>
      <c r="R63" s="143">
        <f>IF(Q63="","",IF($Q$9="","",IF($Q$9=0,"",Q63/$Q$9)))</f>
        <v/>
      </c>
      <c r="S63" s="144" t="n"/>
      <c r="T63" s="143">
        <f>IF(S63="","",IF($S$9="","",IF($S$9=0,"",S63/$S$9)))</f>
        <v/>
      </c>
      <c r="U63" s="142" t="n"/>
      <c r="V63" s="143">
        <f>IF(U63="","",IF($U$9="","",IF($U$9=0,"",U63/$U$9)))</f>
        <v/>
      </c>
      <c r="W63" s="142" t="n"/>
      <c r="X63" s="143">
        <f>IF(W63="","",IF($W$9="","",IF($W$9=0,"",W63/$W$9)))</f>
        <v/>
      </c>
    </row>
    <row r="64" ht="15" customHeight="1" s="87">
      <c r="A64" s="115" t="n">
        <v>54</v>
      </c>
      <c r="B64" s="145" t="n">
        <v>46559</v>
      </c>
      <c r="C64" s="153" t="n">
        <v>1</v>
      </c>
      <c r="D64" s="140" t="n"/>
      <c r="E64" s="115" t="n"/>
      <c r="F64" s="115" t="n"/>
      <c r="G64" s="147">
        <f>IF(D64="","",D64-C64)</f>
        <v/>
      </c>
      <c r="H64" s="101">
        <f>IF(D64="","",IF(D64&gt;=C64,"En meta",IF(D64&gt;=C64-0.05,"Riesgo","Atrasado")))</f>
        <v/>
      </c>
      <c r="I64" s="144" t="n"/>
      <c r="J64" s="148">
        <f>IF(I64="","",IF($I$9="","",IF($I$9=0,"",I64/$I$9)))</f>
        <v/>
      </c>
      <c r="K64" s="142" t="n"/>
      <c r="L64" s="148">
        <f>IF(K64="","",IF($K$9="","",IF($K$9=0,"",K64/$K$9)))</f>
        <v/>
      </c>
      <c r="M64" s="144" t="n"/>
      <c r="N64" s="148">
        <f>IF(M64="","",IF($M$9="","",IF($M$9=0,"",M64/$M$9)))</f>
        <v/>
      </c>
      <c r="O64" s="144" t="n"/>
      <c r="P64" s="148">
        <f>IF(O64="","",IF($O$9="","",IF($O$9=0,"",O64/$O$9)))</f>
        <v/>
      </c>
      <c r="Q64" s="142" t="n"/>
      <c r="R64" s="148">
        <f>IF(Q64="","",IF($Q$9="","",IF($Q$9=0,"",Q64/$Q$9)))</f>
        <v/>
      </c>
      <c r="S64" s="144" t="n"/>
      <c r="T64" s="148">
        <f>IF(S64="","",IF($S$9="","",IF($S$9=0,"",S64/$S$9)))</f>
        <v/>
      </c>
      <c r="U64" s="142" t="n"/>
      <c r="V64" s="148">
        <f>IF(U64="","",IF($U$9="","",IF($U$9=0,"",U64/$U$9)))</f>
        <v/>
      </c>
      <c r="W64" s="142" t="n"/>
      <c r="X64" s="148">
        <f>IF(W64="","",IF($W$9="","",IF($W$9=0,"",W64/$W$9)))</f>
        <v/>
      </c>
    </row>
    <row r="65" ht="15" customHeight="1" s="87">
      <c r="A65" s="92" t="n">
        <v>55</v>
      </c>
      <c r="B65" s="138" t="n">
        <v>46566</v>
      </c>
      <c r="C65" s="152" t="n">
        <v>1</v>
      </c>
      <c r="D65" s="140" t="n"/>
      <c r="E65" s="92" t="n"/>
      <c r="F65" s="92" t="n"/>
      <c r="G65" s="141">
        <f>IF(D65="","",D65-C65)</f>
        <v/>
      </c>
      <c r="H65" s="100">
        <f>IF(D65="","",IF(D65&gt;=C65,"En meta",IF(D65&gt;=C65-0.05,"Riesgo","Atrasado")))</f>
        <v/>
      </c>
      <c r="I65" s="144" t="n"/>
      <c r="J65" s="143">
        <f>IF(I65="","",IF($I$9="","",IF($I$9=0,"",I65/$I$9)))</f>
        <v/>
      </c>
      <c r="K65" s="142" t="n"/>
      <c r="L65" s="143">
        <f>IF(K65="","",IF($K$9="","",IF($K$9=0,"",K65/$K$9)))</f>
        <v/>
      </c>
      <c r="M65" s="144" t="n"/>
      <c r="N65" s="143">
        <f>IF(M65="","",IF($M$9="","",IF($M$9=0,"",M65/$M$9)))</f>
        <v/>
      </c>
      <c r="O65" s="144" t="n"/>
      <c r="P65" s="143">
        <f>IF(O65="","",IF($O$9="","",IF($O$9=0,"",O65/$O$9)))</f>
        <v/>
      </c>
      <c r="Q65" s="142" t="n"/>
      <c r="R65" s="143">
        <f>IF(Q65="","",IF($Q$9="","",IF($Q$9=0,"",Q65/$Q$9)))</f>
        <v/>
      </c>
      <c r="S65" s="144" t="n"/>
      <c r="T65" s="143">
        <f>IF(S65="","",IF($S$9="","",IF($S$9=0,"",S65/$S$9)))</f>
        <v/>
      </c>
      <c r="U65" s="142" t="n"/>
      <c r="V65" s="143">
        <f>IF(U65="","",IF($U$9="","",IF($U$9=0,"",U65/$U$9)))</f>
        <v/>
      </c>
      <c r="W65" s="142" t="n"/>
      <c r="X65" s="143">
        <f>IF(W65="","",IF($W$9="","",IF($W$9=0,"",W65/$W$9)))</f>
        <v/>
      </c>
    </row>
    <row r="66" ht="15" customHeight="1" s="87">
      <c r="A66" s="115" t="n">
        <v>56</v>
      </c>
      <c r="B66" s="145" t="n">
        <v>46573</v>
      </c>
      <c r="C66" s="153" t="n">
        <v>1</v>
      </c>
      <c r="D66" s="140" t="n"/>
      <c r="E66" s="115" t="n"/>
      <c r="F66" s="115" t="n"/>
      <c r="G66" s="147">
        <f>IF(D66="","",D66-C66)</f>
        <v/>
      </c>
      <c r="H66" s="101">
        <f>IF(D66="","",IF(D66&gt;=C66,"En meta",IF(D66&gt;=C66-0.05,"Riesgo","Atrasado")))</f>
        <v/>
      </c>
      <c r="I66" s="144" t="n"/>
      <c r="J66" s="148">
        <f>IF(I66="","",IF($I$9="","",IF($I$9=0,"",I66/$I$9)))</f>
        <v/>
      </c>
      <c r="K66" s="142" t="n"/>
      <c r="L66" s="148">
        <f>IF(K66="","",IF($K$9="","",IF($K$9=0,"",K66/$K$9)))</f>
        <v/>
      </c>
      <c r="M66" s="144" t="n"/>
      <c r="N66" s="148">
        <f>IF(M66="","",IF($M$9="","",IF($M$9=0,"",M66/$M$9)))</f>
        <v/>
      </c>
      <c r="O66" s="144" t="n"/>
      <c r="P66" s="148">
        <f>IF(O66="","",IF($O$9="","",IF($O$9=0,"",O66/$O$9)))</f>
        <v/>
      </c>
      <c r="Q66" s="142" t="n"/>
      <c r="R66" s="148">
        <f>IF(Q66="","",IF($Q$9="","",IF($Q$9=0,"",Q66/$Q$9)))</f>
        <v/>
      </c>
      <c r="S66" s="144" t="n"/>
      <c r="T66" s="148">
        <f>IF(S66="","",IF($S$9="","",IF($S$9=0,"",S66/$S$9)))</f>
        <v/>
      </c>
      <c r="U66" s="142" t="n"/>
      <c r="V66" s="148">
        <f>IF(U66="","",IF($U$9="","",IF($U$9=0,"",U66/$U$9)))</f>
        <v/>
      </c>
      <c r="W66" s="142" t="n"/>
      <c r="X66" s="148">
        <f>IF(W66="","",IF($W$9="","",IF($W$9=0,"",W66/$W$9)))</f>
        <v/>
      </c>
    </row>
    <row r="67" ht="15" customHeight="1" s="87">
      <c r="A67" s="92" t="n">
        <v>57</v>
      </c>
      <c r="B67" s="138" t="n">
        <v>46580</v>
      </c>
      <c r="C67" s="152" t="n">
        <v>1</v>
      </c>
      <c r="D67" s="140" t="n"/>
      <c r="E67" s="92" t="n"/>
      <c r="F67" s="92" t="n"/>
      <c r="G67" s="141">
        <f>IF(D67="","",D67-C67)</f>
        <v/>
      </c>
      <c r="H67" s="100">
        <f>IF(D67="","",IF(D67&gt;=C67,"En meta",IF(D67&gt;=C67-0.05,"Riesgo","Atrasado")))</f>
        <v/>
      </c>
      <c r="I67" s="144" t="n"/>
      <c r="J67" s="143">
        <f>IF(I67="","",IF($I$9="","",IF($I$9=0,"",I67/$I$9)))</f>
        <v/>
      </c>
      <c r="K67" s="142" t="n"/>
      <c r="L67" s="143">
        <f>IF(K67="","",IF($K$9="","",IF($K$9=0,"",K67/$K$9)))</f>
        <v/>
      </c>
      <c r="M67" s="144" t="n"/>
      <c r="N67" s="143">
        <f>IF(M67="","",IF($M$9="","",IF($M$9=0,"",M67/$M$9)))</f>
        <v/>
      </c>
      <c r="O67" s="144" t="n"/>
      <c r="P67" s="143">
        <f>IF(O67="","",IF($O$9="","",IF($O$9=0,"",O67/$O$9)))</f>
        <v/>
      </c>
      <c r="Q67" s="142" t="n"/>
      <c r="R67" s="143">
        <f>IF(Q67="","",IF($Q$9="","",IF($Q$9=0,"",Q67/$Q$9)))</f>
        <v/>
      </c>
      <c r="S67" s="144" t="n"/>
      <c r="T67" s="143">
        <f>IF(S67="","",IF($S$9="","",IF($S$9=0,"",S67/$S$9)))</f>
        <v/>
      </c>
      <c r="U67" s="142" t="n"/>
      <c r="V67" s="143">
        <f>IF(U67="","",IF($U$9="","",IF($U$9=0,"",U67/$U$9)))</f>
        <v/>
      </c>
      <c r="W67" s="142" t="n"/>
      <c r="X67" s="143">
        <f>IF(W67="","",IF($W$9="","",IF($W$9=0,"",W67/$W$9)))</f>
        <v/>
      </c>
    </row>
    <row r="68" ht="15" customHeight="1" s="87">
      <c r="A68" s="115" t="n">
        <v>58</v>
      </c>
      <c r="B68" s="145" t="n">
        <v>46587</v>
      </c>
      <c r="C68" s="153" t="n">
        <v>1</v>
      </c>
      <c r="D68" s="140" t="n"/>
      <c r="E68" s="115" t="n"/>
      <c r="F68" s="115" t="n"/>
      <c r="G68" s="147">
        <f>IF(D68="","",D68-C68)</f>
        <v/>
      </c>
      <c r="H68" s="101">
        <f>IF(D68="","",IF(D68&gt;=C68,"En meta",IF(D68&gt;=C68-0.05,"Riesgo","Atrasado")))</f>
        <v/>
      </c>
      <c r="I68" s="144" t="n"/>
      <c r="J68" s="148">
        <f>IF(I68="","",IF($I$9="","",IF($I$9=0,"",I68/$I$9)))</f>
        <v/>
      </c>
      <c r="K68" s="142" t="n"/>
      <c r="L68" s="148">
        <f>IF(K68="","",IF($K$9="","",IF($K$9=0,"",K68/$K$9)))</f>
        <v/>
      </c>
      <c r="M68" s="144" t="n"/>
      <c r="N68" s="148">
        <f>IF(M68="","",IF($M$9="","",IF($M$9=0,"",M68/$M$9)))</f>
        <v/>
      </c>
      <c r="O68" s="144" t="n"/>
      <c r="P68" s="148">
        <f>IF(O68="","",IF($O$9="","",IF($O$9=0,"",O68/$O$9)))</f>
        <v/>
      </c>
      <c r="Q68" s="142" t="n"/>
      <c r="R68" s="148">
        <f>IF(Q68="","",IF($Q$9="","",IF($Q$9=0,"",Q68/$Q$9)))</f>
        <v/>
      </c>
      <c r="S68" s="144" t="n"/>
      <c r="T68" s="148">
        <f>IF(S68="","",IF($S$9="","",IF($S$9=0,"",S68/$S$9)))</f>
        <v/>
      </c>
      <c r="U68" s="142" t="n"/>
      <c r="V68" s="148">
        <f>IF(U68="","",IF($U$9="","",IF($U$9=0,"",U68/$U$9)))</f>
        <v/>
      </c>
      <c r="W68" s="142" t="n"/>
      <c r="X68" s="148">
        <f>IF(W68="","",IF($W$9="","",IF($W$9=0,"",W68/$W$9)))</f>
        <v/>
      </c>
    </row>
    <row r="69" ht="15" customHeight="1" s="87">
      <c r="A69" s="92" t="n">
        <v>59</v>
      </c>
      <c r="B69" s="138" t="n">
        <v>46594</v>
      </c>
      <c r="C69" s="152" t="n">
        <v>1</v>
      </c>
      <c r="D69" s="140" t="n"/>
      <c r="E69" s="92" t="n"/>
      <c r="F69" s="92" t="n"/>
      <c r="G69" s="141">
        <f>IF(D69="","",D69-C69)</f>
        <v/>
      </c>
      <c r="H69" s="100">
        <f>IF(D69="","",IF(D69&gt;=C69,"En meta",IF(D69&gt;=C69-0.05,"Riesgo","Atrasado")))</f>
        <v/>
      </c>
      <c r="I69" s="144" t="n"/>
      <c r="J69" s="143">
        <f>IF(I69="","",IF($I$9="","",IF($I$9=0,"",I69/$I$9)))</f>
        <v/>
      </c>
      <c r="K69" s="142" t="n"/>
      <c r="L69" s="143">
        <f>IF(K69="","",IF($K$9="","",IF($K$9=0,"",K69/$K$9)))</f>
        <v/>
      </c>
      <c r="M69" s="144" t="n"/>
      <c r="N69" s="143">
        <f>IF(M69="","",IF($M$9="","",IF($M$9=0,"",M69/$M$9)))</f>
        <v/>
      </c>
      <c r="O69" s="144" t="n"/>
      <c r="P69" s="143">
        <f>IF(O69="","",IF($O$9="","",IF($O$9=0,"",O69/$O$9)))</f>
        <v/>
      </c>
      <c r="Q69" s="142" t="n"/>
      <c r="R69" s="143">
        <f>IF(Q69="","",IF($Q$9="","",IF($Q$9=0,"",Q69/$Q$9)))</f>
        <v/>
      </c>
      <c r="S69" s="144" t="n"/>
      <c r="T69" s="143">
        <f>IF(S69="","",IF($S$9="","",IF($S$9=0,"",S69/$S$9)))</f>
        <v/>
      </c>
      <c r="U69" s="142" t="n"/>
      <c r="V69" s="143">
        <f>IF(U69="","",IF($U$9="","",IF($U$9=0,"",U69/$U$9)))</f>
        <v/>
      </c>
      <c r="W69" s="142" t="n"/>
      <c r="X69" s="143">
        <f>IF(W69="","",IF($W$9="","",IF($W$9=0,"",W69/$W$9)))</f>
        <v/>
      </c>
    </row>
    <row r="70" ht="15" customHeight="1" s="87">
      <c r="A70" s="115" t="n">
        <v>60</v>
      </c>
      <c r="B70" s="145" t="n">
        <v>46601</v>
      </c>
      <c r="C70" s="153" t="n">
        <v>1</v>
      </c>
      <c r="D70" s="140" t="n"/>
      <c r="E70" s="115" t="n"/>
      <c r="F70" s="115" t="n"/>
      <c r="G70" s="147">
        <f>IF(D70="","",D70-C70)</f>
        <v/>
      </c>
      <c r="H70" s="101">
        <f>IF(D70="","",IF(D70&gt;=C70,"En meta",IF(D70&gt;=C70-0.05,"Riesgo","Atrasado")))</f>
        <v/>
      </c>
      <c r="I70" s="144" t="n"/>
      <c r="J70" s="148">
        <f>IF(I70="","",IF($I$9="","",IF($I$9=0,"",I70/$I$9)))</f>
        <v/>
      </c>
      <c r="K70" s="142" t="n"/>
      <c r="L70" s="148">
        <f>IF(K70="","",IF($K$9="","",IF($K$9=0,"",K70/$K$9)))</f>
        <v/>
      </c>
      <c r="M70" s="144" t="n"/>
      <c r="N70" s="148">
        <f>IF(M70="","",IF($M$9="","",IF($M$9=0,"",M70/$M$9)))</f>
        <v/>
      </c>
      <c r="O70" s="144" t="n"/>
      <c r="P70" s="148">
        <f>IF(O70="","",IF($O$9="","",IF($O$9=0,"",O70/$O$9)))</f>
        <v/>
      </c>
      <c r="Q70" s="142" t="n"/>
      <c r="R70" s="148">
        <f>IF(Q70="","",IF($Q$9="","",IF($Q$9=0,"",Q70/$Q$9)))</f>
        <v/>
      </c>
      <c r="S70" s="144" t="n"/>
      <c r="T70" s="148">
        <f>IF(S70="","",IF($S$9="","",IF($S$9=0,"",S70/$S$9)))</f>
        <v/>
      </c>
      <c r="U70" s="142" t="n"/>
      <c r="V70" s="148">
        <f>IF(U70="","",IF($U$9="","",IF($U$9=0,"",U70/$U$9)))</f>
        <v/>
      </c>
      <c r="W70" s="142" t="n"/>
      <c r="X70" s="148">
        <f>IF(W70="","",IF($W$9="","",IF($W$9=0,"",W70/$W$9)))</f>
        <v/>
      </c>
    </row>
    <row r="71" ht="15" customHeight="1" s="87">
      <c r="A71" s="92" t="n">
        <v>61</v>
      </c>
      <c r="B71" s="138" t="n">
        <v>46608</v>
      </c>
      <c r="C71" s="152" t="n">
        <v>1</v>
      </c>
      <c r="D71" s="140" t="n"/>
      <c r="E71" s="92" t="n"/>
      <c r="F71" s="92" t="n"/>
      <c r="G71" s="141">
        <f>IF(D71="","",D71-C71)</f>
        <v/>
      </c>
      <c r="H71" s="100">
        <f>IF(D71="","",IF(D71&gt;=C71,"En meta",IF(D71&gt;=C71-0.05,"Riesgo","Atrasado")))</f>
        <v/>
      </c>
      <c r="I71" s="144" t="n"/>
      <c r="J71" s="143">
        <f>IF(I71="","",IF($I$9="","",IF($I$9=0,"",I71/$I$9)))</f>
        <v/>
      </c>
      <c r="K71" s="142" t="n"/>
      <c r="L71" s="143">
        <f>IF(K71="","",IF($K$9="","",IF($K$9=0,"",K71/$K$9)))</f>
        <v/>
      </c>
      <c r="M71" s="144" t="n"/>
      <c r="N71" s="143">
        <f>IF(M71="","",IF($M$9="","",IF($M$9=0,"",M71/$M$9)))</f>
        <v/>
      </c>
      <c r="O71" s="144" t="n"/>
      <c r="P71" s="143">
        <f>IF(O71="","",IF($O$9="","",IF($O$9=0,"",O71/$O$9)))</f>
        <v/>
      </c>
      <c r="Q71" s="142" t="n"/>
      <c r="R71" s="143">
        <f>IF(Q71="","",IF($Q$9="","",IF($Q$9=0,"",Q71/$Q$9)))</f>
        <v/>
      </c>
      <c r="S71" s="144" t="n"/>
      <c r="T71" s="143">
        <f>IF(S71="","",IF($S$9="","",IF($S$9=0,"",S71/$S$9)))</f>
        <v/>
      </c>
      <c r="U71" s="142" t="n"/>
      <c r="V71" s="143">
        <f>IF(U71="","",IF($U$9="","",IF($U$9=0,"",U71/$U$9)))</f>
        <v/>
      </c>
      <c r="W71" s="142" t="n"/>
      <c r="X71" s="143">
        <f>IF(W71="","",IF($W$9="","",IF($W$9=0,"",W71/$W$9)))</f>
        <v/>
      </c>
    </row>
    <row r="72" ht="15" customHeight="1" s="87">
      <c r="A72" s="115" t="n">
        <v>62</v>
      </c>
      <c r="B72" s="145" t="n">
        <v>46615</v>
      </c>
      <c r="C72" s="153" t="n">
        <v>1</v>
      </c>
      <c r="D72" s="140" t="n"/>
      <c r="E72" s="115" t="n"/>
      <c r="F72" s="115" t="n"/>
      <c r="G72" s="147">
        <f>IF(D72="","",D72-C72)</f>
        <v/>
      </c>
      <c r="H72" s="101">
        <f>IF(D72="","",IF(D72&gt;=C72,"En meta",IF(D72&gt;=C72-0.05,"Riesgo","Atrasado")))</f>
        <v/>
      </c>
      <c r="I72" s="144" t="n"/>
      <c r="J72" s="148">
        <f>IF(I72="","",IF($I$9="","",IF($I$9=0,"",I72/$I$9)))</f>
        <v/>
      </c>
      <c r="K72" s="142" t="n"/>
      <c r="L72" s="148">
        <f>IF(K72="","",IF($K$9="","",IF($K$9=0,"",K72/$K$9)))</f>
        <v/>
      </c>
      <c r="M72" s="144" t="n"/>
      <c r="N72" s="148">
        <f>IF(M72="","",IF($M$9="","",IF($M$9=0,"",M72/$M$9)))</f>
        <v/>
      </c>
      <c r="O72" s="144" t="n"/>
      <c r="P72" s="148">
        <f>IF(O72="","",IF($O$9="","",IF($O$9=0,"",O72/$O$9)))</f>
        <v/>
      </c>
      <c r="Q72" s="142" t="n"/>
      <c r="R72" s="148">
        <f>IF(Q72="","",IF($Q$9="","",IF($Q$9=0,"",Q72/$Q$9)))</f>
        <v/>
      </c>
      <c r="S72" s="144" t="n"/>
      <c r="T72" s="148">
        <f>IF(S72="","",IF($S$9="","",IF($S$9=0,"",S72/$S$9)))</f>
        <v/>
      </c>
      <c r="U72" s="142" t="n"/>
      <c r="V72" s="148">
        <f>IF(U72="","",IF($U$9="","",IF($U$9=0,"",U72/$U$9)))</f>
        <v/>
      </c>
      <c r="W72" s="142" t="n"/>
      <c r="X72" s="148">
        <f>IF(W72="","",IF($W$9="","",IF($W$9=0,"",W72/$W$9)))</f>
        <v/>
      </c>
    </row>
    <row r="73" ht="15" customHeight="1" s="87">
      <c r="A73" s="92" t="n">
        <v>63</v>
      </c>
      <c r="B73" s="138" t="n">
        <v>46622</v>
      </c>
      <c r="C73" s="152" t="n">
        <v>1</v>
      </c>
      <c r="D73" s="140" t="n"/>
      <c r="E73" s="92" t="n"/>
      <c r="F73" s="92" t="n"/>
      <c r="G73" s="141">
        <f>IF(D73="","",D73-C73)</f>
        <v/>
      </c>
      <c r="H73" s="100">
        <f>IF(D73="","",IF(D73&gt;=C73,"En meta",IF(D73&gt;=C73-0.05,"Riesgo","Atrasado")))</f>
        <v/>
      </c>
      <c r="I73" s="144" t="n"/>
      <c r="J73" s="143">
        <f>IF(I73="","",IF($I$9="","",IF($I$9=0,"",I73/$I$9)))</f>
        <v/>
      </c>
      <c r="K73" s="142" t="n"/>
      <c r="L73" s="143">
        <f>IF(K73="","",IF($K$9="","",IF($K$9=0,"",K73/$K$9)))</f>
        <v/>
      </c>
      <c r="M73" s="144" t="n"/>
      <c r="N73" s="143">
        <f>IF(M73="","",IF($M$9="","",IF($M$9=0,"",M73/$M$9)))</f>
        <v/>
      </c>
      <c r="O73" s="144" t="n"/>
      <c r="P73" s="143">
        <f>IF(O73="","",IF($O$9="","",IF($O$9=0,"",O73/$O$9)))</f>
        <v/>
      </c>
      <c r="Q73" s="142" t="n"/>
      <c r="R73" s="143">
        <f>IF(Q73="","",IF($Q$9="","",IF($Q$9=0,"",Q73/$Q$9)))</f>
        <v/>
      </c>
      <c r="S73" s="144" t="n"/>
      <c r="T73" s="143">
        <f>IF(S73="","",IF($S$9="","",IF($S$9=0,"",S73/$S$9)))</f>
        <v/>
      </c>
      <c r="U73" s="142" t="n"/>
      <c r="V73" s="143">
        <f>IF(U73="","",IF($U$9="","",IF($U$9=0,"",U73/$U$9)))</f>
        <v/>
      </c>
      <c r="W73" s="142" t="n"/>
      <c r="X73" s="143">
        <f>IF(W73="","",IF($W$9="","",IF($W$9=0,"",W73/$W$9)))</f>
        <v/>
      </c>
    </row>
    <row r="74" ht="15" customHeight="1" s="87">
      <c r="A74" s="115" t="n">
        <v>64</v>
      </c>
      <c r="B74" s="145" t="n">
        <v>46629</v>
      </c>
      <c r="C74" s="153" t="n">
        <v>1</v>
      </c>
      <c r="D74" s="140" t="n"/>
      <c r="E74" s="115" t="n"/>
      <c r="F74" s="115" t="n"/>
      <c r="G74" s="147">
        <f>IF(D74="","",D74-C74)</f>
        <v/>
      </c>
      <c r="H74" s="101">
        <f>IF(D74="","",IF(D74&gt;=C74,"En meta",IF(D74&gt;=C74-0.05,"Riesgo","Atrasado")))</f>
        <v/>
      </c>
      <c r="I74" s="144" t="n"/>
      <c r="J74" s="148">
        <f>IF(I74="","",IF($I$9="","",IF($I$9=0,"",I74/$I$9)))</f>
        <v/>
      </c>
      <c r="K74" s="142" t="n"/>
      <c r="L74" s="148">
        <f>IF(K74="","",IF($K$9="","",IF($K$9=0,"",K74/$K$9)))</f>
        <v/>
      </c>
      <c r="M74" s="144" t="n"/>
      <c r="N74" s="148">
        <f>IF(M74="","",IF($M$9="","",IF($M$9=0,"",M74/$M$9)))</f>
        <v/>
      </c>
      <c r="O74" s="144" t="n"/>
      <c r="P74" s="148">
        <f>IF(O74="","",IF($O$9="","",IF($O$9=0,"",O74/$O$9)))</f>
        <v/>
      </c>
      <c r="Q74" s="142" t="n"/>
      <c r="R74" s="148">
        <f>IF(Q74="","",IF($Q$9="","",IF($Q$9=0,"",Q74/$Q$9)))</f>
        <v/>
      </c>
      <c r="S74" s="144" t="n"/>
      <c r="T74" s="148">
        <f>IF(S74="","",IF($S$9="","",IF($S$9=0,"",S74/$S$9)))</f>
        <v/>
      </c>
      <c r="U74" s="142" t="n"/>
      <c r="V74" s="148">
        <f>IF(U74="","",IF($U$9="","",IF($U$9=0,"",U74/$U$9)))</f>
        <v/>
      </c>
      <c r="W74" s="142" t="n"/>
      <c r="X74" s="148">
        <f>IF(W74="","",IF($W$9="","",IF($W$9=0,"",W74/$W$9)))</f>
        <v/>
      </c>
    </row>
    <row r="75" ht="15" customHeight="1" s="87">
      <c r="A75" s="92" t="n">
        <v>65</v>
      </c>
      <c r="B75" s="138" t="n">
        <v>46636</v>
      </c>
      <c r="C75" s="152" t="n">
        <v>1</v>
      </c>
      <c r="D75" s="140" t="n"/>
      <c r="E75" s="92" t="n"/>
      <c r="F75" s="92" t="n"/>
      <c r="G75" s="141">
        <f>IF(D75="","",D75-C75)</f>
        <v/>
      </c>
      <c r="H75" s="100">
        <f>IF(D75="","",IF(D75&gt;=C75,"En meta",IF(D75&gt;=C75-0.05,"Riesgo","Atrasado")))</f>
        <v/>
      </c>
      <c r="I75" s="144" t="n"/>
      <c r="J75" s="143">
        <f>IF(I75="","",IF($I$9="","",IF($I$9=0,"",I75/$I$9)))</f>
        <v/>
      </c>
      <c r="K75" s="142" t="n"/>
      <c r="L75" s="143">
        <f>IF(K75="","",IF($K$9="","",IF($K$9=0,"",K75/$K$9)))</f>
        <v/>
      </c>
      <c r="M75" s="144" t="n"/>
      <c r="N75" s="143">
        <f>IF(M75="","",IF($M$9="","",IF($M$9=0,"",M75/$M$9)))</f>
        <v/>
      </c>
      <c r="O75" s="144" t="n"/>
      <c r="P75" s="143">
        <f>IF(O75="","",IF($O$9="","",IF($O$9=0,"",O75/$O$9)))</f>
        <v/>
      </c>
      <c r="Q75" s="142" t="n"/>
      <c r="R75" s="143">
        <f>IF(Q75="","",IF($Q$9="","",IF($Q$9=0,"",Q75/$Q$9)))</f>
        <v/>
      </c>
      <c r="S75" s="144" t="n"/>
      <c r="T75" s="143">
        <f>IF(S75="","",IF($S$9="","",IF($S$9=0,"",S75/$S$9)))</f>
        <v/>
      </c>
      <c r="U75" s="142" t="n"/>
      <c r="V75" s="143">
        <f>IF(U75="","",IF($U$9="","",IF($U$9=0,"",U75/$U$9)))</f>
        <v/>
      </c>
      <c r="W75" s="142" t="n"/>
      <c r="X75" s="143">
        <f>IF(W75="","",IF($W$9="","",IF($W$9=0,"",W75/$W$9)))</f>
        <v/>
      </c>
    </row>
    <row r="76" ht="15" customHeight="1" s="87">
      <c r="A76" s="115" t="n">
        <v>66</v>
      </c>
      <c r="B76" s="145" t="n">
        <v>46643</v>
      </c>
      <c r="C76" s="153" t="n">
        <v>1</v>
      </c>
      <c r="D76" s="140" t="n"/>
      <c r="E76" s="115" t="n"/>
      <c r="F76" s="115" t="n"/>
      <c r="G76" s="147">
        <f>IF(D76="","",D76-C76)</f>
        <v/>
      </c>
      <c r="H76" s="101">
        <f>IF(D76="","",IF(D76&gt;=C76,"En meta",IF(D76&gt;=C76-0.05,"Riesgo","Atrasado")))</f>
        <v/>
      </c>
      <c r="I76" s="144" t="n"/>
      <c r="J76" s="148">
        <f>IF(I76="","",IF($I$9="","",IF($I$9=0,"",I76/$I$9)))</f>
        <v/>
      </c>
      <c r="K76" s="142" t="n"/>
      <c r="L76" s="148">
        <f>IF(K76="","",IF($K$9="","",IF($K$9=0,"",K76/$K$9)))</f>
        <v/>
      </c>
      <c r="M76" s="144" t="n"/>
      <c r="N76" s="148">
        <f>IF(M76="","",IF($M$9="","",IF($M$9=0,"",M76/$M$9)))</f>
        <v/>
      </c>
      <c r="O76" s="144" t="n"/>
      <c r="P76" s="148">
        <f>IF(O76="","",IF($O$9="","",IF($O$9=0,"",O76/$O$9)))</f>
        <v/>
      </c>
      <c r="Q76" s="142" t="n"/>
      <c r="R76" s="148">
        <f>IF(Q76="","",IF($Q$9="","",IF($Q$9=0,"",Q76/$Q$9)))</f>
        <v/>
      </c>
      <c r="S76" s="144" t="n"/>
      <c r="T76" s="148">
        <f>IF(S76="","",IF($S$9="","",IF($S$9=0,"",S76/$S$9)))</f>
        <v/>
      </c>
      <c r="U76" s="142" t="n"/>
      <c r="V76" s="148">
        <f>IF(U76="","",IF($U$9="","",IF($U$9=0,"",U76/$U$9)))</f>
        <v/>
      </c>
      <c r="W76" s="142" t="n"/>
      <c r="X76" s="148">
        <f>IF(W76="","",IF($W$9="","",IF($W$9=0,"",W76/$W$9)))</f>
        <v/>
      </c>
    </row>
    <row r="77" ht="15" customHeight="1" s="87">
      <c r="A77" s="92" t="n">
        <v>67</v>
      </c>
      <c r="B77" s="138" t="n">
        <v>46650</v>
      </c>
      <c r="C77" s="152" t="n">
        <v>1</v>
      </c>
      <c r="D77" s="140" t="n"/>
      <c r="E77" s="92" t="n"/>
      <c r="F77" s="92" t="n"/>
      <c r="G77" s="141">
        <f>IF(D77="","",D77-C77)</f>
        <v/>
      </c>
      <c r="H77" s="100">
        <f>IF(D77="","",IF(D77&gt;=C77,"En meta",IF(D77&gt;=C77-0.05,"Riesgo","Atrasado")))</f>
        <v/>
      </c>
      <c r="I77" s="144" t="n"/>
      <c r="J77" s="143">
        <f>IF(I77="","",IF($I$9="","",IF($I$9=0,"",I77/$I$9)))</f>
        <v/>
      </c>
      <c r="K77" s="142" t="n"/>
      <c r="L77" s="143">
        <f>IF(K77="","",IF($K$9="","",IF($K$9=0,"",K77/$K$9)))</f>
        <v/>
      </c>
      <c r="M77" s="144" t="n"/>
      <c r="N77" s="143">
        <f>IF(M77="","",IF($M$9="","",IF($M$9=0,"",M77/$M$9)))</f>
        <v/>
      </c>
      <c r="O77" s="144" t="n"/>
      <c r="P77" s="143">
        <f>IF(O77="","",IF($O$9="","",IF($O$9=0,"",O77/$O$9)))</f>
        <v/>
      </c>
      <c r="Q77" s="142" t="n"/>
      <c r="R77" s="143">
        <f>IF(Q77="","",IF($Q$9="","",IF($Q$9=0,"",Q77/$Q$9)))</f>
        <v/>
      </c>
      <c r="S77" s="144" t="n"/>
      <c r="T77" s="143">
        <f>IF(S77="","",IF($S$9="","",IF($S$9=0,"",S77/$S$9)))</f>
        <v/>
      </c>
      <c r="U77" s="142" t="n"/>
      <c r="V77" s="143">
        <f>IF(U77="","",IF($U$9="","",IF($U$9=0,"",U77/$U$9)))</f>
        <v/>
      </c>
      <c r="W77" s="142" t="n"/>
      <c r="X77" s="143">
        <f>IF(W77="","",IF($W$9="","",IF($W$9=0,"",W77/$W$9)))</f>
        <v/>
      </c>
    </row>
    <row r="78" ht="15" customHeight="1" s="87">
      <c r="A78" s="115" t="n">
        <v>68</v>
      </c>
      <c r="B78" s="145" t="n">
        <v>46657</v>
      </c>
      <c r="C78" s="153" t="n">
        <v>1</v>
      </c>
      <c r="D78" s="140" t="n"/>
      <c r="E78" s="115" t="n"/>
      <c r="F78" s="115" t="n"/>
      <c r="G78" s="147">
        <f>IF(D78="","",D78-C78)</f>
        <v/>
      </c>
      <c r="H78" s="101">
        <f>IF(D78="","",IF(D78&gt;=C78,"En meta",IF(D78&gt;=C78-0.05,"Riesgo","Atrasado")))</f>
        <v/>
      </c>
      <c r="I78" s="144" t="n"/>
      <c r="J78" s="148">
        <f>IF(I78="","",IF($I$9="","",IF($I$9=0,"",I78/$I$9)))</f>
        <v/>
      </c>
      <c r="K78" s="142" t="n"/>
      <c r="L78" s="148">
        <f>IF(K78="","",IF($K$9="","",IF($K$9=0,"",K78/$K$9)))</f>
        <v/>
      </c>
      <c r="M78" s="144" t="n"/>
      <c r="N78" s="148">
        <f>IF(M78="","",IF($M$9="","",IF($M$9=0,"",M78/$M$9)))</f>
        <v/>
      </c>
      <c r="O78" s="144" t="n"/>
      <c r="P78" s="148">
        <f>IF(O78="","",IF($O$9="","",IF($O$9=0,"",O78/$O$9)))</f>
        <v/>
      </c>
      <c r="Q78" s="142" t="n"/>
      <c r="R78" s="148">
        <f>IF(Q78="","",IF($Q$9="","",IF($Q$9=0,"",Q78/$Q$9)))</f>
        <v/>
      </c>
      <c r="S78" s="144" t="n"/>
      <c r="T78" s="148">
        <f>IF(S78="","",IF($S$9="","",IF($S$9=0,"",S78/$S$9)))</f>
        <v/>
      </c>
      <c r="U78" s="142" t="n"/>
      <c r="V78" s="148">
        <f>IF(U78="","",IF($U$9="","",IF($U$9=0,"",U78/$U$9)))</f>
        <v/>
      </c>
      <c r="W78" s="142" t="n"/>
      <c r="X78" s="148">
        <f>IF(W78="","",IF($W$9="","",IF($W$9=0,"",W78/$W$9)))</f>
        <v/>
      </c>
    </row>
    <row r="79" ht="15" customHeight="1" s="87">
      <c r="A79" s="92" t="n">
        <v>69</v>
      </c>
      <c r="B79" s="138" t="n">
        <v>46664</v>
      </c>
      <c r="C79" s="152" t="n">
        <v>1</v>
      </c>
      <c r="D79" s="140" t="n"/>
      <c r="E79" s="92" t="n"/>
      <c r="F79" s="92" t="n"/>
      <c r="G79" s="141">
        <f>IF(D79="","",D79-C79)</f>
        <v/>
      </c>
      <c r="H79" s="100">
        <f>IF(D79="","",IF(D79&gt;=C79,"En meta",IF(D79&gt;=C79-0.05,"Riesgo","Atrasado")))</f>
        <v/>
      </c>
      <c r="I79" s="144" t="n"/>
      <c r="J79" s="143">
        <f>IF(I79="","",IF($I$9="","",IF($I$9=0,"",I79/$I$9)))</f>
        <v/>
      </c>
      <c r="K79" s="142" t="n"/>
      <c r="L79" s="143">
        <f>IF(K79="","",IF($K$9="","",IF($K$9=0,"",K79/$K$9)))</f>
        <v/>
      </c>
      <c r="M79" s="144" t="n"/>
      <c r="N79" s="143">
        <f>IF(M79="","",IF($M$9="","",IF($M$9=0,"",M79/$M$9)))</f>
        <v/>
      </c>
      <c r="O79" s="144" t="n"/>
      <c r="P79" s="143">
        <f>IF(O79="","",IF($O$9="","",IF($O$9=0,"",O79/$O$9)))</f>
        <v/>
      </c>
      <c r="Q79" s="142" t="n"/>
      <c r="R79" s="143">
        <f>IF(Q79="","",IF($Q$9="","",IF($Q$9=0,"",Q79/$Q$9)))</f>
        <v/>
      </c>
      <c r="S79" s="144" t="n"/>
      <c r="T79" s="143">
        <f>IF(S79="","",IF($S$9="","",IF($S$9=0,"",S79/$S$9)))</f>
        <v/>
      </c>
      <c r="U79" s="142" t="n"/>
      <c r="V79" s="143">
        <f>IF(U79="","",IF($U$9="","",IF($U$9=0,"",U79/$U$9)))</f>
        <v/>
      </c>
      <c r="W79" s="142" t="n"/>
      <c r="X79" s="143">
        <f>IF(W79="","",IF($W$9="","",IF($W$9=0,"",W79/$W$9)))</f>
        <v/>
      </c>
    </row>
    <row r="80" ht="15" customHeight="1" s="87">
      <c r="A80" s="115" t="n">
        <v>70</v>
      </c>
      <c r="B80" s="145" t="n">
        <v>46671</v>
      </c>
      <c r="C80" s="153" t="n">
        <v>1</v>
      </c>
      <c r="D80" s="140" t="n"/>
      <c r="E80" s="115" t="n"/>
      <c r="F80" s="115" t="n"/>
      <c r="G80" s="147">
        <f>IF(D80="","",D80-C80)</f>
        <v/>
      </c>
      <c r="H80" s="101">
        <f>IF(D80="","",IF(D80&gt;=C80,"En meta",IF(D80&gt;=C80-0.05,"Riesgo","Atrasado")))</f>
        <v/>
      </c>
      <c r="I80" s="144" t="n"/>
      <c r="J80" s="148">
        <f>IF(I80="","",IF($I$9="","",IF($I$9=0,"",I80/$I$9)))</f>
        <v/>
      </c>
      <c r="K80" s="142" t="n"/>
      <c r="L80" s="148">
        <f>IF(K80="","",IF($K$9="","",IF($K$9=0,"",K80/$K$9)))</f>
        <v/>
      </c>
      <c r="M80" s="144" t="n"/>
      <c r="N80" s="148">
        <f>IF(M80="","",IF($M$9="","",IF($M$9=0,"",M80/$M$9)))</f>
        <v/>
      </c>
      <c r="O80" s="144" t="n"/>
      <c r="P80" s="148">
        <f>IF(O80="","",IF($O$9="","",IF($O$9=0,"",O80/$O$9)))</f>
        <v/>
      </c>
      <c r="Q80" s="142" t="n"/>
      <c r="R80" s="148">
        <f>IF(Q80="","",IF($Q$9="","",IF($Q$9=0,"",Q80/$Q$9)))</f>
        <v/>
      </c>
      <c r="S80" s="144" t="n"/>
      <c r="T80" s="148">
        <f>IF(S80="","",IF($S$9="","",IF($S$9=0,"",S80/$S$9)))</f>
        <v/>
      </c>
      <c r="U80" s="142" t="n"/>
      <c r="V80" s="148">
        <f>IF(U80="","",IF($U$9="","",IF($U$9=0,"",U80/$U$9)))</f>
        <v/>
      </c>
      <c r="W80" s="142" t="n"/>
      <c r="X80" s="148">
        <f>IF(W80="","",IF($W$9="","",IF($W$9=0,"",W80/$W$9)))</f>
        <v/>
      </c>
    </row>
    <row r="81" ht="15" customHeight="1" s="87">
      <c r="A81" s="92" t="n">
        <v>71</v>
      </c>
      <c r="B81" s="138" t="n">
        <v>46678</v>
      </c>
      <c r="C81" s="152" t="n">
        <v>1</v>
      </c>
      <c r="D81" s="140" t="n"/>
      <c r="E81" s="92" t="n"/>
      <c r="F81" s="92" t="n"/>
      <c r="G81" s="141">
        <f>IF(D81="","",D81-C81)</f>
        <v/>
      </c>
      <c r="H81" s="100">
        <f>IF(D81="","",IF(D81&gt;=C81,"En meta",IF(D81&gt;=C81-0.05,"Riesgo","Atrasado")))</f>
        <v/>
      </c>
      <c r="I81" s="144" t="n"/>
      <c r="J81" s="143">
        <f>IF(I81="","",IF($I$9="","",IF($I$9=0,"",I81/$I$9)))</f>
        <v/>
      </c>
      <c r="K81" s="142" t="n"/>
      <c r="L81" s="143">
        <f>IF(K81="","",IF($K$9="","",IF($K$9=0,"",K81/$K$9)))</f>
        <v/>
      </c>
      <c r="M81" s="144" t="n"/>
      <c r="N81" s="143">
        <f>IF(M81="","",IF($M$9="","",IF($M$9=0,"",M81/$M$9)))</f>
        <v/>
      </c>
      <c r="O81" s="144" t="n"/>
      <c r="P81" s="143">
        <f>IF(O81="","",IF($O$9="","",IF($O$9=0,"",O81/$O$9)))</f>
        <v/>
      </c>
      <c r="Q81" s="142" t="n"/>
      <c r="R81" s="143">
        <f>IF(Q81="","",IF($Q$9="","",IF($Q$9=0,"",Q81/$Q$9)))</f>
        <v/>
      </c>
      <c r="S81" s="144" t="n"/>
      <c r="T81" s="143">
        <f>IF(S81="","",IF($S$9="","",IF($S$9=0,"",S81/$S$9)))</f>
        <v/>
      </c>
      <c r="U81" s="142" t="n"/>
      <c r="V81" s="143">
        <f>IF(U81="","",IF($U$9="","",IF($U$9=0,"",U81/$U$9)))</f>
        <v/>
      </c>
      <c r="W81" s="142" t="n"/>
      <c r="X81" s="143">
        <f>IF(W81="","",IF($W$9="","",IF($W$9=0,"",W81/$W$9)))</f>
        <v/>
      </c>
    </row>
    <row r="82" ht="15" customHeight="1" s="87">
      <c r="A82" s="115" t="n">
        <v>72</v>
      </c>
      <c r="B82" s="145" t="n">
        <v>46685</v>
      </c>
      <c r="C82" s="153" t="n">
        <v>1</v>
      </c>
      <c r="D82" s="140" t="n"/>
      <c r="E82" s="115" t="n"/>
      <c r="F82" s="115" t="n"/>
      <c r="G82" s="147">
        <f>IF(D82="","",D82-C82)</f>
        <v/>
      </c>
      <c r="H82" s="101">
        <f>IF(D82="","",IF(D82&gt;=C82,"En meta",IF(D82&gt;=C82-0.05,"Riesgo","Atrasado")))</f>
        <v/>
      </c>
      <c r="I82" s="144" t="n"/>
      <c r="J82" s="148">
        <f>IF(I82="","",IF($I$9="","",IF($I$9=0,"",I82/$I$9)))</f>
        <v/>
      </c>
      <c r="K82" s="142" t="n"/>
      <c r="L82" s="148">
        <f>IF(K82="","",IF($K$9="","",IF($K$9=0,"",K82/$K$9)))</f>
        <v/>
      </c>
      <c r="M82" s="144" t="n"/>
      <c r="N82" s="148">
        <f>IF(M82="","",IF($M$9="","",IF($M$9=0,"",M82/$M$9)))</f>
        <v/>
      </c>
      <c r="O82" s="144" t="n"/>
      <c r="P82" s="148">
        <f>IF(O82="","",IF($O$9="","",IF($O$9=0,"",O82/$O$9)))</f>
        <v/>
      </c>
      <c r="Q82" s="142" t="n"/>
      <c r="R82" s="148">
        <f>IF(Q82="","",IF($Q$9="","",IF($Q$9=0,"",Q82/$Q$9)))</f>
        <v/>
      </c>
      <c r="S82" s="144" t="n"/>
      <c r="T82" s="148">
        <f>IF(S82="","",IF($S$9="","",IF($S$9=0,"",S82/$S$9)))</f>
        <v/>
      </c>
      <c r="U82" s="142" t="n"/>
      <c r="V82" s="148">
        <f>IF(U82="","",IF($U$9="","",IF($U$9=0,"",U82/$U$9)))</f>
        <v/>
      </c>
      <c r="W82" s="142" t="n"/>
      <c r="X82" s="148">
        <f>IF(W82="","",IF($W$9="","",IF($W$9=0,"",W82/$W$9)))</f>
        <v/>
      </c>
    </row>
    <row r="83" ht="15" customHeight="1" s="87">
      <c r="A83" s="92" t="n">
        <v>73</v>
      </c>
      <c r="B83" s="138" t="n">
        <v>46692</v>
      </c>
      <c r="C83" s="152" t="n">
        <v>1</v>
      </c>
      <c r="D83" s="140" t="n"/>
      <c r="E83" s="92" t="n"/>
      <c r="F83" s="92" t="n"/>
      <c r="G83" s="141">
        <f>IF(D83="","",D83-C83)</f>
        <v/>
      </c>
      <c r="H83" s="100">
        <f>IF(D83="","",IF(D83&gt;=C83,"En meta",IF(D83&gt;=C83-0.05,"Riesgo","Atrasado")))</f>
        <v/>
      </c>
      <c r="I83" s="144" t="n"/>
      <c r="J83" s="143">
        <f>IF(I83="","",IF($I$9="","",IF($I$9=0,"",I83/$I$9)))</f>
        <v/>
      </c>
      <c r="K83" s="142" t="n"/>
      <c r="L83" s="143">
        <f>IF(K83="","",IF($K$9="","",IF($K$9=0,"",K83/$K$9)))</f>
        <v/>
      </c>
      <c r="M83" s="144" t="n"/>
      <c r="N83" s="143">
        <f>IF(M83="","",IF($M$9="","",IF($M$9=0,"",M83/$M$9)))</f>
        <v/>
      </c>
      <c r="O83" s="144" t="n"/>
      <c r="P83" s="143">
        <f>IF(O83="","",IF($O$9="","",IF($O$9=0,"",O83/$O$9)))</f>
        <v/>
      </c>
      <c r="Q83" s="142" t="n"/>
      <c r="R83" s="143">
        <f>IF(Q83="","",IF($Q$9="","",IF($Q$9=0,"",Q83/$Q$9)))</f>
        <v/>
      </c>
      <c r="S83" s="144" t="n"/>
      <c r="T83" s="143">
        <f>IF(S83="","",IF($S$9="","",IF($S$9=0,"",S83/$S$9)))</f>
        <v/>
      </c>
      <c r="U83" s="142" t="n"/>
      <c r="V83" s="143">
        <f>IF(U83="","",IF($U$9="","",IF($U$9=0,"",U83/$U$9)))</f>
        <v/>
      </c>
      <c r="W83" s="142" t="n"/>
      <c r="X83" s="143">
        <f>IF(W83="","",IF($W$9="","",IF($W$9=0,"",W83/$W$9)))</f>
        <v/>
      </c>
    </row>
    <row r="84" ht="15" customHeight="1" s="87">
      <c r="A84" s="115" t="n">
        <v>74</v>
      </c>
      <c r="B84" s="145" t="n">
        <v>46699</v>
      </c>
      <c r="C84" s="153" t="n">
        <v>1</v>
      </c>
      <c r="D84" s="140" t="n"/>
      <c r="E84" s="115" t="n"/>
      <c r="F84" s="115" t="n"/>
      <c r="G84" s="147">
        <f>IF(D84="","",D84-C84)</f>
        <v/>
      </c>
      <c r="H84" s="101">
        <f>IF(D84="","",IF(D84&gt;=C84,"En meta",IF(D84&gt;=C84-0.05,"Riesgo","Atrasado")))</f>
        <v/>
      </c>
      <c r="I84" s="144" t="n"/>
      <c r="J84" s="148">
        <f>IF(I84="","",IF($I$9="","",IF($I$9=0,"",I84/$I$9)))</f>
        <v/>
      </c>
      <c r="K84" s="142" t="n"/>
      <c r="L84" s="148">
        <f>IF(K84="","",IF($K$9="","",IF($K$9=0,"",K84/$K$9)))</f>
        <v/>
      </c>
      <c r="M84" s="144" t="n"/>
      <c r="N84" s="148">
        <f>IF(M84="","",IF($M$9="","",IF($M$9=0,"",M84/$M$9)))</f>
        <v/>
      </c>
      <c r="O84" s="144" t="n"/>
      <c r="P84" s="148">
        <f>IF(O84="","",IF($O$9="","",IF($O$9=0,"",O84/$O$9)))</f>
        <v/>
      </c>
      <c r="Q84" s="142" t="n"/>
      <c r="R84" s="148">
        <f>IF(Q84="","",IF($Q$9="","",IF($Q$9=0,"",Q84/$Q$9)))</f>
        <v/>
      </c>
      <c r="S84" s="144" t="n"/>
      <c r="T84" s="148">
        <f>IF(S84="","",IF($S$9="","",IF($S$9=0,"",S84/$S$9)))</f>
        <v/>
      </c>
      <c r="U84" s="142" t="n"/>
      <c r="V84" s="148">
        <f>IF(U84="","",IF($U$9="","",IF($U$9=0,"",U84/$U$9)))</f>
        <v/>
      </c>
      <c r="W84" s="142" t="n"/>
      <c r="X84" s="148">
        <f>IF(W84="","",IF($W$9="","",IF($W$9=0,"",W84/$W$9)))</f>
        <v/>
      </c>
    </row>
    <row r="85" ht="15" customHeight="1" s="87">
      <c r="A85" s="92" t="n">
        <v>75</v>
      </c>
      <c r="B85" s="138" t="n">
        <v>46706</v>
      </c>
      <c r="C85" s="152" t="n">
        <v>1</v>
      </c>
      <c r="D85" s="140" t="n"/>
      <c r="E85" s="92" t="n"/>
      <c r="F85" s="92" t="n"/>
      <c r="G85" s="141">
        <f>IF(D85="","",D85-C85)</f>
        <v/>
      </c>
      <c r="H85" s="100">
        <f>IF(D85="","",IF(D85&gt;=C85,"En meta",IF(D85&gt;=C85-0.05,"Riesgo","Atrasado")))</f>
        <v/>
      </c>
      <c r="I85" s="144" t="n"/>
      <c r="J85" s="143">
        <f>IF(I85="","",IF($I$9="","",IF($I$9=0,"",I85/$I$9)))</f>
        <v/>
      </c>
      <c r="K85" s="142" t="n"/>
      <c r="L85" s="143">
        <f>IF(K85="","",IF($K$9="","",IF($K$9=0,"",K85/$K$9)))</f>
        <v/>
      </c>
      <c r="M85" s="144" t="n"/>
      <c r="N85" s="143">
        <f>IF(M85="","",IF($M$9="","",IF($M$9=0,"",M85/$M$9)))</f>
        <v/>
      </c>
      <c r="O85" s="144" t="n"/>
      <c r="P85" s="143">
        <f>IF(O85="","",IF($O$9="","",IF($O$9=0,"",O85/$O$9)))</f>
        <v/>
      </c>
      <c r="Q85" s="142" t="n"/>
      <c r="R85" s="143">
        <f>IF(Q85="","",IF($Q$9="","",IF($Q$9=0,"",Q85/$Q$9)))</f>
        <v/>
      </c>
      <c r="S85" s="144" t="n"/>
      <c r="T85" s="143">
        <f>IF(S85="","",IF($S$9="","",IF($S$9=0,"",S85/$S$9)))</f>
        <v/>
      </c>
      <c r="U85" s="142" t="n"/>
      <c r="V85" s="143">
        <f>IF(U85="","",IF($U$9="","",IF($U$9=0,"",U85/$U$9)))</f>
        <v/>
      </c>
      <c r="W85" s="142" t="n"/>
      <c r="X85" s="143">
        <f>IF(W85="","",IF($W$9="","",IF($W$9=0,"",W85/$W$9)))</f>
        <v/>
      </c>
    </row>
    <row r="86" ht="15" customHeight="1" s="87">
      <c r="A86" s="115" t="n">
        <v>76</v>
      </c>
      <c r="B86" s="145" t="n">
        <v>46713</v>
      </c>
      <c r="C86" s="153" t="n">
        <v>1</v>
      </c>
      <c r="D86" s="140" t="n"/>
      <c r="E86" s="115" t="n"/>
      <c r="F86" s="115" t="n"/>
      <c r="G86" s="147">
        <f>IF(D86="","",D86-C86)</f>
        <v/>
      </c>
      <c r="H86" s="101">
        <f>IF(D86="","",IF(D86&gt;=C86,"En meta",IF(D86&gt;=C86-0.05,"Riesgo","Atrasado")))</f>
        <v/>
      </c>
      <c r="I86" s="144" t="n"/>
      <c r="J86" s="148">
        <f>IF(I86="","",IF($I$9="","",IF($I$9=0,"",I86/$I$9)))</f>
        <v/>
      </c>
      <c r="K86" s="142" t="n"/>
      <c r="L86" s="148">
        <f>IF(K86="","",IF($K$9="","",IF($K$9=0,"",K86/$K$9)))</f>
        <v/>
      </c>
      <c r="M86" s="144" t="n"/>
      <c r="N86" s="148">
        <f>IF(M86="","",IF($M$9="","",IF($M$9=0,"",M86/$M$9)))</f>
        <v/>
      </c>
      <c r="O86" s="144" t="n"/>
      <c r="P86" s="148">
        <f>IF(O86="","",IF($O$9="","",IF($O$9=0,"",O86/$O$9)))</f>
        <v/>
      </c>
      <c r="Q86" s="142" t="n"/>
      <c r="R86" s="148">
        <f>IF(Q86="","",IF($Q$9="","",IF($Q$9=0,"",Q86/$Q$9)))</f>
        <v/>
      </c>
      <c r="S86" s="144" t="n"/>
      <c r="T86" s="148">
        <f>IF(S86="","",IF($S$9="","",IF($S$9=0,"",S86/$S$9)))</f>
        <v/>
      </c>
      <c r="U86" s="142" t="n"/>
      <c r="V86" s="148">
        <f>IF(U86="","",IF($U$9="","",IF($U$9=0,"",U86/$U$9)))</f>
        <v/>
      </c>
      <c r="W86" s="142" t="n"/>
      <c r="X86" s="148">
        <f>IF(W86="","",IF($W$9="","",IF($W$9=0,"",W86/$W$9)))</f>
        <v/>
      </c>
    </row>
    <row r="87" ht="15" customHeight="1" s="87">
      <c r="A87" s="92" t="n">
        <v>77</v>
      </c>
      <c r="B87" s="138" t="n">
        <v>46720</v>
      </c>
      <c r="C87" s="152" t="n">
        <v>1</v>
      </c>
      <c r="D87" s="140" t="n"/>
      <c r="E87" s="92" t="n"/>
      <c r="F87" s="92" t="n"/>
      <c r="G87" s="141">
        <f>IF(D87="","",D87-C87)</f>
        <v/>
      </c>
      <c r="H87" s="100">
        <f>IF(D87="","",IF(D87&gt;=C87,"En meta",IF(D87&gt;=C87-0.05,"Riesgo","Atrasado")))</f>
        <v/>
      </c>
      <c r="I87" s="144" t="n"/>
      <c r="J87" s="143">
        <f>IF(I87="","",IF($I$9="","",IF($I$9=0,"",I87/$I$9)))</f>
        <v/>
      </c>
      <c r="K87" s="142" t="n"/>
      <c r="L87" s="143">
        <f>IF(K87="","",IF($K$9="","",IF($K$9=0,"",K87/$K$9)))</f>
        <v/>
      </c>
      <c r="M87" s="144" t="n"/>
      <c r="N87" s="143">
        <f>IF(M87="","",IF($M$9="","",IF($M$9=0,"",M87/$M$9)))</f>
        <v/>
      </c>
      <c r="O87" s="144" t="n"/>
      <c r="P87" s="143">
        <f>IF(O87="","",IF($O$9="","",IF($O$9=0,"",O87/$O$9)))</f>
        <v/>
      </c>
      <c r="Q87" s="142" t="n"/>
      <c r="R87" s="143">
        <f>IF(Q87="","",IF($Q$9="","",IF($Q$9=0,"",Q87/$Q$9)))</f>
        <v/>
      </c>
      <c r="S87" s="144" t="n"/>
      <c r="T87" s="143">
        <f>IF(S87="","",IF($S$9="","",IF($S$9=0,"",S87/$S$9)))</f>
        <v/>
      </c>
      <c r="U87" s="142" t="n"/>
      <c r="V87" s="143">
        <f>IF(U87="","",IF($U$9="","",IF($U$9=0,"",U87/$U$9)))</f>
        <v/>
      </c>
      <c r="W87" s="142" t="n"/>
      <c r="X87" s="143">
        <f>IF(W87="","",IF($W$9="","",IF($W$9=0,"",W87/$W$9)))</f>
        <v/>
      </c>
    </row>
    <row r="88" ht="15" customHeight="1" s="87">
      <c r="A88" s="115" t="n">
        <v>78</v>
      </c>
      <c r="B88" s="145" t="n">
        <v>46727</v>
      </c>
      <c r="C88" s="153" t="n">
        <v>1</v>
      </c>
      <c r="D88" s="140" t="n"/>
      <c r="E88" s="115" t="n"/>
      <c r="F88" s="115" t="n"/>
      <c r="G88" s="147">
        <f>IF(D88="","",D88-C88)</f>
        <v/>
      </c>
      <c r="H88" s="101">
        <f>IF(D88="","",IF(D88&gt;=C88,"En meta",IF(D88&gt;=C88-0.05,"Riesgo","Atrasado")))</f>
        <v/>
      </c>
      <c r="I88" s="144" t="n"/>
      <c r="J88" s="148">
        <f>IF(I88="","",IF($I$9="","",IF($I$9=0,"",I88/$I$9)))</f>
        <v/>
      </c>
      <c r="K88" s="142" t="n"/>
      <c r="L88" s="148">
        <f>IF(K88="","",IF($K$9="","",IF($K$9=0,"",K88/$K$9)))</f>
        <v/>
      </c>
      <c r="M88" s="144" t="n"/>
      <c r="N88" s="148">
        <f>IF(M88="","",IF($M$9="","",IF($M$9=0,"",M88/$M$9)))</f>
        <v/>
      </c>
      <c r="O88" s="144" t="n"/>
      <c r="P88" s="148">
        <f>IF(O88="","",IF($O$9="","",IF($O$9=0,"",O88/$O$9)))</f>
        <v/>
      </c>
      <c r="Q88" s="142" t="n"/>
      <c r="R88" s="148">
        <f>IF(Q88="","",IF($Q$9="","",IF($Q$9=0,"",Q88/$Q$9)))</f>
        <v/>
      </c>
      <c r="S88" s="144" t="n"/>
      <c r="T88" s="148">
        <f>IF(S88="","",IF($S$9="","",IF($S$9=0,"",S88/$S$9)))</f>
        <v/>
      </c>
      <c r="U88" s="142" t="n"/>
      <c r="V88" s="148">
        <f>IF(U88="","",IF($U$9="","",IF($U$9=0,"",U88/$U$9)))</f>
        <v/>
      </c>
      <c r="W88" s="142" t="n"/>
      <c r="X88" s="148">
        <f>IF(W88="","",IF($W$9="","",IF($W$9=0,"",W88/$W$9)))</f>
        <v/>
      </c>
    </row>
    <row r="89" ht="15" customHeight="1" s="87">
      <c r="A89" s="92" t="n">
        <v>79</v>
      </c>
      <c r="B89" s="138" t="n">
        <v>46734</v>
      </c>
      <c r="C89" s="152" t="n">
        <v>1</v>
      </c>
      <c r="D89" s="140" t="n"/>
      <c r="E89" s="92" t="n"/>
      <c r="F89" s="92" t="n"/>
      <c r="G89" s="141">
        <f>IF(D89="","",D89-C89)</f>
        <v/>
      </c>
      <c r="H89" s="100">
        <f>IF(D89="","",IF(D89&gt;=C89,"En meta",IF(D89&gt;=C89-0.05,"Riesgo","Atrasado")))</f>
        <v/>
      </c>
      <c r="I89" s="144" t="n"/>
      <c r="J89" s="143">
        <f>IF(I89="","",IF($I$9="","",IF($I$9=0,"",I89/$I$9)))</f>
        <v/>
      </c>
      <c r="K89" s="142" t="n"/>
      <c r="L89" s="143">
        <f>IF(K89="","",IF($K$9="","",IF($K$9=0,"",K89/$K$9)))</f>
        <v/>
      </c>
      <c r="M89" s="144" t="n"/>
      <c r="N89" s="143">
        <f>IF(M89="","",IF($M$9="","",IF($M$9=0,"",M89/$M$9)))</f>
        <v/>
      </c>
      <c r="O89" s="144" t="n"/>
      <c r="P89" s="143">
        <f>IF(O89="","",IF($O$9="","",IF($O$9=0,"",O89/$O$9)))</f>
        <v/>
      </c>
      <c r="Q89" s="142" t="n"/>
      <c r="R89" s="143">
        <f>IF(Q89="","",IF($Q$9="","",IF($Q$9=0,"",Q89/$Q$9)))</f>
        <v/>
      </c>
      <c r="S89" s="144" t="n"/>
      <c r="T89" s="143">
        <f>IF(S89="","",IF($S$9="","",IF($S$9=0,"",S89/$S$9)))</f>
        <v/>
      </c>
      <c r="U89" s="142" t="n"/>
      <c r="V89" s="143">
        <f>IF(U89="","",IF($U$9="","",IF($U$9=0,"",U89/$U$9)))</f>
        <v/>
      </c>
      <c r="W89" s="142" t="n"/>
      <c r="X89" s="143">
        <f>IF(W89="","",IF($W$9="","",IF($W$9=0,"",W89/$W$9)))</f>
        <v/>
      </c>
    </row>
    <row r="90" ht="15" customHeight="1" s="87">
      <c r="A90" s="115" t="n">
        <v>80</v>
      </c>
      <c r="B90" s="145" t="n">
        <v>46741</v>
      </c>
      <c r="C90" s="153" t="n">
        <v>1</v>
      </c>
      <c r="D90" s="140" t="n"/>
      <c r="E90" s="115" t="n"/>
      <c r="F90" s="115" t="n"/>
      <c r="G90" s="147">
        <f>IF(D90="","",D90-C90)</f>
        <v/>
      </c>
      <c r="H90" s="101">
        <f>IF(D90="","",IF(D90&gt;=C90,"En meta",IF(D90&gt;=C90-0.05,"Riesgo","Atrasado")))</f>
        <v/>
      </c>
      <c r="I90" s="144" t="n"/>
      <c r="J90" s="148">
        <f>IF(I90="","",IF($I$9="","",IF($I$9=0,"",I90/$I$9)))</f>
        <v/>
      </c>
      <c r="K90" s="142" t="n"/>
      <c r="L90" s="148">
        <f>IF(K90="","",IF($K$9="","",IF($K$9=0,"",K90/$K$9)))</f>
        <v/>
      </c>
      <c r="M90" s="144" t="n"/>
      <c r="N90" s="148">
        <f>IF(M90="","",IF($M$9="","",IF($M$9=0,"",M90/$M$9)))</f>
        <v/>
      </c>
      <c r="O90" s="144" t="n"/>
      <c r="P90" s="148">
        <f>IF(O90="","",IF($O$9="","",IF($O$9=0,"",O90/$O$9)))</f>
        <v/>
      </c>
      <c r="Q90" s="142" t="n"/>
      <c r="R90" s="148">
        <f>IF(Q90="","",IF($Q$9="","",IF($Q$9=0,"",Q90/$Q$9)))</f>
        <v/>
      </c>
      <c r="S90" s="144" t="n"/>
      <c r="T90" s="148">
        <f>IF(S90="","",IF($S$9="","",IF($S$9=0,"",S90/$S$9)))</f>
        <v/>
      </c>
      <c r="U90" s="142" t="n"/>
      <c r="V90" s="148">
        <f>IF(U90="","",IF($U$9="","",IF($U$9=0,"",U90/$U$9)))</f>
        <v/>
      </c>
      <c r="W90" s="142" t="n"/>
      <c r="X90" s="148">
        <f>IF(W90="","",IF($W$9="","",IF($W$9=0,"",W90/$W$9)))</f>
        <v/>
      </c>
    </row>
    <row r="91" ht="15" customHeight="1" s="87">
      <c r="A91" s="92" t="n">
        <v>81</v>
      </c>
      <c r="B91" s="138" t="n">
        <v>46748</v>
      </c>
      <c r="C91" s="152" t="n">
        <v>1</v>
      </c>
      <c r="D91" s="140" t="n"/>
      <c r="E91" s="92" t="n"/>
      <c r="F91" s="92" t="n"/>
      <c r="G91" s="141">
        <f>IF(D91="","",D91-C91)</f>
        <v/>
      </c>
      <c r="H91" s="100">
        <f>IF(D91="","",IF(D91&gt;=C91,"En meta",IF(D91&gt;=C91-0.05,"Riesgo","Atrasado")))</f>
        <v/>
      </c>
      <c r="I91" s="144" t="n"/>
      <c r="J91" s="143">
        <f>IF(I91="","",IF($I$9="","",IF($I$9=0,"",I91/$I$9)))</f>
        <v/>
      </c>
      <c r="K91" s="142" t="n"/>
      <c r="L91" s="143">
        <f>IF(K91="","",IF($K$9="","",IF($K$9=0,"",K91/$K$9)))</f>
        <v/>
      </c>
      <c r="M91" s="144" t="n"/>
      <c r="N91" s="143">
        <f>IF(M91="","",IF($M$9="","",IF($M$9=0,"",M91/$M$9)))</f>
        <v/>
      </c>
      <c r="O91" s="144" t="n"/>
      <c r="P91" s="143">
        <f>IF(O91="","",IF($O$9="","",IF($O$9=0,"",O91/$O$9)))</f>
        <v/>
      </c>
      <c r="Q91" s="142" t="n"/>
      <c r="R91" s="143">
        <f>IF(Q91="","",IF($Q$9="","",IF($Q$9=0,"",Q91/$Q$9)))</f>
        <v/>
      </c>
      <c r="S91" s="144" t="n"/>
      <c r="T91" s="143">
        <f>IF(S91="","",IF($S$9="","",IF($S$9=0,"",S91/$S$9)))</f>
        <v/>
      </c>
      <c r="U91" s="142" t="n"/>
      <c r="V91" s="143">
        <f>IF(U91="","",IF($U$9="","",IF($U$9=0,"",U91/$U$9)))</f>
        <v/>
      </c>
      <c r="W91" s="142" t="n"/>
      <c r="X91" s="143">
        <f>IF(W91="","",IF($W$9="","",IF($W$9=0,"",W91/$W$9)))</f>
        <v/>
      </c>
    </row>
    <row r="92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91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5 — Incrementar el MV de servicios basados en el DC GBM San Marcos en $20,000</t>
        </is>
      </c>
    </row>
    <row r="2" ht="15" customHeight="1" s="87">
      <c r="A2" s="104" t="inlineStr">
        <is>
          <t>Indicador lag:</t>
        </is>
      </c>
      <c r="B2" s="127" t="inlineStr">
        <is>
          <t>MV nuevo firmado de servicios basados desde el datacenter (USD acumulado).</t>
        </is>
      </c>
    </row>
    <row r="3" ht="15" customHeight="1" s="87">
      <c r="A3" s="104" t="inlineStr">
        <is>
          <t>De X a Y:</t>
        </is>
      </c>
      <c r="B3" s="127" t="inlineStr">
        <is>
          <t>De $0 a +$20,000 de MV incremental, antes del 31 de diciembre de 2027.</t>
        </is>
      </c>
    </row>
    <row r="4" ht="15" customHeight="1" s="87">
      <c r="A4" s="104" t="inlineStr">
        <is>
          <t>Dueño:</t>
        </is>
      </c>
      <c r="B4" s="128" t="inlineStr">
        <is>
          <t>A. Vargas</t>
        </is>
      </c>
      <c r="D4" s="104" t="inlineStr">
        <is>
          <t>Equipo:</t>
        </is>
      </c>
      <c r="E4" s="127" t="inlineStr">
        <is>
          <t>Pre-Sales, Del - DC</t>
        </is>
      </c>
    </row>
    <row r="5" ht="15" customHeight="1" s="87">
      <c r="A5" s="104" t="inlineStr">
        <is>
          <t>Meta:</t>
        </is>
      </c>
      <c r="B5" s="154" t="n">
        <v>20000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46748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COUNT(A11:A91)</f>
        <v/>
      </c>
      <c r="H8" s="132" t="inlineStr">
        <is>
          <t>Lead →</t>
        </is>
      </c>
      <c r="I8" s="133" t="inlineStr">
        <is>
          <t>L1. Propuestas de servicios DC presentadas</t>
        </is>
      </c>
      <c r="J8" s="134" t="n"/>
      <c r="K8" s="133" t="inlineStr">
        <is>
          <t>L2. Workloads nuevos aprovisionados / migrados</t>
        </is>
      </c>
      <c r="L8" s="134" t="n"/>
      <c r="M8" s="133" t="inlineStr">
        <is>
          <t>L3. Assessments de migración realizados</t>
        </is>
      </c>
      <c r="N8" s="134" t="n"/>
      <c r="O8" s="133" t="inlineStr">
        <is>
          <t>L4. Opps DC activas en pipeline</t>
        </is>
      </c>
      <c r="P8" s="134" t="n"/>
      <c r="Q8" s="133" t="inlineStr">
        <is>
          <t>L5. Clientes contactados con oferta DC</t>
        </is>
      </c>
      <c r="R8" s="134" t="n"/>
      <c r="S8" s="133" t="inlineStr">
        <is>
          <t>L6. % capacidad DC documentada y actualizada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5" t="n">
        <v>2</v>
      </c>
      <c r="J9" s="134" t="n"/>
      <c r="K9" s="135" t="n">
        <v>1</v>
      </c>
      <c r="L9" s="134" t="n"/>
      <c r="M9" s="135" t="n">
        <v>1</v>
      </c>
      <c r="N9" s="134" t="n"/>
      <c r="O9" s="135" t="n">
        <v>4</v>
      </c>
      <c r="P9" s="134" t="n"/>
      <c r="Q9" s="135" t="n">
        <v>3</v>
      </c>
      <c r="R9" s="134" t="n"/>
      <c r="S9" s="136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 semana</t>
        </is>
      </c>
      <c r="D10" s="91" t="inlineStr">
        <is>
          <t>Real</t>
        </is>
      </c>
      <c r="E10" s="91" t="inlineStr">
        <is>
          <t>Meta acum.</t>
        </is>
      </c>
      <c r="F10" s="91" t="inlineStr">
        <is>
          <t>Real acum.</t>
        </is>
      </c>
      <c r="G10" s="91" t="inlineStr">
        <is>
          <t>% avance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49" t="n">
        <v>246.9135802469136</v>
      </c>
      <c r="D11" s="140" t="n">
        <v>0</v>
      </c>
      <c r="E11" s="149" t="n">
        <v>246.9135802469136</v>
      </c>
      <c r="F11" s="149" t="n">
        <v>0</v>
      </c>
      <c r="G11" s="141" t="n">
        <v>0</v>
      </c>
      <c r="H11" s="100" t="inlineStr">
        <is>
          <t>Atrasado</t>
        </is>
      </c>
      <c r="I11" s="142" t="n">
        <v>2</v>
      </c>
      <c r="J11" s="143" t="n">
        <v>1</v>
      </c>
      <c r="K11" s="142" t="n">
        <v>1</v>
      </c>
      <c r="L11" s="143" t="n">
        <v>1</v>
      </c>
      <c r="M11" s="142" t="n">
        <v>1</v>
      </c>
      <c r="N11" s="143" t="n">
        <v>1</v>
      </c>
      <c r="O11" s="142" t="n">
        <v>3</v>
      </c>
      <c r="P11" s="143" t="n">
        <v>0.75</v>
      </c>
      <c r="Q11" s="142" t="n">
        <v>4</v>
      </c>
      <c r="R11" s="143" t="n">
        <v>1.333333333333333</v>
      </c>
      <c r="S11" s="144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50" t="n">
        <v>246.9135802469136</v>
      </c>
      <c r="D12" s="140" t="n">
        <v>0</v>
      </c>
      <c r="E12" s="150" t="n">
        <v>493.8271604938271</v>
      </c>
      <c r="F12" s="150" t="n">
        <v>0</v>
      </c>
      <c r="G12" s="147" t="n">
        <v>0</v>
      </c>
      <c r="H12" s="101" t="inlineStr">
        <is>
          <t>Atrasado</t>
        </is>
      </c>
      <c r="I12" s="142" t="n">
        <v>2</v>
      </c>
      <c r="J12" s="148" t="n">
        <v>1</v>
      </c>
      <c r="K12" s="142" t="n">
        <v>1</v>
      </c>
      <c r="L12" s="148" t="n">
        <v>1</v>
      </c>
      <c r="M12" s="142" t="n">
        <v>1</v>
      </c>
      <c r="N12" s="148" t="n">
        <v>1</v>
      </c>
      <c r="O12" s="142" t="n">
        <v>5</v>
      </c>
      <c r="P12" s="148" t="n">
        <v>1.25</v>
      </c>
      <c r="Q12" s="142" t="n">
        <v>3</v>
      </c>
      <c r="R12" s="148" t="n">
        <v>1</v>
      </c>
      <c r="S12" s="144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49" t="n">
        <v>246.9135802469136</v>
      </c>
      <c r="D13" s="140" t="n">
        <v>1800</v>
      </c>
      <c r="E13" s="149" t="n">
        <v>740.7407407407406</v>
      </c>
      <c r="F13" s="149" t="n">
        <v>1800</v>
      </c>
      <c r="G13" s="141" t="n">
        <v>2.43</v>
      </c>
      <c r="H13" s="100" t="inlineStr">
        <is>
          <t>En meta</t>
        </is>
      </c>
      <c r="I13" s="142" t="n">
        <v>2</v>
      </c>
      <c r="J13" s="143" t="n">
        <v>1</v>
      </c>
      <c r="K13" s="142" t="n">
        <v>1</v>
      </c>
      <c r="L13" s="143" t="n">
        <v>1</v>
      </c>
      <c r="M13" s="142" t="n">
        <v>1</v>
      </c>
      <c r="N13" s="143" t="n">
        <v>1</v>
      </c>
      <c r="O13" s="142" t="n">
        <v>4</v>
      </c>
      <c r="P13" s="143" t="n">
        <v>1</v>
      </c>
      <c r="Q13" s="142" t="n">
        <v>3</v>
      </c>
      <c r="R13" s="143" t="n">
        <v>1</v>
      </c>
      <c r="S13" s="144" t="n">
        <v>1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50" t="n">
        <v>246.9135802469136</v>
      </c>
      <c r="D14" s="140" t="n">
        <v>0</v>
      </c>
      <c r="E14" s="150" t="n">
        <v>987.6543209876543</v>
      </c>
      <c r="F14" s="150" t="n">
        <v>1800</v>
      </c>
      <c r="G14" s="147" t="n">
        <v>1.8225</v>
      </c>
      <c r="H14" s="101" t="inlineStr">
        <is>
          <t>En meta</t>
        </is>
      </c>
      <c r="I14" s="142" t="n">
        <v>3</v>
      </c>
      <c r="J14" s="148" t="n">
        <v>1.5</v>
      </c>
      <c r="K14" s="142" t="n">
        <v>1</v>
      </c>
      <c r="L14" s="148" t="n">
        <v>1</v>
      </c>
      <c r="M14" s="142" t="n">
        <v>1</v>
      </c>
      <c r="N14" s="148" t="n">
        <v>1</v>
      </c>
      <c r="O14" s="142" t="n">
        <v>6</v>
      </c>
      <c r="P14" s="148" t="n">
        <v>1.5</v>
      </c>
      <c r="Q14" s="142" t="n">
        <v>4</v>
      </c>
      <c r="R14" s="148" t="n">
        <v>1.333333333333333</v>
      </c>
      <c r="S14" s="144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49" t="n">
        <v>246.9135802469136</v>
      </c>
      <c r="D15" s="140" t="n">
        <v>950</v>
      </c>
      <c r="E15" s="149" t="n">
        <v>1234.567901234568</v>
      </c>
      <c r="F15" s="149" t="n">
        <v>2750</v>
      </c>
      <c r="G15" s="141" t="n">
        <v>2.2275</v>
      </c>
      <c r="H15" s="100" t="inlineStr">
        <is>
          <t>En meta</t>
        </is>
      </c>
      <c r="I15" s="142" t="n">
        <v>2</v>
      </c>
      <c r="J15" s="143" t="n">
        <v>1</v>
      </c>
      <c r="K15" s="142" t="n">
        <v>1</v>
      </c>
      <c r="L15" s="143" t="n">
        <v>1</v>
      </c>
      <c r="M15" s="142" t="n">
        <v>1</v>
      </c>
      <c r="N15" s="143" t="n">
        <v>1</v>
      </c>
      <c r="O15" s="142" t="n">
        <v>4</v>
      </c>
      <c r="P15" s="143" t="n">
        <v>1</v>
      </c>
      <c r="Q15" s="142" t="n">
        <v>3</v>
      </c>
      <c r="R15" s="143" t="n">
        <v>1</v>
      </c>
      <c r="S15" s="144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50" t="n">
        <v>246.9135802469136</v>
      </c>
      <c r="D16" s="140" t="n">
        <v>0</v>
      </c>
      <c r="E16" s="150" t="n">
        <v>1481.481481481482</v>
      </c>
      <c r="F16" s="150" t="n">
        <v>2750</v>
      </c>
      <c r="G16" s="147" t="n">
        <v>1.85625</v>
      </c>
      <c r="H16" s="101" t="inlineStr">
        <is>
          <t>En meta</t>
        </is>
      </c>
      <c r="I16" s="142" t="n">
        <v>3</v>
      </c>
      <c r="J16" s="148" t="n">
        <v>1.5</v>
      </c>
      <c r="K16" s="142" t="n">
        <v>1</v>
      </c>
      <c r="L16" s="148" t="n">
        <v>1</v>
      </c>
      <c r="M16" s="142" t="n">
        <v>1</v>
      </c>
      <c r="N16" s="148" t="n">
        <v>1</v>
      </c>
      <c r="O16" s="142" t="n">
        <v>5</v>
      </c>
      <c r="P16" s="148" t="n">
        <v>1.25</v>
      </c>
      <c r="Q16" s="142" t="n">
        <v>3</v>
      </c>
      <c r="R16" s="148" t="n">
        <v>1</v>
      </c>
      <c r="S16" s="144" t="n">
        <v>1</v>
      </c>
      <c r="T16" s="148" t="n">
        <v>1</v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49" t="n">
        <v>246.9135802469136</v>
      </c>
      <c r="D17" s="140" t="n">
        <v>0</v>
      </c>
      <c r="E17" s="149" t="n">
        <v>1728.395061728395</v>
      </c>
      <c r="F17" s="149" t="n">
        <v>2750</v>
      </c>
      <c r="G17" s="141" t="n">
        <v>1.591071428571428</v>
      </c>
      <c r="H17" s="100" t="inlineStr">
        <is>
          <t>En meta</t>
        </is>
      </c>
      <c r="I17" s="142" t="n">
        <v>2</v>
      </c>
      <c r="J17" s="143" t="n">
        <v>1</v>
      </c>
      <c r="K17" s="142" t="n">
        <v>1</v>
      </c>
      <c r="L17" s="143" t="n">
        <v>1</v>
      </c>
      <c r="M17" s="142" t="n">
        <v>1</v>
      </c>
      <c r="N17" s="143" t="n">
        <v>1</v>
      </c>
      <c r="O17" s="142" t="n">
        <v>4</v>
      </c>
      <c r="P17" s="143" t="n">
        <v>1</v>
      </c>
      <c r="Q17" s="142" t="n">
        <v>4</v>
      </c>
      <c r="R17" s="143" t="n">
        <v>1.333333333333333</v>
      </c>
      <c r="S17" s="144" t="n">
        <v>1</v>
      </c>
      <c r="T17" s="143" t="n">
        <v>1</v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50" t="n">
        <v>246.9135802469136</v>
      </c>
      <c r="D18" s="140" t="n">
        <v>1200</v>
      </c>
      <c r="E18" s="150" t="n">
        <v>1975.308641975309</v>
      </c>
      <c r="F18" s="150" t="n">
        <v>3950</v>
      </c>
      <c r="G18" s="147" t="n">
        <v>1.9996875</v>
      </c>
      <c r="H18" s="101" t="inlineStr">
        <is>
          <t>En meta</t>
        </is>
      </c>
      <c r="I18" s="142" t="n">
        <v>2</v>
      </c>
      <c r="J18" s="148" t="n">
        <v>1</v>
      </c>
      <c r="K18" s="142" t="n">
        <v>1</v>
      </c>
      <c r="L18" s="148" t="n">
        <v>1</v>
      </c>
      <c r="M18" s="142" t="n">
        <v>1</v>
      </c>
      <c r="N18" s="148" t="n">
        <v>1</v>
      </c>
      <c r="O18" s="142" t="n">
        <v>5</v>
      </c>
      <c r="P18" s="148" t="n">
        <v>1.25</v>
      </c>
      <c r="Q18" s="142" t="n">
        <v>4</v>
      </c>
      <c r="R18" s="148" t="n">
        <v>1.333333333333333</v>
      </c>
      <c r="S18" s="144" t="n">
        <v>1</v>
      </c>
      <c r="T18" s="148" t="n">
        <v>1</v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49" t="n">
        <v>246.9135802469136</v>
      </c>
      <c r="D19" s="140" t="n">
        <v>0</v>
      </c>
      <c r="E19" s="149" t="n">
        <v>2222.222222222222</v>
      </c>
      <c r="F19" s="149" t="n">
        <v>3950</v>
      </c>
      <c r="G19" s="141" t="n">
        <v>1.7775</v>
      </c>
      <c r="H19" s="100" t="inlineStr">
        <is>
          <t>En meta</t>
        </is>
      </c>
      <c r="I19" s="142" t="n">
        <v>2</v>
      </c>
      <c r="J19" s="143" t="n">
        <v>1</v>
      </c>
      <c r="K19" s="142" t="n">
        <v>1</v>
      </c>
      <c r="L19" s="143" t="n">
        <v>1</v>
      </c>
      <c r="M19" s="142" t="n">
        <v>1</v>
      </c>
      <c r="N19" s="143" t="n">
        <v>1</v>
      </c>
      <c r="O19" s="142" t="n">
        <v>5</v>
      </c>
      <c r="P19" s="143" t="n">
        <v>1.25</v>
      </c>
      <c r="Q19" s="142" t="n">
        <v>4</v>
      </c>
      <c r="R19" s="143" t="n">
        <v>1.333333333333333</v>
      </c>
      <c r="S19" s="144" t="n">
        <v>1</v>
      </c>
      <c r="T19" s="143" t="n">
        <v>1</v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50" t="n">
        <v>246.9135802469136</v>
      </c>
      <c r="D20" s="140" t="n">
        <v>600</v>
      </c>
      <c r="E20" s="150" t="n">
        <v>2469.135802469136</v>
      </c>
      <c r="F20" s="150" t="n">
        <v>4550</v>
      </c>
      <c r="G20" s="147" t="n">
        <v>1.84275</v>
      </c>
      <c r="H20" s="101" t="inlineStr">
        <is>
          <t>En meta</t>
        </is>
      </c>
      <c r="I20" s="142" t="n">
        <v>2</v>
      </c>
      <c r="J20" s="148" t="n">
        <v>1</v>
      </c>
      <c r="K20" s="142" t="n">
        <v>1</v>
      </c>
      <c r="L20" s="148" t="n">
        <v>1</v>
      </c>
      <c r="M20" s="142" t="n">
        <v>1</v>
      </c>
      <c r="N20" s="148" t="n">
        <v>1</v>
      </c>
      <c r="O20" s="142" t="n">
        <v>5</v>
      </c>
      <c r="P20" s="148" t="n">
        <v>1.25</v>
      </c>
      <c r="Q20" s="142" t="n">
        <v>3</v>
      </c>
      <c r="R20" s="148" t="n">
        <v>1</v>
      </c>
      <c r="S20" s="144" t="n">
        <v>1</v>
      </c>
      <c r="T20" s="148" t="n">
        <v>1</v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49" t="n">
        <v>246.9135802469136</v>
      </c>
      <c r="D21" s="140" t="n">
        <v>0</v>
      </c>
      <c r="E21" s="149" t="n">
        <v>2716.049382716049</v>
      </c>
      <c r="F21" s="149" t="n">
        <v>4550</v>
      </c>
      <c r="G21" s="141" t="n">
        <v>1.675227272727273</v>
      </c>
      <c r="H21" s="100" t="inlineStr">
        <is>
          <t>En meta</t>
        </is>
      </c>
      <c r="I21" s="142" t="n">
        <v>2</v>
      </c>
      <c r="J21" s="143" t="n">
        <v>1</v>
      </c>
      <c r="K21" s="142" t="n">
        <v>1</v>
      </c>
      <c r="L21" s="143" t="n">
        <v>1</v>
      </c>
      <c r="M21" s="142" t="n">
        <v>1</v>
      </c>
      <c r="N21" s="143" t="n">
        <v>1</v>
      </c>
      <c r="O21" s="142" t="n">
        <v>5</v>
      </c>
      <c r="P21" s="143" t="n">
        <v>1.25</v>
      </c>
      <c r="Q21" s="142" t="n">
        <v>4</v>
      </c>
      <c r="R21" s="143" t="n">
        <v>1.333333333333333</v>
      </c>
      <c r="S21" s="144" t="n">
        <v>1</v>
      </c>
      <c r="T21" s="143" t="n">
        <v>1</v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50" t="n">
        <v>246.9135802469136</v>
      </c>
      <c r="D22" s="140" t="n">
        <v>800</v>
      </c>
      <c r="E22" s="150" t="n">
        <v>2962.962962962963</v>
      </c>
      <c r="F22" s="150" t="n">
        <v>5350</v>
      </c>
      <c r="G22" s="147" t="n">
        <v>1.805625</v>
      </c>
      <c r="H22" s="101" t="inlineStr">
        <is>
          <t>En meta</t>
        </is>
      </c>
      <c r="I22" s="142" t="n">
        <v>2</v>
      </c>
      <c r="J22" s="148" t="n">
        <v>1</v>
      </c>
      <c r="K22" s="142" t="n">
        <v>1</v>
      </c>
      <c r="L22" s="148" t="n">
        <v>1</v>
      </c>
      <c r="M22" s="142" t="n">
        <v>1</v>
      </c>
      <c r="N22" s="148" t="n">
        <v>1</v>
      </c>
      <c r="O22" s="142" t="n">
        <v>4</v>
      </c>
      <c r="P22" s="148" t="n">
        <v>1</v>
      </c>
      <c r="Q22" s="142" t="n">
        <v>3</v>
      </c>
      <c r="R22" s="148" t="n">
        <v>1</v>
      </c>
      <c r="S22" s="144" t="n">
        <v>1</v>
      </c>
      <c r="T22" s="148" t="n">
        <v>1</v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49" t="n">
        <v>246.9135802469136</v>
      </c>
      <c r="D23" s="140" t="n"/>
      <c r="E23" s="149" t="n">
        <v>3209.876543209877</v>
      </c>
      <c r="F23" s="149" t="n">
        <v>5350</v>
      </c>
      <c r="G23" s="141" t="n">
        <v>1.666730769230769</v>
      </c>
      <c r="H23" s="100" t="inlineStr">
        <is>
          <t>En meta</t>
        </is>
      </c>
      <c r="I23" s="142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4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50" t="n">
        <v>246.9135802469136</v>
      </c>
      <c r="D24" s="140" t="n"/>
      <c r="E24" s="150" t="n">
        <v>3456.79012345679</v>
      </c>
      <c r="F24" s="150" t="n">
        <v>5350</v>
      </c>
      <c r="G24" s="147" t="n">
        <v>1.547678571428571</v>
      </c>
      <c r="H24" s="101" t="inlineStr">
        <is>
          <t>En meta</t>
        </is>
      </c>
      <c r="I24" s="142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4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49" t="n">
        <v>246.9135802469136</v>
      </c>
      <c r="D25" s="140" t="n"/>
      <c r="E25" s="149" t="n">
        <v>3703.703703703704</v>
      </c>
      <c r="F25" s="149" t="n">
        <v>5350</v>
      </c>
      <c r="G25" s="141" t="n">
        <v>1.4445</v>
      </c>
      <c r="H25" s="100" t="inlineStr">
        <is>
          <t>En meta</t>
        </is>
      </c>
      <c r="I25" s="142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4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50" t="n">
        <v>246.9135802469136</v>
      </c>
      <c r="D26" s="140" t="n"/>
      <c r="E26" s="150" t="n">
        <v>3950.617283950618</v>
      </c>
      <c r="F26" s="150" t="n">
        <v>5350</v>
      </c>
      <c r="G26" s="147" t="n">
        <v>1.35421875</v>
      </c>
      <c r="H26" s="101" t="inlineStr">
        <is>
          <t>En meta</t>
        </is>
      </c>
      <c r="I26" s="142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4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49" t="n">
        <v>246.9135802469136</v>
      </c>
      <c r="D27" s="140" t="n"/>
      <c r="E27" s="149" t="n">
        <v>4197.530864197531</v>
      </c>
      <c r="F27" s="149" t="n">
        <v>5350</v>
      </c>
      <c r="G27" s="141" t="n">
        <v>1.274558823529412</v>
      </c>
      <c r="H27" s="100" t="inlineStr">
        <is>
          <t>En meta</t>
        </is>
      </c>
      <c r="I27" s="142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4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50" t="n">
        <v>246.9135802469136</v>
      </c>
      <c r="D28" s="140" t="n"/>
      <c r="E28" s="150" t="n">
        <v>4444.444444444444</v>
      </c>
      <c r="F28" s="150" t="n">
        <v>5350</v>
      </c>
      <c r="G28" s="147" t="n">
        <v>1.20375</v>
      </c>
      <c r="H28" s="101" t="inlineStr">
        <is>
          <t>En meta</t>
        </is>
      </c>
      <c r="I28" s="142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4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49" t="n">
        <v>246.9135802469136</v>
      </c>
      <c r="D29" s="140" t="n"/>
      <c r="E29" s="149" t="n">
        <v>4691.358024691358</v>
      </c>
      <c r="F29" s="149" t="n">
        <v>5350</v>
      </c>
      <c r="G29" s="141" t="n">
        <v>1.140394736842105</v>
      </c>
      <c r="H29" s="100" t="inlineStr">
        <is>
          <t>En meta</t>
        </is>
      </c>
      <c r="I29" s="142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2" t="n"/>
      <c r="R29" s="143">
        <f>IF(Q29="","",IF($Q$9="","",IF($Q$9=0,"",Q29/$Q$9)))</f>
        <v/>
      </c>
      <c r="S29" s="144" t="n"/>
      <c r="T29" s="143">
        <f>IF(S29="","",IF($S$9="","",IF($S$9=0,"",S29/$S$9)))</f>
        <v/>
      </c>
      <c r="U29" s="142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50" t="n">
        <v>246.9135802469136</v>
      </c>
      <c r="D30" s="140" t="n"/>
      <c r="E30" s="150" t="n">
        <v>4938.271604938272</v>
      </c>
      <c r="F30" s="150" t="n">
        <v>5350</v>
      </c>
      <c r="G30" s="147" t="n">
        <v>1.083375</v>
      </c>
      <c r="H30" s="101" t="inlineStr">
        <is>
          <t>En meta</t>
        </is>
      </c>
      <c r="I30" s="142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2" t="n"/>
      <c r="R30" s="148">
        <f>IF(Q30="","",IF($Q$9="","",IF($Q$9=0,"",Q30/$Q$9)))</f>
        <v/>
      </c>
      <c r="S30" s="144" t="n"/>
      <c r="T30" s="148">
        <f>IF(S30="","",IF($S$9="","",IF($S$9=0,"",S30/$S$9)))</f>
        <v/>
      </c>
      <c r="U30" s="142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49" t="n">
        <v>246.9135802469136</v>
      </c>
      <c r="D31" s="140" t="n"/>
      <c r="E31" s="149" t="n">
        <v>5185.185185185185</v>
      </c>
      <c r="F31" s="149" t="n">
        <v>5350</v>
      </c>
      <c r="G31" s="141" t="n">
        <v>1.031785714285714</v>
      </c>
      <c r="H31" s="100" t="inlineStr">
        <is>
          <t>En meta</t>
        </is>
      </c>
      <c r="I31" s="142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2" t="n"/>
      <c r="R31" s="143">
        <f>IF(Q31="","",IF($Q$9="","",IF($Q$9=0,"",Q31/$Q$9)))</f>
        <v/>
      </c>
      <c r="S31" s="144" t="n"/>
      <c r="T31" s="143">
        <f>IF(S31="","",IF($S$9="","",IF($S$9=0,"",S31/$S$9)))</f>
        <v/>
      </c>
      <c r="U31" s="142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50" t="n">
        <v>246.9135802469136</v>
      </c>
      <c r="D32" s="140" t="n"/>
      <c r="E32" s="150" t="n">
        <v>5432.098765432099</v>
      </c>
      <c r="F32" s="150" t="n">
        <v>5350</v>
      </c>
      <c r="G32" s="147" t="n">
        <v>0.9848863636363636</v>
      </c>
      <c r="H32" s="101" t="inlineStr">
        <is>
          <t>En meta</t>
        </is>
      </c>
      <c r="I32" s="142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2" t="n"/>
      <c r="R32" s="148">
        <f>IF(Q32="","",IF($Q$9="","",IF($Q$9=0,"",Q32/$Q$9)))</f>
        <v/>
      </c>
      <c r="S32" s="144" t="n"/>
      <c r="T32" s="148">
        <f>IF(S32="","",IF($S$9="","",IF($S$9=0,"",S32/$S$9)))</f>
        <v/>
      </c>
      <c r="U32" s="142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49" t="n">
        <v>246.9135802469136</v>
      </c>
      <c r="D33" s="140" t="n"/>
      <c r="E33" s="149" t="n">
        <v>5679.012345679012</v>
      </c>
      <c r="F33" s="149" t="n">
        <v>5350</v>
      </c>
      <c r="G33" s="141" t="n">
        <v>0.9420652173913043</v>
      </c>
      <c r="H33" s="100" t="inlineStr">
        <is>
          <t>Riesgo</t>
        </is>
      </c>
      <c r="I33" s="142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2" t="n"/>
      <c r="R33" s="143">
        <f>IF(Q33="","",IF($Q$9="","",IF($Q$9=0,"",Q33/$Q$9)))</f>
        <v/>
      </c>
      <c r="S33" s="144" t="n"/>
      <c r="T33" s="143">
        <f>IF(S33="","",IF($S$9="","",IF($S$9=0,"",S33/$S$9)))</f>
        <v/>
      </c>
      <c r="U33" s="142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50" t="n">
        <v>246.9135802469136</v>
      </c>
      <c r="D34" s="140" t="n"/>
      <c r="E34" s="150" t="n">
        <v>5925.925925925926</v>
      </c>
      <c r="F34" s="150" t="n">
        <v>5350</v>
      </c>
      <c r="G34" s="147" t="n">
        <v>0.9028125</v>
      </c>
      <c r="H34" s="101" t="inlineStr">
        <is>
          <t>Riesgo</t>
        </is>
      </c>
      <c r="I34" s="142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2" t="n"/>
      <c r="R34" s="148">
        <f>IF(Q34="","",IF($Q$9="","",IF($Q$9=0,"",Q34/$Q$9)))</f>
        <v/>
      </c>
      <c r="S34" s="144" t="n"/>
      <c r="T34" s="148">
        <f>IF(S34="","",IF($S$9="","",IF($S$9=0,"",S34/$S$9)))</f>
        <v/>
      </c>
      <c r="U34" s="142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49" t="n">
        <v>246.9135802469136</v>
      </c>
      <c r="D35" s="140" t="n"/>
      <c r="E35" s="149" t="n">
        <v>6172.83950617284</v>
      </c>
      <c r="F35" s="149" t="n">
        <v>5350</v>
      </c>
      <c r="G35" s="141" t="n">
        <v>0.8666999999999999</v>
      </c>
      <c r="H35" s="100" t="inlineStr">
        <is>
          <t>Riesgo</t>
        </is>
      </c>
      <c r="I35" s="142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2" t="n"/>
      <c r="R35" s="143">
        <f>IF(Q35="","",IF($Q$9="","",IF($Q$9=0,"",Q35/$Q$9)))</f>
        <v/>
      </c>
      <c r="S35" s="144" t="n"/>
      <c r="T35" s="143">
        <f>IF(S35="","",IF($S$9="","",IF($S$9=0,"",S35/$S$9)))</f>
        <v/>
      </c>
      <c r="U35" s="142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50" t="n">
        <v>246.9135802469136</v>
      </c>
      <c r="D36" s="140" t="n"/>
      <c r="E36" s="150" t="n">
        <v>6419.753086419753</v>
      </c>
      <c r="F36" s="150" t="n">
        <v>5350</v>
      </c>
      <c r="G36" s="147" t="n">
        <v>0.8333653846153846</v>
      </c>
      <c r="H36" s="101" t="inlineStr">
        <is>
          <t>Riesgo</t>
        </is>
      </c>
      <c r="I36" s="142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2" t="n"/>
      <c r="R36" s="148">
        <f>IF(Q36="","",IF($Q$9="","",IF($Q$9=0,"",Q36/$Q$9)))</f>
        <v/>
      </c>
      <c r="S36" s="144" t="n"/>
      <c r="T36" s="148">
        <f>IF(S36="","",IF($S$9="","",IF($S$9=0,"",S36/$S$9)))</f>
        <v/>
      </c>
      <c r="U36" s="142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49" t="n">
        <v>246.9135802469136</v>
      </c>
      <c r="D37" s="140" t="n"/>
      <c r="E37" s="149" t="n">
        <v>6666.666666666667</v>
      </c>
      <c r="F37" s="149" t="n">
        <v>5350</v>
      </c>
      <c r="G37" s="141" t="n">
        <v>0.8025</v>
      </c>
      <c r="H37" s="100" t="inlineStr">
        <is>
          <t>Riesgo</t>
        </is>
      </c>
      <c r="I37" s="142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2" t="n"/>
      <c r="R37" s="143">
        <f>IF(Q37="","",IF($Q$9="","",IF($Q$9=0,"",Q37/$Q$9)))</f>
        <v/>
      </c>
      <c r="S37" s="144" t="n"/>
      <c r="T37" s="143">
        <f>IF(S37="","",IF($S$9="","",IF($S$9=0,"",S37/$S$9)))</f>
        <v/>
      </c>
      <c r="U37" s="142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50" t="n">
        <v>246.9135802469136</v>
      </c>
      <c r="D38" s="140" t="n"/>
      <c r="E38" s="150" t="n">
        <v>6913.580246913581</v>
      </c>
      <c r="F38" s="150" t="n">
        <v>5350</v>
      </c>
      <c r="G38" s="147" t="n">
        <v>0.7738392857142857</v>
      </c>
      <c r="H38" s="101" t="inlineStr">
        <is>
          <t>Atrasado</t>
        </is>
      </c>
      <c r="I38" s="142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2" t="n"/>
      <c r="R38" s="148">
        <f>IF(Q38="","",IF($Q$9="","",IF($Q$9=0,"",Q38/$Q$9)))</f>
        <v/>
      </c>
      <c r="S38" s="144" t="n"/>
      <c r="T38" s="148">
        <f>IF(S38="","",IF($S$9="","",IF($S$9=0,"",S38/$S$9)))</f>
        <v/>
      </c>
      <c r="U38" s="142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49" t="n">
        <v>246.9135802469136</v>
      </c>
      <c r="D39" s="140" t="n"/>
      <c r="E39" s="149" t="n">
        <v>7160.493827160494</v>
      </c>
      <c r="F39" s="149" t="n">
        <v>5350</v>
      </c>
      <c r="G39" s="141" t="n">
        <v>0.747155172413793</v>
      </c>
      <c r="H39" s="100" t="inlineStr">
        <is>
          <t>Atrasado</t>
        </is>
      </c>
      <c r="I39" s="142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2" t="n"/>
      <c r="R39" s="143">
        <f>IF(Q39="","",IF($Q$9="","",IF($Q$9=0,"",Q39/$Q$9)))</f>
        <v/>
      </c>
      <c r="S39" s="144" t="n"/>
      <c r="T39" s="143">
        <f>IF(S39="","",IF($S$9="","",IF($S$9=0,"",S39/$S$9)))</f>
        <v/>
      </c>
      <c r="U39" s="142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50" t="n">
        <v>246.9135802469136</v>
      </c>
      <c r="D40" s="140" t="n"/>
      <c r="E40" s="150" t="n">
        <v>7407.407407407408</v>
      </c>
      <c r="F40" s="150" t="n">
        <v>5350</v>
      </c>
      <c r="G40" s="147" t="n">
        <v>0.7222499999999999</v>
      </c>
      <c r="H40" s="101" t="inlineStr">
        <is>
          <t>Atrasado</t>
        </is>
      </c>
      <c r="I40" s="142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2" t="n"/>
      <c r="N40" s="148">
        <f>IF(M40="","",IF($M$9="","",IF($M$9=0,"",M40/$M$9)))</f>
        <v/>
      </c>
      <c r="O40" s="142" t="n"/>
      <c r="P40" s="148">
        <f>IF(O40="","",IF($O$9="","",IF($O$9=0,"",O40/$O$9)))</f>
        <v/>
      </c>
      <c r="Q40" s="142" t="n"/>
      <c r="R40" s="148">
        <f>IF(Q40="","",IF($Q$9="","",IF($Q$9=0,"",Q40/$Q$9)))</f>
        <v/>
      </c>
      <c r="S40" s="144" t="n"/>
      <c r="T40" s="148">
        <f>IF(S40="","",IF($S$9="","",IF($S$9=0,"",S40/$S$9)))</f>
        <v/>
      </c>
      <c r="U40" s="142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49" t="n">
        <v>246.9135802469136</v>
      </c>
      <c r="D41" s="140" t="n"/>
      <c r="E41" s="149" t="n">
        <v>7654.320987654321</v>
      </c>
      <c r="F41" s="149" t="n">
        <v>5350</v>
      </c>
      <c r="G41" s="141" t="n">
        <v>0.6989516129032257</v>
      </c>
      <c r="H41" s="100" t="inlineStr">
        <is>
          <t>Atrasado</t>
        </is>
      </c>
      <c r="I41" s="142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2" t="n"/>
      <c r="N41" s="143">
        <f>IF(M41="","",IF($M$9="","",IF($M$9=0,"",M41/$M$9)))</f>
        <v/>
      </c>
      <c r="O41" s="142" t="n"/>
      <c r="P41" s="143">
        <f>IF(O41="","",IF($O$9="","",IF($O$9=0,"",O41/$O$9)))</f>
        <v/>
      </c>
      <c r="Q41" s="142" t="n"/>
      <c r="R41" s="143">
        <f>IF(Q41="","",IF($Q$9="","",IF($Q$9=0,"",Q41/$Q$9)))</f>
        <v/>
      </c>
      <c r="S41" s="144" t="n"/>
      <c r="T41" s="143">
        <f>IF(S41="","",IF($S$9="","",IF($S$9=0,"",S41/$S$9)))</f>
        <v/>
      </c>
      <c r="U41" s="142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50" t="n">
        <v>246.9135802469136</v>
      </c>
      <c r="D42" s="140" t="n"/>
      <c r="E42" s="150" t="n">
        <v>7901.234567901235</v>
      </c>
      <c r="F42" s="150" t="n">
        <v>5350</v>
      </c>
      <c r="G42" s="147" t="n">
        <v>0.6771093749999999</v>
      </c>
      <c r="H42" s="101" t="inlineStr">
        <is>
          <t>Atrasado</t>
        </is>
      </c>
      <c r="I42" s="142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2" t="n"/>
      <c r="N42" s="148">
        <f>IF(M42="","",IF($M$9="","",IF($M$9=0,"",M42/$M$9)))</f>
        <v/>
      </c>
      <c r="O42" s="142" t="n"/>
      <c r="P42" s="148">
        <f>IF(O42="","",IF($O$9="","",IF($O$9=0,"",O42/$O$9)))</f>
        <v/>
      </c>
      <c r="Q42" s="142" t="n"/>
      <c r="R42" s="148">
        <f>IF(Q42="","",IF($Q$9="","",IF($Q$9=0,"",Q42/$Q$9)))</f>
        <v/>
      </c>
      <c r="S42" s="144" t="n"/>
      <c r="T42" s="148">
        <f>IF(S42="","",IF($S$9="","",IF($S$9=0,"",S42/$S$9)))</f>
        <v/>
      </c>
      <c r="U42" s="142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49" t="n">
        <v>246.9135802469136</v>
      </c>
      <c r="D43" s="140" t="n"/>
      <c r="E43" s="149" t="n">
        <v>8148.148148148149</v>
      </c>
      <c r="F43" s="149" t="n">
        <v>5350</v>
      </c>
      <c r="G43" s="141" t="n">
        <v>0.656590909090909</v>
      </c>
      <c r="H43" s="100" t="inlineStr">
        <is>
          <t>Atrasado</t>
        </is>
      </c>
      <c r="I43" s="142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2" t="n"/>
      <c r="N43" s="143">
        <f>IF(M43="","",IF($M$9="","",IF($M$9=0,"",M43/$M$9)))</f>
        <v/>
      </c>
      <c r="O43" s="142" t="n"/>
      <c r="P43" s="143">
        <f>IF(O43="","",IF($O$9="","",IF($O$9=0,"",O43/$O$9)))</f>
        <v/>
      </c>
      <c r="Q43" s="142" t="n"/>
      <c r="R43" s="143">
        <f>IF(Q43="","",IF($Q$9="","",IF($Q$9=0,"",Q43/$Q$9)))</f>
        <v/>
      </c>
      <c r="S43" s="144" t="n"/>
      <c r="T43" s="143">
        <f>IF(S43="","",IF($S$9="","",IF($S$9=0,"",S43/$S$9)))</f>
        <v/>
      </c>
      <c r="U43" s="142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50" t="n">
        <v>246.9135802469136</v>
      </c>
      <c r="D44" s="140" t="n"/>
      <c r="E44" s="150" t="n">
        <v>8395.061728395061</v>
      </c>
      <c r="F44" s="150" t="n">
        <v>5350</v>
      </c>
      <c r="G44" s="147" t="n">
        <v>0.6372794117647059</v>
      </c>
      <c r="H44" s="101" t="inlineStr">
        <is>
          <t>Atrasado</t>
        </is>
      </c>
      <c r="I44" s="142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2" t="n"/>
      <c r="N44" s="148">
        <f>IF(M44="","",IF($M$9="","",IF($M$9=0,"",M44/$M$9)))</f>
        <v/>
      </c>
      <c r="O44" s="142" t="n"/>
      <c r="P44" s="148">
        <f>IF(O44="","",IF($O$9="","",IF($O$9=0,"",O44/$O$9)))</f>
        <v/>
      </c>
      <c r="Q44" s="142" t="n"/>
      <c r="R44" s="148">
        <f>IF(Q44="","",IF($Q$9="","",IF($Q$9=0,"",Q44/$Q$9)))</f>
        <v/>
      </c>
      <c r="S44" s="144" t="n"/>
      <c r="T44" s="148">
        <f>IF(S44="","",IF($S$9="","",IF($S$9=0,"",S44/$S$9)))</f>
        <v/>
      </c>
      <c r="U44" s="142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49" t="n">
        <v>246.9135802469136</v>
      </c>
      <c r="D45" s="140" t="n"/>
      <c r="E45" s="149" t="n">
        <v>8641.975308641975</v>
      </c>
      <c r="F45" s="149" t="n">
        <v>5350</v>
      </c>
      <c r="G45" s="141" t="n">
        <v>0.6190714285714286</v>
      </c>
      <c r="H45" s="100" t="inlineStr">
        <is>
          <t>Atrasado</t>
        </is>
      </c>
      <c r="I45" s="142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2" t="n"/>
      <c r="N45" s="143">
        <f>IF(M45="","",IF($M$9="","",IF($M$9=0,"",M45/$M$9)))</f>
        <v/>
      </c>
      <c r="O45" s="142" t="n"/>
      <c r="P45" s="143">
        <f>IF(O45="","",IF($O$9="","",IF($O$9=0,"",O45/$O$9)))</f>
        <v/>
      </c>
      <c r="Q45" s="142" t="n"/>
      <c r="R45" s="143">
        <f>IF(Q45="","",IF($Q$9="","",IF($Q$9=0,"",Q45/$Q$9)))</f>
        <v/>
      </c>
      <c r="S45" s="144" t="n"/>
      <c r="T45" s="143">
        <f>IF(S45="","",IF($S$9="","",IF($S$9=0,"",S45/$S$9)))</f>
        <v/>
      </c>
      <c r="U45" s="142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50" t="n">
        <v>246.9135802469136</v>
      </c>
      <c r="D46" s="140" t="n"/>
      <c r="E46" s="150" t="n">
        <v>8888.888888888889</v>
      </c>
      <c r="F46" s="150" t="n">
        <v>5350</v>
      </c>
      <c r="G46" s="147" t="n">
        <v>0.601875</v>
      </c>
      <c r="H46" s="101" t="inlineStr">
        <is>
          <t>Atrasado</t>
        </is>
      </c>
      <c r="I46" s="142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2" t="n"/>
      <c r="N46" s="148">
        <f>IF(M46="","",IF($M$9="","",IF($M$9=0,"",M46/$M$9)))</f>
        <v/>
      </c>
      <c r="O46" s="142" t="n"/>
      <c r="P46" s="148">
        <f>IF(O46="","",IF($O$9="","",IF($O$9=0,"",O46/$O$9)))</f>
        <v/>
      </c>
      <c r="Q46" s="142" t="n"/>
      <c r="R46" s="148">
        <f>IF(Q46="","",IF($Q$9="","",IF($Q$9=0,"",Q46/$Q$9)))</f>
        <v/>
      </c>
      <c r="S46" s="144" t="n"/>
      <c r="T46" s="148">
        <f>IF(S46="","",IF($S$9="","",IF($S$9=0,"",S46/$S$9)))</f>
        <v/>
      </c>
      <c r="U46" s="142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49" t="n">
        <v>246.9135802469136</v>
      </c>
      <c r="D47" s="140" t="n"/>
      <c r="E47" s="149" t="n">
        <v>9135.802469135802</v>
      </c>
      <c r="F47" s="149" t="n">
        <v>5350</v>
      </c>
      <c r="G47" s="141" t="n">
        <v>0.5856081081081081</v>
      </c>
      <c r="H47" s="100" t="inlineStr">
        <is>
          <t>Atrasado</t>
        </is>
      </c>
      <c r="I47" s="142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2" t="n"/>
      <c r="N47" s="143">
        <f>IF(M47="","",IF($M$9="","",IF($M$9=0,"",M47/$M$9)))</f>
        <v/>
      </c>
      <c r="O47" s="142" t="n"/>
      <c r="P47" s="143">
        <f>IF(O47="","",IF($O$9="","",IF($O$9=0,"",O47/$O$9)))</f>
        <v/>
      </c>
      <c r="Q47" s="142" t="n"/>
      <c r="R47" s="143">
        <f>IF(Q47="","",IF($Q$9="","",IF($Q$9=0,"",Q47/$Q$9)))</f>
        <v/>
      </c>
      <c r="S47" s="144" t="n"/>
      <c r="T47" s="143">
        <f>IF(S47="","",IF($S$9="","",IF($S$9=0,"",S47/$S$9)))</f>
        <v/>
      </c>
      <c r="U47" s="142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50" t="n">
        <v>246.9135802469136</v>
      </c>
      <c r="D48" s="140" t="n"/>
      <c r="E48" s="150" t="n">
        <v>9382.716049382716</v>
      </c>
      <c r="F48" s="150" t="n">
        <v>5350</v>
      </c>
      <c r="G48" s="147" t="n">
        <v>0.5701973684210526</v>
      </c>
      <c r="H48" s="101" t="inlineStr">
        <is>
          <t>Atrasado</t>
        </is>
      </c>
      <c r="I48" s="142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2" t="n"/>
      <c r="N48" s="148">
        <f>IF(M48="","",IF($M$9="","",IF($M$9=0,"",M48/$M$9)))</f>
        <v/>
      </c>
      <c r="O48" s="142" t="n"/>
      <c r="P48" s="148">
        <f>IF(O48="","",IF($O$9="","",IF($O$9=0,"",O48/$O$9)))</f>
        <v/>
      </c>
      <c r="Q48" s="142" t="n"/>
      <c r="R48" s="148">
        <f>IF(Q48="","",IF($Q$9="","",IF($Q$9=0,"",Q48/$Q$9)))</f>
        <v/>
      </c>
      <c r="S48" s="144" t="n"/>
      <c r="T48" s="148">
        <f>IF(S48="","",IF($S$9="","",IF($S$9=0,"",S48/$S$9)))</f>
        <v/>
      </c>
      <c r="U48" s="142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49" t="n">
        <v>246.9135802469136</v>
      </c>
      <c r="D49" s="140" t="n"/>
      <c r="E49" s="149" t="n">
        <v>9629.62962962963</v>
      </c>
      <c r="F49" s="149" t="n">
        <v>5350</v>
      </c>
      <c r="G49" s="141" t="n">
        <v>0.5555769230769231</v>
      </c>
      <c r="H49" s="100" t="inlineStr">
        <is>
          <t>Atrasado</t>
        </is>
      </c>
      <c r="I49" s="142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2" t="n"/>
      <c r="N49" s="143">
        <f>IF(M49="","",IF($M$9="","",IF($M$9=0,"",M49/$M$9)))</f>
        <v/>
      </c>
      <c r="O49" s="142" t="n"/>
      <c r="P49" s="143">
        <f>IF(O49="","",IF($O$9="","",IF($O$9=0,"",O49/$O$9)))</f>
        <v/>
      </c>
      <c r="Q49" s="142" t="n"/>
      <c r="R49" s="143">
        <f>IF(Q49="","",IF($Q$9="","",IF($Q$9=0,"",Q49/$Q$9)))</f>
        <v/>
      </c>
      <c r="S49" s="144" t="n"/>
      <c r="T49" s="143">
        <f>IF(S49="","",IF($S$9="","",IF($S$9=0,"",S49/$S$9)))</f>
        <v/>
      </c>
      <c r="U49" s="142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50" t="n">
        <v>246.9135802469136</v>
      </c>
      <c r="D50" s="140" t="n"/>
      <c r="E50" s="150" t="n">
        <v>9876.543209876543</v>
      </c>
      <c r="F50" s="150" t="n">
        <v>5350</v>
      </c>
      <c r="G50" s="147" t="n">
        <v>0.5416875</v>
      </c>
      <c r="H50" s="101" t="inlineStr">
        <is>
          <t>Atrasado</t>
        </is>
      </c>
      <c r="I50" s="142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2" t="n"/>
      <c r="N50" s="148">
        <f>IF(M50="","",IF($M$9="","",IF($M$9=0,"",M50/$M$9)))</f>
        <v/>
      </c>
      <c r="O50" s="142" t="n"/>
      <c r="P50" s="148">
        <f>IF(O50="","",IF($O$9="","",IF($O$9=0,"",O50/$O$9)))</f>
        <v/>
      </c>
      <c r="Q50" s="142" t="n"/>
      <c r="R50" s="148">
        <f>IF(Q50="","",IF($Q$9="","",IF($Q$9=0,"",Q50/$Q$9)))</f>
        <v/>
      </c>
      <c r="S50" s="144" t="n"/>
      <c r="T50" s="148">
        <f>IF(S50="","",IF($S$9="","",IF($S$9=0,"",S50/$S$9)))</f>
        <v/>
      </c>
      <c r="U50" s="142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49" t="n">
        <v>246.9135802469136</v>
      </c>
      <c r="D51" s="140" t="n"/>
      <c r="E51" s="149" t="n">
        <v>10123.45679012346</v>
      </c>
      <c r="F51" s="149" t="n">
        <v>5350</v>
      </c>
      <c r="G51" s="141" t="n">
        <v>0.5284756097560975</v>
      </c>
      <c r="H51" s="100" t="inlineStr">
        <is>
          <t>Atrasado</t>
        </is>
      </c>
      <c r="I51" s="142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2" t="n"/>
      <c r="N51" s="143">
        <f>IF(M51="","",IF($M$9="","",IF($M$9=0,"",M51/$M$9)))</f>
        <v/>
      </c>
      <c r="O51" s="142" t="n"/>
      <c r="P51" s="143">
        <f>IF(O51="","",IF($O$9="","",IF($O$9=0,"",O51/$O$9)))</f>
        <v/>
      </c>
      <c r="Q51" s="142" t="n"/>
      <c r="R51" s="143">
        <f>IF(Q51="","",IF($Q$9="","",IF($Q$9=0,"",Q51/$Q$9)))</f>
        <v/>
      </c>
      <c r="S51" s="144" t="n"/>
      <c r="T51" s="143">
        <f>IF(S51="","",IF($S$9="","",IF($S$9=0,"",S51/$S$9)))</f>
        <v/>
      </c>
      <c r="U51" s="142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50" t="n">
        <v>246.9135802469136</v>
      </c>
      <c r="D52" s="140" t="n"/>
      <c r="E52" s="150" t="n">
        <v>10370.37037037037</v>
      </c>
      <c r="F52" s="150" t="n">
        <v>5350</v>
      </c>
      <c r="G52" s="147" t="n">
        <v>0.5158928571428572</v>
      </c>
      <c r="H52" s="101" t="inlineStr">
        <is>
          <t>Atrasado</t>
        </is>
      </c>
      <c r="I52" s="142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2" t="n"/>
      <c r="N52" s="148">
        <f>IF(M52="","",IF($M$9="","",IF($M$9=0,"",M52/$M$9)))</f>
        <v/>
      </c>
      <c r="O52" s="142" t="n"/>
      <c r="P52" s="148">
        <f>IF(O52="","",IF($O$9="","",IF($O$9=0,"",O52/$O$9)))</f>
        <v/>
      </c>
      <c r="Q52" s="142" t="n"/>
      <c r="R52" s="148">
        <f>IF(Q52="","",IF($Q$9="","",IF($Q$9=0,"",Q52/$Q$9)))</f>
        <v/>
      </c>
      <c r="S52" s="144" t="n"/>
      <c r="T52" s="148">
        <f>IF(S52="","",IF($S$9="","",IF($S$9=0,"",S52/$S$9)))</f>
        <v/>
      </c>
      <c r="U52" s="142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 ht="15" customHeight="1" s="87">
      <c r="A53" s="92" t="n">
        <v>43</v>
      </c>
      <c r="B53" s="138" t="n">
        <v>46482</v>
      </c>
      <c r="C53" s="149" t="n">
        <v>246.9135802469136</v>
      </c>
      <c r="D53" s="140" t="n"/>
      <c r="E53" s="149" t="n">
        <v>10617.28395061728</v>
      </c>
      <c r="F53" s="149" t="n">
        <v>5350</v>
      </c>
      <c r="G53" s="141" t="n">
        <v>0.5038953488372093</v>
      </c>
      <c r="H53" s="100" t="inlineStr">
        <is>
          <t>Atrasado</t>
        </is>
      </c>
      <c r="I53" s="142" t="n"/>
      <c r="J53" s="143">
        <f>IF(I53="","",IF($I$9="","",IF($I$9=0,"",I53/$I$9)))</f>
        <v/>
      </c>
      <c r="K53" s="142" t="n"/>
      <c r="L53" s="143">
        <f>IF(K53="","",IF($K$9="","",IF($K$9=0,"",K53/$K$9)))</f>
        <v/>
      </c>
      <c r="M53" s="142" t="n"/>
      <c r="N53" s="143">
        <f>IF(M53="","",IF($M$9="","",IF($M$9=0,"",M53/$M$9)))</f>
        <v/>
      </c>
      <c r="O53" s="142" t="n"/>
      <c r="P53" s="143">
        <f>IF(O53="","",IF($O$9="","",IF($O$9=0,"",O53/$O$9)))</f>
        <v/>
      </c>
      <c r="Q53" s="142" t="n"/>
      <c r="R53" s="143">
        <f>IF(Q53="","",IF($Q$9="","",IF($Q$9=0,"",Q53/$Q$9)))</f>
        <v/>
      </c>
      <c r="S53" s="144" t="n"/>
      <c r="T53" s="143">
        <f>IF(S53="","",IF($S$9="","",IF($S$9=0,"",S53/$S$9)))</f>
        <v/>
      </c>
      <c r="U53" s="142" t="n"/>
      <c r="V53" s="143">
        <f>IF(U53="","",IF($U$9="","",IF($U$9=0,"",U53/$U$9)))</f>
        <v/>
      </c>
      <c r="W53" s="142" t="n"/>
      <c r="X53" s="143">
        <f>IF(W53="","",IF($W$9="","",IF($W$9=0,"",W53/$W$9)))</f>
        <v/>
      </c>
    </row>
    <row r="54" ht="15" customHeight="1" s="87">
      <c r="A54" s="115" t="n">
        <v>44</v>
      </c>
      <c r="B54" s="145" t="n">
        <v>46489</v>
      </c>
      <c r="C54" s="150" t="n">
        <v>246.9135802469136</v>
      </c>
      <c r="D54" s="140" t="n"/>
      <c r="E54" s="150" t="n">
        <v>10864.1975308642</v>
      </c>
      <c r="F54" s="150" t="n">
        <v>5350</v>
      </c>
      <c r="G54" s="147" t="n">
        <v>0.4924431818181818</v>
      </c>
      <c r="H54" s="101" t="inlineStr">
        <is>
          <t>Atrasado</t>
        </is>
      </c>
      <c r="I54" s="142" t="n"/>
      <c r="J54" s="148">
        <f>IF(I54="","",IF($I$9="","",IF($I$9=0,"",I54/$I$9)))</f>
        <v/>
      </c>
      <c r="K54" s="142" t="n"/>
      <c r="L54" s="148">
        <f>IF(K54="","",IF($K$9="","",IF($K$9=0,"",K54/$K$9)))</f>
        <v/>
      </c>
      <c r="M54" s="142" t="n"/>
      <c r="N54" s="148">
        <f>IF(M54="","",IF($M$9="","",IF($M$9=0,"",M54/$M$9)))</f>
        <v/>
      </c>
      <c r="O54" s="142" t="n"/>
      <c r="P54" s="148">
        <f>IF(O54="","",IF($O$9="","",IF($O$9=0,"",O54/$O$9)))</f>
        <v/>
      </c>
      <c r="Q54" s="142" t="n"/>
      <c r="R54" s="148">
        <f>IF(Q54="","",IF($Q$9="","",IF($Q$9=0,"",Q54/$Q$9)))</f>
        <v/>
      </c>
      <c r="S54" s="144" t="n"/>
      <c r="T54" s="148">
        <f>IF(S54="","",IF($S$9="","",IF($S$9=0,"",S54/$S$9)))</f>
        <v/>
      </c>
      <c r="U54" s="142" t="n"/>
      <c r="V54" s="148">
        <f>IF(U54="","",IF($U$9="","",IF($U$9=0,"",U54/$U$9)))</f>
        <v/>
      </c>
      <c r="W54" s="142" t="n"/>
      <c r="X54" s="148">
        <f>IF(W54="","",IF($W$9="","",IF($W$9=0,"",W54/$W$9)))</f>
        <v/>
      </c>
    </row>
    <row r="55" ht="15" customHeight="1" s="87">
      <c r="A55" s="92" t="n">
        <v>45</v>
      </c>
      <c r="B55" s="138" t="n">
        <v>46496</v>
      </c>
      <c r="C55" s="149" t="n">
        <v>246.9135802469136</v>
      </c>
      <c r="D55" s="140" t="n"/>
      <c r="E55" s="149" t="n">
        <v>11111.11111111111</v>
      </c>
      <c r="F55" s="149" t="n">
        <v>5350</v>
      </c>
      <c r="G55" s="141" t="n">
        <v>0.4815</v>
      </c>
      <c r="H55" s="100" t="inlineStr">
        <is>
          <t>Atrasado</t>
        </is>
      </c>
      <c r="I55" s="142" t="n"/>
      <c r="J55" s="143">
        <f>IF(I55="","",IF($I$9="","",IF($I$9=0,"",I55/$I$9)))</f>
        <v/>
      </c>
      <c r="K55" s="142" t="n"/>
      <c r="L55" s="143">
        <f>IF(K55="","",IF($K$9="","",IF($K$9=0,"",K55/$K$9)))</f>
        <v/>
      </c>
      <c r="M55" s="142" t="n"/>
      <c r="N55" s="143">
        <f>IF(M55="","",IF($M$9="","",IF($M$9=0,"",M55/$M$9)))</f>
        <v/>
      </c>
      <c r="O55" s="142" t="n"/>
      <c r="P55" s="143">
        <f>IF(O55="","",IF($O$9="","",IF($O$9=0,"",O55/$O$9)))</f>
        <v/>
      </c>
      <c r="Q55" s="142" t="n"/>
      <c r="R55" s="143">
        <f>IF(Q55="","",IF($Q$9="","",IF($Q$9=0,"",Q55/$Q$9)))</f>
        <v/>
      </c>
      <c r="S55" s="144" t="n"/>
      <c r="T55" s="143">
        <f>IF(S55="","",IF($S$9="","",IF($S$9=0,"",S55/$S$9)))</f>
        <v/>
      </c>
      <c r="U55" s="142" t="n"/>
      <c r="V55" s="143">
        <f>IF(U55="","",IF($U$9="","",IF($U$9=0,"",U55/$U$9)))</f>
        <v/>
      </c>
      <c r="W55" s="142" t="n"/>
      <c r="X55" s="143">
        <f>IF(W55="","",IF($W$9="","",IF($W$9=0,"",W55/$W$9)))</f>
        <v/>
      </c>
    </row>
    <row r="56" ht="15" customHeight="1" s="87">
      <c r="A56" s="115" t="n">
        <v>46</v>
      </c>
      <c r="B56" s="145" t="n">
        <v>46503</v>
      </c>
      <c r="C56" s="150" t="n">
        <v>246.9135802469136</v>
      </c>
      <c r="D56" s="140" t="n"/>
      <c r="E56" s="150" t="n">
        <v>11358.02469135802</v>
      </c>
      <c r="F56" s="150" t="n">
        <v>5350</v>
      </c>
      <c r="G56" s="147" t="n">
        <v>0.4710326086956522</v>
      </c>
      <c r="H56" s="101" t="inlineStr">
        <is>
          <t>Atrasado</t>
        </is>
      </c>
      <c r="I56" s="142" t="n"/>
      <c r="J56" s="148">
        <f>IF(I56="","",IF($I$9="","",IF($I$9=0,"",I56/$I$9)))</f>
        <v/>
      </c>
      <c r="K56" s="142" t="n"/>
      <c r="L56" s="148">
        <f>IF(K56="","",IF($K$9="","",IF($K$9=0,"",K56/$K$9)))</f>
        <v/>
      </c>
      <c r="M56" s="142" t="n"/>
      <c r="N56" s="148">
        <f>IF(M56="","",IF($M$9="","",IF($M$9=0,"",M56/$M$9)))</f>
        <v/>
      </c>
      <c r="O56" s="142" t="n"/>
      <c r="P56" s="148">
        <f>IF(O56="","",IF($O$9="","",IF($O$9=0,"",O56/$O$9)))</f>
        <v/>
      </c>
      <c r="Q56" s="142" t="n"/>
      <c r="R56" s="148">
        <f>IF(Q56="","",IF($Q$9="","",IF($Q$9=0,"",Q56/$Q$9)))</f>
        <v/>
      </c>
      <c r="S56" s="144" t="n"/>
      <c r="T56" s="148">
        <f>IF(S56="","",IF($S$9="","",IF($S$9=0,"",S56/$S$9)))</f>
        <v/>
      </c>
      <c r="U56" s="142" t="n"/>
      <c r="V56" s="148">
        <f>IF(U56="","",IF($U$9="","",IF($U$9=0,"",U56/$U$9)))</f>
        <v/>
      </c>
      <c r="W56" s="142" t="n"/>
      <c r="X56" s="148">
        <f>IF(W56="","",IF($W$9="","",IF($W$9=0,"",W56/$W$9)))</f>
        <v/>
      </c>
    </row>
    <row r="57" ht="15" customHeight="1" s="87">
      <c r="A57" s="92" t="n">
        <v>47</v>
      </c>
      <c r="B57" s="138" t="n">
        <v>46510</v>
      </c>
      <c r="C57" s="149" t="n">
        <v>246.9135802469136</v>
      </c>
      <c r="D57" s="140" t="n"/>
      <c r="E57" s="149" t="n">
        <v>11604.93827160494</v>
      </c>
      <c r="F57" s="149" t="n">
        <v>5350</v>
      </c>
      <c r="G57" s="141" t="n">
        <v>0.4610106382978723</v>
      </c>
      <c r="H57" s="100" t="inlineStr">
        <is>
          <t>Atrasado</t>
        </is>
      </c>
      <c r="I57" s="142" t="n"/>
      <c r="J57" s="143">
        <f>IF(I57="","",IF($I$9="","",IF($I$9=0,"",I57/$I$9)))</f>
        <v/>
      </c>
      <c r="K57" s="142" t="n"/>
      <c r="L57" s="143">
        <f>IF(K57="","",IF($K$9="","",IF($K$9=0,"",K57/$K$9)))</f>
        <v/>
      </c>
      <c r="M57" s="142" t="n"/>
      <c r="N57" s="143">
        <f>IF(M57="","",IF($M$9="","",IF($M$9=0,"",M57/$M$9)))</f>
        <v/>
      </c>
      <c r="O57" s="142" t="n"/>
      <c r="P57" s="143">
        <f>IF(O57="","",IF($O$9="","",IF($O$9=0,"",O57/$O$9)))</f>
        <v/>
      </c>
      <c r="Q57" s="142" t="n"/>
      <c r="R57" s="143">
        <f>IF(Q57="","",IF($Q$9="","",IF($Q$9=0,"",Q57/$Q$9)))</f>
        <v/>
      </c>
      <c r="S57" s="144" t="n"/>
      <c r="T57" s="143">
        <f>IF(S57="","",IF($S$9="","",IF($S$9=0,"",S57/$S$9)))</f>
        <v/>
      </c>
      <c r="U57" s="142" t="n"/>
      <c r="V57" s="143">
        <f>IF(U57="","",IF($U$9="","",IF($U$9=0,"",U57/$U$9)))</f>
        <v/>
      </c>
      <c r="W57" s="142" t="n"/>
      <c r="X57" s="143">
        <f>IF(W57="","",IF($W$9="","",IF($W$9=0,"",W57/$W$9)))</f>
        <v/>
      </c>
    </row>
    <row r="58" ht="15" customHeight="1" s="87">
      <c r="A58" s="115" t="n">
        <v>48</v>
      </c>
      <c r="B58" s="145" t="n">
        <v>46517</v>
      </c>
      <c r="C58" s="150" t="n">
        <v>246.9135802469136</v>
      </c>
      <c r="D58" s="140" t="n"/>
      <c r="E58" s="150" t="n">
        <v>11851.85185185185</v>
      </c>
      <c r="F58" s="150" t="n">
        <v>5350</v>
      </c>
      <c r="G58" s="147" t="n">
        <v>0.45140625</v>
      </c>
      <c r="H58" s="101" t="inlineStr">
        <is>
          <t>Atrasado</t>
        </is>
      </c>
      <c r="I58" s="142" t="n"/>
      <c r="J58" s="148">
        <f>IF(I58="","",IF($I$9="","",IF($I$9=0,"",I58/$I$9)))</f>
        <v/>
      </c>
      <c r="K58" s="142" t="n"/>
      <c r="L58" s="148">
        <f>IF(K58="","",IF($K$9="","",IF($K$9=0,"",K58/$K$9)))</f>
        <v/>
      </c>
      <c r="M58" s="142" t="n"/>
      <c r="N58" s="148">
        <f>IF(M58="","",IF($M$9="","",IF($M$9=0,"",M58/$M$9)))</f>
        <v/>
      </c>
      <c r="O58" s="142" t="n"/>
      <c r="P58" s="148">
        <f>IF(O58="","",IF($O$9="","",IF($O$9=0,"",O58/$O$9)))</f>
        <v/>
      </c>
      <c r="Q58" s="142" t="n"/>
      <c r="R58" s="148">
        <f>IF(Q58="","",IF($Q$9="","",IF($Q$9=0,"",Q58/$Q$9)))</f>
        <v/>
      </c>
      <c r="S58" s="144" t="n"/>
      <c r="T58" s="148">
        <f>IF(S58="","",IF($S$9="","",IF($S$9=0,"",S58/$S$9)))</f>
        <v/>
      </c>
      <c r="U58" s="142" t="n"/>
      <c r="V58" s="148">
        <f>IF(U58="","",IF($U$9="","",IF($U$9=0,"",U58/$U$9)))</f>
        <v/>
      </c>
      <c r="W58" s="142" t="n"/>
      <c r="X58" s="148">
        <f>IF(W58="","",IF($W$9="","",IF($W$9=0,"",W58/$W$9)))</f>
        <v/>
      </c>
    </row>
    <row r="59" ht="15" customHeight="1" s="87">
      <c r="A59" s="92" t="n">
        <v>49</v>
      </c>
      <c r="B59" s="138" t="n">
        <v>46524</v>
      </c>
      <c r="C59" s="149" t="n">
        <v>246.9135802469136</v>
      </c>
      <c r="D59" s="140" t="n"/>
      <c r="E59" s="149" t="n">
        <v>12098.76543209877</v>
      </c>
      <c r="F59" s="149" t="n">
        <v>5350</v>
      </c>
      <c r="G59" s="141" t="n">
        <v>0.4421938775510204</v>
      </c>
      <c r="H59" s="100" t="inlineStr">
        <is>
          <t>Atrasado</t>
        </is>
      </c>
      <c r="I59" s="142" t="n"/>
      <c r="J59" s="143">
        <f>IF(I59="","",IF($I$9="","",IF($I$9=0,"",I59/$I$9)))</f>
        <v/>
      </c>
      <c r="K59" s="142" t="n"/>
      <c r="L59" s="143">
        <f>IF(K59="","",IF($K$9="","",IF($K$9=0,"",K59/$K$9)))</f>
        <v/>
      </c>
      <c r="M59" s="142" t="n"/>
      <c r="N59" s="143">
        <f>IF(M59="","",IF($M$9="","",IF($M$9=0,"",M59/$M$9)))</f>
        <v/>
      </c>
      <c r="O59" s="142" t="n"/>
      <c r="P59" s="143">
        <f>IF(O59="","",IF($O$9="","",IF($O$9=0,"",O59/$O$9)))</f>
        <v/>
      </c>
      <c r="Q59" s="142" t="n"/>
      <c r="R59" s="143">
        <f>IF(Q59="","",IF($Q$9="","",IF($Q$9=0,"",Q59/$Q$9)))</f>
        <v/>
      </c>
      <c r="S59" s="144" t="n"/>
      <c r="T59" s="143">
        <f>IF(S59="","",IF($S$9="","",IF($S$9=0,"",S59/$S$9)))</f>
        <v/>
      </c>
      <c r="U59" s="142" t="n"/>
      <c r="V59" s="143">
        <f>IF(U59="","",IF($U$9="","",IF($U$9=0,"",U59/$U$9)))</f>
        <v/>
      </c>
      <c r="W59" s="142" t="n"/>
      <c r="X59" s="143">
        <f>IF(W59="","",IF($W$9="","",IF($W$9=0,"",W59/$W$9)))</f>
        <v/>
      </c>
    </row>
    <row r="60" ht="15" customHeight="1" s="87">
      <c r="A60" s="115" t="n">
        <v>50</v>
      </c>
      <c r="B60" s="145" t="n">
        <v>46531</v>
      </c>
      <c r="C60" s="150" t="n">
        <v>246.9135802469136</v>
      </c>
      <c r="D60" s="140" t="n"/>
      <c r="E60" s="150" t="n">
        <v>12345.67901234568</v>
      </c>
      <c r="F60" s="150" t="n">
        <v>5350</v>
      </c>
      <c r="G60" s="147" t="n">
        <v>0.43335</v>
      </c>
      <c r="H60" s="101" t="inlineStr">
        <is>
          <t>Atrasado</t>
        </is>
      </c>
      <c r="I60" s="142" t="n"/>
      <c r="J60" s="148">
        <f>IF(I60="","",IF($I$9="","",IF($I$9=0,"",I60/$I$9)))</f>
        <v/>
      </c>
      <c r="K60" s="142" t="n"/>
      <c r="L60" s="148">
        <f>IF(K60="","",IF($K$9="","",IF($K$9=0,"",K60/$K$9)))</f>
        <v/>
      </c>
      <c r="M60" s="142" t="n"/>
      <c r="N60" s="148">
        <f>IF(M60="","",IF($M$9="","",IF($M$9=0,"",M60/$M$9)))</f>
        <v/>
      </c>
      <c r="O60" s="142" t="n"/>
      <c r="P60" s="148">
        <f>IF(O60="","",IF($O$9="","",IF($O$9=0,"",O60/$O$9)))</f>
        <v/>
      </c>
      <c r="Q60" s="142" t="n"/>
      <c r="R60" s="148">
        <f>IF(Q60="","",IF($Q$9="","",IF($Q$9=0,"",Q60/$Q$9)))</f>
        <v/>
      </c>
      <c r="S60" s="144" t="n"/>
      <c r="T60" s="148">
        <f>IF(S60="","",IF($S$9="","",IF($S$9=0,"",S60/$S$9)))</f>
        <v/>
      </c>
      <c r="U60" s="142" t="n"/>
      <c r="V60" s="148">
        <f>IF(U60="","",IF($U$9="","",IF($U$9=0,"",U60/$U$9)))</f>
        <v/>
      </c>
      <c r="W60" s="142" t="n"/>
      <c r="X60" s="148">
        <f>IF(W60="","",IF($W$9="","",IF($W$9=0,"",W60/$W$9)))</f>
        <v/>
      </c>
    </row>
    <row r="61" ht="15" customHeight="1" s="87">
      <c r="A61" s="92" t="n">
        <v>51</v>
      </c>
      <c r="B61" s="138" t="n">
        <v>46538</v>
      </c>
      <c r="C61" s="149" t="n">
        <v>246.9135802469136</v>
      </c>
      <c r="D61" s="140" t="n"/>
      <c r="E61" s="149" t="n">
        <v>12592.59259259259</v>
      </c>
      <c r="F61" s="149" t="n">
        <v>5350</v>
      </c>
      <c r="G61" s="141" t="n">
        <v>0.4248529411764706</v>
      </c>
      <c r="H61" s="100" t="inlineStr">
        <is>
          <t>Atrasado</t>
        </is>
      </c>
      <c r="I61" s="142" t="n"/>
      <c r="J61" s="143">
        <f>IF(I61="","",IF($I$9="","",IF($I$9=0,"",I61/$I$9)))</f>
        <v/>
      </c>
      <c r="K61" s="142" t="n"/>
      <c r="L61" s="143">
        <f>IF(K61="","",IF($K$9="","",IF($K$9=0,"",K61/$K$9)))</f>
        <v/>
      </c>
      <c r="M61" s="142" t="n"/>
      <c r="N61" s="143">
        <f>IF(M61="","",IF($M$9="","",IF($M$9=0,"",M61/$M$9)))</f>
        <v/>
      </c>
      <c r="O61" s="142" t="n"/>
      <c r="P61" s="143">
        <f>IF(O61="","",IF($O$9="","",IF($O$9=0,"",O61/$O$9)))</f>
        <v/>
      </c>
      <c r="Q61" s="142" t="n"/>
      <c r="R61" s="143">
        <f>IF(Q61="","",IF($Q$9="","",IF($Q$9=0,"",Q61/$Q$9)))</f>
        <v/>
      </c>
      <c r="S61" s="144" t="n"/>
      <c r="T61" s="143">
        <f>IF(S61="","",IF($S$9="","",IF($S$9=0,"",S61/$S$9)))</f>
        <v/>
      </c>
      <c r="U61" s="142" t="n"/>
      <c r="V61" s="143">
        <f>IF(U61="","",IF($U$9="","",IF($U$9=0,"",U61/$U$9)))</f>
        <v/>
      </c>
      <c r="W61" s="142" t="n"/>
      <c r="X61" s="143">
        <f>IF(W61="","",IF($W$9="","",IF($W$9=0,"",W61/$W$9)))</f>
        <v/>
      </c>
    </row>
    <row r="62" ht="15" customHeight="1" s="87">
      <c r="A62" s="115" t="n">
        <v>52</v>
      </c>
      <c r="B62" s="145" t="n">
        <v>46545</v>
      </c>
      <c r="C62" s="150" t="n">
        <v>246.9135802469136</v>
      </c>
      <c r="D62" s="140" t="n"/>
      <c r="E62" s="150" t="n">
        <v>12839.50617283951</v>
      </c>
      <c r="F62" s="150" t="n">
        <v>5350</v>
      </c>
      <c r="G62" s="147" t="n">
        <v>0.4166826923076923</v>
      </c>
      <c r="H62" s="101" t="inlineStr">
        <is>
          <t>Atrasado</t>
        </is>
      </c>
      <c r="I62" s="142" t="n"/>
      <c r="J62" s="148">
        <f>IF(I62="","",IF($I$9="","",IF($I$9=0,"",I62/$I$9)))</f>
        <v/>
      </c>
      <c r="K62" s="142" t="n"/>
      <c r="L62" s="148">
        <f>IF(K62="","",IF($K$9="","",IF($K$9=0,"",K62/$K$9)))</f>
        <v/>
      </c>
      <c r="M62" s="142" t="n"/>
      <c r="N62" s="148">
        <f>IF(M62="","",IF($M$9="","",IF($M$9=0,"",M62/$M$9)))</f>
        <v/>
      </c>
      <c r="O62" s="142" t="n"/>
      <c r="P62" s="148">
        <f>IF(O62="","",IF($O$9="","",IF($O$9=0,"",O62/$O$9)))</f>
        <v/>
      </c>
      <c r="Q62" s="142" t="n"/>
      <c r="R62" s="148">
        <f>IF(Q62="","",IF($Q$9="","",IF($Q$9=0,"",Q62/$Q$9)))</f>
        <v/>
      </c>
      <c r="S62" s="144" t="n"/>
      <c r="T62" s="148">
        <f>IF(S62="","",IF($S$9="","",IF($S$9=0,"",S62/$S$9)))</f>
        <v/>
      </c>
      <c r="U62" s="142" t="n"/>
      <c r="V62" s="148">
        <f>IF(U62="","",IF($U$9="","",IF($U$9=0,"",U62/$U$9)))</f>
        <v/>
      </c>
      <c r="W62" s="142" t="n"/>
      <c r="X62" s="148">
        <f>IF(W62="","",IF($W$9="","",IF($W$9=0,"",W62/$W$9)))</f>
        <v/>
      </c>
    </row>
    <row r="63" ht="15" customHeight="1" s="87">
      <c r="A63" s="92" t="n">
        <v>53</v>
      </c>
      <c r="B63" s="138" t="n">
        <v>46552</v>
      </c>
      <c r="C63" s="149" t="n">
        <v>246.9135802469136</v>
      </c>
      <c r="D63" s="140" t="n"/>
      <c r="E63" s="149" t="n">
        <v>13086.41975308642</v>
      </c>
      <c r="F63" s="149" t="n">
        <v>5350</v>
      </c>
      <c r="G63" s="141" t="n">
        <v>0.4088207547169811</v>
      </c>
      <c r="H63" s="100" t="inlineStr">
        <is>
          <t>Atrasado</t>
        </is>
      </c>
      <c r="I63" s="142" t="n"/>
      <c r="J63" s="143">
        <f>IF(I63="","",IF($I$9="","",IF($I$9=0,"",I63/$I$9)))</f>
        <v/>
      </c>
      <c r="K63" s="142" t="n"/>
      <c r="L63" s="143">
        <f>IF(K63="","",IF($K$9="","",IF($K$9=0,"",K63/$K$9)))</f>
        <v/>
      </c>
      <c r="M63" s="142" t="n"/>
      <c r="N63" s="143">
        <f>IF(M63="","",IF($M$9="","",IF($M$9=0,"",M63/$M$9)))</f>
        <v/>
      </c>
      <c r="O63" s="142" t="n"/>
      <c r="P63" s="143">
        <f>IF(O63="","",IF($O$9="","",IF($O$9=0,"",O63/$O$9)))</f>
        <v/>
      </c>
      <c r="Q63" s="142" t="n"/>
      <c r="R63" s="143">
        <f>IF(Q63="","",IF($Q$9="","",IF($Q$9=0,"",Q63/$Q$9)))</f>
        <v/>
      </c>
      <c r="S63" s="144" t="n"/>
      <c r="T63" s="143">
        <f>IF(S63="","",IF($S$9="","",IF($S$9=0,"",S63/$S$9)))</f>
        <v/>
      </c>
      <c r="U63" s="142" t="n"/>
      <c r="V63" s="143">
        <f>IF(U63="","",IF($U$9="","",IF($U$9=0,"",U63/$U$9)))</f>
        <v/>
      </c>
      <c r="W63" s="142" t="n"/>
      <c r="X63" s="143">
        <f>IF(W63="","",IF($W$9="","",IF($W$9=0,"",W63/$W$9)))</f>
        <v/>
      </c>
    </row>
    <row r="64" ht="15" customHeight="1" s="87">
      <c r="A64" s="115" t="n">
        <v>54</v>
      </c>
      <c r="B64" s="145" t="n">
        <v>46559</v>
      </c>
      <c r="C64" s="150" t="n">
        <v>246.9135802469136</v>
      </c>
      <c r="D64" s="140" t="n"/>
      <c r="E64" s="150" t="n">
        <v>13333.33333333333</v>
      </c>
      <c r="F64" s="150" t="n">
        <v>5350</v>
      </c>
      <c r="G64" s="147" t="n">
        <v>0.40125</v>
      </c>
      <c r="H64" s="101" t="inlineStr">
        <is>
          <t>Atrasado</t>
        </is>
      </c>
      <c r="I64" s="142" t="n"/>
      <c r="J64" s="148">
        <f>IF(I64="","",IF($I$9="","",IF($I$9=0,"",I64/$I$9)))</f>
        <v/>
      </c>
      <c r="K64" s="142" t="n"/>
      <c r="L64" s="148">
        <f>IF(K64="","",IF($K$9="","",IF($K$9=0,"",K64/$K$9)))</f>
        <v/>
      </c>
      <c r="M64" s="142" t="n"/>
      <c r="N64" s="148">
        <f>IF(M64="","",IF($M$9="","",IF($M$9=0,"",M64/$M$9)))</f>
        <v/>
      </c>
      <c r="O64" s="142" t="n"/>
      <c r="P64" s="148">
        <f>IF(O64="","",IF($O$9="","",IF($O$9=0,"",O64/$O$9)))</f>
        <v/>
      </c>
      <c r="Q64" s="142" t="n"/>
      <c r="R64" s="148">
        <f>IF(Q64="","",IF($Q$9="","",IF($Q$9=0,"",Q64/$Q$9)))</f>
        <v/>
      </c>
      <c r="S64" s="144" t="n"/>
      <c r="T64" s="148">
        <f>IF(S64="","",IF($S$9="","",IF($S$9=0,"",S64/$S$9)))</f>
        <v/>
      </c>
      <c r="U64" s="142" t="n"/>
      <c r="V64" s="148">
        <f>IF(U64="","",IF($U$9="","",IF($U$9=0,"",U64/$U$9)))</f>
        <v/>
      </c>
      <c r="W64" s="142" t="n"/>
      <c r="X64" s="148">
        <f>IF(W64="","",IF($W$9="","",IF($W$9=0,"",W64/$W$9)))</f>
        <v/>
      </c>
    </row>
    <row r="65" ht="15" customHeight="1" s="87">
      <c r="A65" s="92" t="n">
        <v>55</v>
      </c>
      <c r="B65" s="138" t="n">
        <v>46566</v>
      </c>
      <c r="C65" s="149" t="n">
        <v>246.9135802469136</v>
      </c>
      <c r="D65" s="140" t="n"/>
      <c r="E65" s="149" t="n">
        <v>13580.24691358025</v>
      </c>
      <c r="F65" s="149" t="n">
        <v>5350</v>
      </c>
      <c r="G65" s="141" t="n">
        <v>0.3939545454545454</v>
      </c>
      <c r="H65" s="100" t="inlineStr">
        <is>
          <t>Atrasado</t>
        </is>
      </c>
      <c r="I65" s="142" t="n"/>
      <c r="J65" s="143">
        <f>IF(I65="","",IF($I$9="","",IF($I$9=0,"",I65/$I$9)))</f>
        <v/>
      </c>
      <c r="K65" s="142" t="n"/>
      <c r="L65" s="143">
        <f>IF(K65="","",IF($K$9="","",IF($K$9=0,"",K65/$K$9)))</f>
        <v/>
      </c>
      <c r="M65" s="142" t="n"/>
      <c r="N65" s="143">
        <f>IF(M65="","",IF($M$9="","",IF($M$9=0,"",M65/$M$9)))</f>
        <v/>
      </c>
      <c r="O65" s="142" t="n"/>
      <c r="P65" s="143">
        <f>IF(O65="","",IF($O$9="","",IF($O$9=0,"",O65/$O$9)))</f>
        <v/>
      </c>
      <c r="Q65" s="142" t="n"/>
      <c r="R65" s="143">
        <f>IF(Q65="","",IF($Q$9="","",IF($Q$9=0,"",Q65/$Q$9)))</f>
        <v/>
      </c>
      <c r="S65" s="144" t="n"/>
      <c r="T65" s="143">
        <f>IF(S65="","",IF($S$9="","",IF($S$9=0,"",S65/$S$9)))</f>
        <v/>
      </c>
      <c r="U65" s="142" t="n"/>
      <c r="V65" s="143">
        <f>IF(U65="","",IF($U$9="","",IF($U$9=0,"",U65/$U$9)))</f>
        <v/>
      </c>
      <c r="W65" s="142" t="n"/>
      <c r="X65" s="143">
        <f>IF(W65="","",IF($W$9="","",IF($W$9=0,"",W65/$W$9)))</f>
        <v/>
      </c>
    </row>
    <row r="66" ht="15" customHeight="1" s="87">
      <c r="A66" s="115" t="n">
        <v>56</v>
      </c>
      <c r="B66" s="145" t="n">
        <v>46573</v>
      </c>
      <c r="C66" s="150" t="n">
        <v>246.9135802469136</v>
      </c>
      <c r="D66" s="140" t="n"/>
      <c r="E66" s="150" t="n">
        <v>13827.16049382716</v>
      </c>
      <c r="F66" s="150" t="n">
        <v>5350</v>
      </c>
      <c r="G66" s="147" t="n">
        <v>0.3869196428571429</v>
      </c>
      <c r="H66" s="101" t="inlineStr">
        <is>
          <t>Atrasado</t>
        </is>
      </c>
      <c r="I66" s="142" t="n"/>
      <c r="J66" s="148">
        <f>IF(I66="","",IF($I$9="","",IF($I$9=0,"",I66/$I$9)))</f>
        <v/>
      </c>
      <c r="K66" s="142" t="n"/>
      <c r="L66" s="148">
        <f>IF(K66="","",IF($K$9="","",IF($K$9=0,"",K66/$K$9)))</f>
        <v/>
      </c>
      <c r="M66" s="142" t="n"/>
      <c r="N66" s="148">
        <f>IF(M66="","",IF($M$9="","",IF($M$9=0,"",M66/$M$9)))</f>
        <v/>
      </c>
      <c r="O66" s="142" t="n"/>
      <c r="P66" s="148">
        <f>IF(O66="","",IF($O$9="","",IF($O$9=0,"",O66/$O$9)))</f>
        <v/>
      </c>
      <c r="Q66" s="142" t="n"/>
      <c r="R66" s="148">
        <f>IF(Q66="","",IF($Q$9="","",IF($Q$9=0,"",Q66/$Q$9)))</f>
        <v/>
      </c>
      <c r="S66" s="144" t="n"/>
      <c r="T66" s="148">
        <f>IF(S66="","",IF($S$9="","",IF($S$9=0,"",S66/$S$9)))</f>
        <v/>
      </c>
      <c r="U66" s="142" t="n"/>
      <c r="V66" s="148">
        <f>IF(U66="","",IF($U$9="","",IF($U$9=0,"",U66/$U$9)))</f>
        <v/>
      </c>
      <c r="W66" s="142" t="n"/>
      <c r="X66" s="148">
        <f>IF(W66="","",IF($W$9="","",IF($W$9=0,"",W66/$W$9)))</f>
        <v/>
      </c>
    </row>
    <row r="67" ht="15" customHeight="1" s="87">
      <c r="A67" s="92" t="n">
        <v>57</v>
      </c>
      <c r="B67" s="138" t="n">
        <v>46580</v>
      </c>
      <c r="C67" s="149" t="n">
        <v>246.9135802469136</v>
      </c>
      <c r="D67" s="140" t="n"/>
      <c r="E67" s="149" t="n">
        <v>14074.07407407407</v>
      </c>
      <c r="F67" s="149" t="n">
        <v>5350</v>
      </c>
      <c r="G67" s="141" t="n">
        <v>0.3801315789473684</v>
      </c>
      <c r="H67" s="100" t="inlineStr">
        <is>
          <t>Atrasado</t>
        </is>
      </c>
      <c r="I67" s="142" t="n"/>
      <c r="J67" s="143">
        <f>IF(I67="","",IF($I$9="","",IF($I$9=0,"",I67/$I$9)))</f>
        <v/>
      </c>
      <c r="K67" s="142" t="n"/>
      <c r="L67" s="143">
        <f>IF(K67="","",IF($K$9="","",IF($K$9=0,"",K67/$K$9)))</f>
        <v/>
      </c>
      <c r="M67" s="142" t="n"/>
      <c r="N67" s="143">
        <f>IF(M67="","",IF($M$9="","",IF($M$9=0,"",M67/$M$9)))</f>
        <v/>
      </c>
      <c r="O67" s="142" t="n"/>
      <c r="P67" s="143">
        <f>IF(O67="","",IF($O$9="","",IF($O$9=0,"",O67/$O$9)))</f>
        <v/>
      </c>
      <c r="Q67" s="142" t="n"/>
      <c r="R67" s="143">
        <f>IF(Q67="","",IF($Q$9="","",IF($Q$9=0,"",Q67/$Q$9)))</f>
        <v/>
      </c>
      <c r="S67" s="144" t="n"/>
      <c r="T67" s="143">
        <f>IF(S67="","",IF($S$9="","",IF($S$9=0,"",S67/$S$9)))</f>
        <v/>
      </c>
      <c r="U67" s="142" t="n"/>
      <c r="V67" s="143">
        <f>IF(U67="","",IF($U$9="","",IF($U$9=0,"",U67/$U$9)))</f>
        <v/>
      </c>
      <c r="W67" s="142" t="n"/>
      <c r="X67" s="143">
        <f>IF(W67="","",IF($W$9="","",IF($W$9=0,"",W67/$W$9)))</f>
        <v/>
      </c>
    </row>
    <row r="68" ht="15" customHeight="1" s="87">
      <c r="A68" s="115" t="n">
        <v>58</v>
      </c>
      <c r="B68" s="145" t="n">
        <v>46587</v>
      </c>
      <c r="C68" s="150" t="n">
        <v>246.9135802469136</v>
      </c>
      <c r="D68" s="140" t="n"/>
      <c r="E68" s="150" t="n">
        <v>14320.98765432099</v>
      </c>
      <c r="F68" s="150" t="n">
        <v>5350</v>
      </c>
      <c r="G68" s="147" t="n">
        <v>0.3735775862068965</v>
      </c>
      <c r="H68" s="101" t="inlineStr">
        <is>
          <t>Atrasado</t>
        </is>
      </c>
      <c r="I68" s="142" t="n"/>
      <c r="J68" s="148">
        <f>IF(I68="","",IF($I$9="","",IF($I$9=0,"",I68/$I$9)))</f>
        <v/>
      </c>
      <c r="K68" s="142" t="n"/>
      <c r="L68" s="148">
        <f>IF(K68="","",IF($K$9="","",IF($K$9=0,"",K68/$K$9)))</f>
        <v/>
      </c>
      <c r="M68" s="142" t="n"/>
      <c r="N68" s="148">
        <f>IF(M68="","",IF($M$9="","",IF($M$9=0,"",M68/$M$9)))</f>
        <v/>
      </c>
      <c r="O68" s="142" t="n"/>
      <c r="P68" s="148">
        <f>IF(O68="","",IF($O$9="","",IF($O$9=0,"",O68/$O$9)))</f>
        <v/>
      </c>
      <c r="Q68" s="142" t="n"/>
      <c r="R68" s="148">
        <f>IF(Q68="","",IF($Q$9="","",IF($Q$9=0,"",Q68/$Q$9)))</f>
        <v/>
      </c>
      <c r="S68" s="144" t="n"/>
      <c r="T68" s="148">
        <f>IF(S68="","",IF($S$9="","",IF($S$9=0,"",S68/$S$9)))</f>
        <v/>
      </c>
      <c r="U68" s="142" t="n"/>
      <c r="V68" s="148">
        <f>IF(U68="","",IF($U$9="","",IF($U$9=0,"",U68/$U$9)))</f>
        <v/>
      </c>
      <c r="W68" s="142" t="n"/>
      <c r="X68" s="148">
        <f>IF(W68="","",IF($W$9="","",IF($W$9=0,"",W68/$W$9)))</f>
        <v/>
      </c>
    </row>
    <row r="69" ht="15" customHeight="1" s="87">
      <c r="A69" s="92" t="n">
        <v>59</v>
      </c>
      <c r="B69" s="138" t="n">
        <v>46594</v>
      </c>
      <c r="C69" s="149" t="n">
        <v>246.9135802469136</v>
      </c>
      <c r="D69" s="140" t="n"/>
      <c r="E69" s="149" t="n">
        <v>14567.9012345679</v>
      </c>
      <c r="F69" s="149" t="n">
        <v>5350</v>
      </c>
      <c r="G69" s="141" t="n">
        <v>0.3672457627118644</v>
      </c>
      <c r="H69" s="100" t="inlineStr">
        <is>
          <t>Atrasado</t>
        </is>
      </c>
      <c r="I69" s="142" t="n"/>
      <c r="J69" s="143">
        <f>IF(I69="","",IF($I$9="","",IF($I$9=0,"",I69/$I$9)))</f>
        <v/>
      </c>
      <c r="K69" s="142" t="n"/>
      <c r="L69" s="143">
        <f>IF(K69="","",IF($K$9="","",IF($K$9=0,"",K69/$K$9)))</f>
        <v/>
      </c>
      <c r="M69" s="142" t="n"/>
      <c r="N69" s="143">
        <f>IF(M69="","",IF($M$9="","",IF($M$9=0,"",M69/$M$9)))</f>
        <v/>
      </c>
      <c r="O69" s="142" t="n"/>
      <c r="P69" s="143">
        <f>IF(O69="","",IF($O$9="","",IF($O$9=0,"",O69/$O$9)))</f>
        <v/>
      </c>
      <c r="Q69" s="142" t="n"/>
      <c r="R69" s="143">
        <f>IF(Q69="","",IF($Q$9="","",IF($Q$9=0,"",Q69/$Q$9)))</f>
        <v/>
      </c>
      <c r="S69" s="144" t="n"/>
      <c r="T69" s="143">
        <f>IF(S69="","",IF($S$9="","",IF($S$9=0,"",S69/$S$9)))</f>
        <v/>
      </c>
      <c r="U69" s="142" t="n"/>
      <c r="V69" s="143">
        <f>IF(U69="","",IF($U$9="","",IF($U$9=0,"",U69/$U$9)))</f>
        <v/>
      </c>
      <c r="W69" s="142" t="n"/>
      <c r="X69" s="143">
        <f>IF(W69="","",IF($W$9="","",IF($W$9=0,"",W69/$W$9)))</f>
        <v/>
      </c>
    </row>
    <row r="70" ht="15" customHeight="1" s="87">
      <c r="A70" s="115" t="n">
        <v>60</v>
      </c>
      <c r="B70" s="145" t="n">
        <v>46601</v>
      </c>
      <c r="C70" s="150" t="n">
        <v>246.9135802469136</v>
      </c>
      <c r="D70" s="140" t="n"/>
      <c r="E70" s="150" t="n">
        <v>14814.81481481482</v>
      </c>
      <c r="F70" s="150" t="n">
        <v>5350</v>
      </c>
      <c r="G70" s="147" t="n">
        <v>0.361125</v>
      </c>
      <c r="H70" s="101" t="inlineStr">
        <is>
          <t>Atrasado</t>
        </is>
      </c>
      <c r="I70" s="142" t="n"/>
      <c r="J70" s="148">
        <f>IF(I70="","",IF($I$9="","",IF($I$9=0,"",I70/$I$9)))</f>
        <v/>
      </c>
      <c r="K70" s="142" t="n"/>
      <c r="L70" s="148">
        <f>IF(K70="","",IF($K$9="","",IF($K$9=0,"",K70/$K$9)))</f>
        <v/>
      </c>
      <c r="M70" s="142" t="n"/>
      <c r="N70" s="148">
        <f>IF(M70="","",IF($M$9="","",IF($M$9=0,"",M70/$M$9)))</f>
        <v/>
      </c>
      <c r="O70" s="142" t="n"/>
      <c r="P70" s="148">
        <f>IF(O70="","",IF($O$9="","",IF($O$9=0,"",O70/$O$9)))</f>
        <v/>
      </c>
      <c r="Q70" s="142" t="n"/>
      <c r="R70" s="148">
        <f>IF(Q70="","",IF($Q$9="","",IF($Q$9=0,"",Q70/$Q$9)))</f>
        <v/>
      </c>
      <c r="S70" s="144" t="n"/>
      <c r="T70" s="148">
        <f>IF(S70="","",IF($S$9="","",IF($S$9=0,"",S70/$S$9)))</f>
        <v/>
      </c>
      <c r="U70" s="142" t="n"/>
      <c r="V70" s="148">
        <f>IF(U70="","",IF($U$9="","",IF($U$9=0,"",U70/$U$9)))</f>
        <v/>
      </c>
      <c r="W70" s="142" t="n"/>
      <c r="X70" s="148">
        <f>IF(W70="","",IF($W$9="","",IF($W$9=0,"",W70/$W$9)))</f>
        <v/>
      </c>
    </row>
    <row r="71" ht="15" customHeight="1" s="87">
      <c r="A71" s="92" t="n">
        <v>61</v>
      </c>
      <c r="B71" s="138" t="n">
        <v>46608</v>
      </c>
      <c r="C71" s="149" t="n">
        <v>246.9135802469136</v>
      </c>
      <c r="D71" s="140" t="n"/>
      <c r="E71" s="149" t="n">
        <v>15061.72839506173</v>
      </c>
      <c r="F71" s="149" t="n">
        <v>5350</v>
      </c>
      <c r="G71" s="141" t="n">
        <v>0.3552049180327869</v>
      </c>
      <c r="H71" s="100" t="inlineStr">
        <is>
          <t>Atrasado</t>
        </is>
      </c>
      <c r="I71" s="142" t="n"/>
      <c r="J71" s="143">
        <f>IF(I71="","",IF($I$9="","",IF($I$9=0,"",I71/$I$9)))</f>
        <v/>
      </c>
      <c r="K71" s="142" t="n"/>
      <c r="L71" s="143">
        <f>IF(K71="","",IF($K$9="","",IF($K$9=0,"",K71/$K$9)))</f>
        <v/>
      </c>
      <c r="M71" s="142" t="n"/>
      <c r="N71" s="143">
        <f>IF(M71="","",IF($M$9="","",IF($M$9=0,"",M71/$M$9)))</f>
        <v/>
      </c>
      <c r="O71" s="142" t="n"/>
      <c r="P71" s="143">
        <f>IF(O71="","",IF($O$9="","",IF($O$9=0,"",O71/$O$9)))</f>
        <v/>
      </c>
      <c r="Q71" s="142" t="n"/>
      <c r="R71" s="143">
        <f>IF(Q71="","",IF($Q$9="","",IF($Q$9=0,"",Q71/$Q$9)))</f>
        <v/>
      </c>
      <c r="S71" s="144" t="n"/>
      <c r="T71" s="143">
        <f>IF(S71="","",IF($S$9="","",IF($S$9=0,"",S71/$S$9)))</f>
        <v/>
      </c>
      <c r="U71" s="142" t="n"/>
      <c r="V71" s="143">
        <f>IF(U71="","",IF($U$9="","",IF($U$9=0,"",U71/$U$9)))</f>
        <v/>
      </c>
      <c r="W71" s="142" t="n"/>
      <c r="X71" s="143">
        <f>IF(W71="","",IF($W$9="","",IF($W$9=0,"",W71/$W$9)))</f>
        <v/>
      </c>
    </row>
    <row r="72" ht="15" customHeight="1" s="87">
      <c r="A72" s="115" t="n">
        <v>62</v>
      </c>
      <c r="B72" s="145" t="n">
        <v>46615</v>
      </c>
      <c r="C72" s="150" t="n">
        <v>246.9135802469136</v>
      </c>
      <c r="D72" s="140" t="n"/>
      <c r="E72" s="150" t="n">
        <v>15308.64197530864</v>
      </c>
      <c r="F72" s="150" t="n">
        <v>5350</v>
      </c>
      <c r="G72" s="147" t="n">
        <v>0.3494758064516129</v>
      </c>
      <c r="H72" s="101" t="inlineStr">
        <is>
          <t>Atrasado</t>
        </is>
      </c>
      <c r="I72" s="142" t="n"/>
      <c r="J72" s="148">
        <f>IF(I72="","",IF($I$9="","",IF($I$9=0,"",I72/$I$9)))</f>
        <v/>
      </c>
      <c r="K72" s="142" t="n"/>
      <c r="L72" s="148">
        <f>IF(K72="","",IF($K$9="","",IF($K$9=0,"",K72/$K$9)))</f>
        <v/>
      </c>
      <c r="M72" s="142" t="n"/>
      <c r="N72" s="148">
        <f>IF(M72="","",IF($M$9="","",IF($M$9=0,"",M72/$M$9)))</f>
        <v/>
      </c>
      <c r="O72" s="142" t="n"/>
      <c r="P72" s="148">
        <f>IF(O72="","",IF($O$9="","",IF($O$9=0,"",O72/$O$9)))</f>
        <v/>
      </c>
      <c r="Q72" s="142" t="n"/>
      <c r="R72" s="148">
        <f>IF(Q72="","",IF($Q$9="","",IF($Q$9=0,"",Q72/$Q$9)))</f>
        <v/>
      </c>
      <c r="S72" s="144" t="n"/>
      <c r="T72" s="148">
        <f>IF(S72="","",IF($S$9="","",IF($S$9=0,"",S72/$S$9)))</f>
        <v/>
      </c>
      <c r="U72" s="142" t="n"/>
      <c r="V72" s="148">
        <f>IF(U72="","",IF($U$9="","",IF($U$9=0,"",U72/$U$9)))</f>
        <v/>
      </c>
      <c r="W72" s="142" t="n"/>
      <c r="X72" s="148">
        <f>IF(W72="","",IF($W$9="","",IF($W$9=0,"",W72/$W$9)))</f>
        <v/>
      </c>
    </row>
    <row r="73" ht="15" customHeight="1" s="87">
      <c r="A73" s="92" t="n">
        <v>63</v>
      </c>
      <c r="B73" s="138" t="n">
        <v>46622</v>
      </c>
      <c r="C73" s="149" t="n">
        <v>246.9135802469136</v>
      </c>
      <c r="D73" s="140" t="n"/>
      <c r="E73" s="149" t="n">
        <v>15555.55555555556</v>
      </c>
      <c r="F73" s="149" t="n">
        <v>5350</v>
      </c>
      <c r="G73" s="141" t="n">
        <v>0.3439285714285714</v>
      </c>
      <c r="H73" s="100" t="inlineStr">
        <is>
          <t>Atrasado</t>
        </is>
      </c>
      <c r="I73" s="142" t="n"/>
      <c r="J73" s="143">
        <f>IF(I73="","",IF($I$9="","",IF($I$9=0,"",I73/$I$9)))</f>
        <v/>
      </c>
      <c r="K73" s="142" t="n"/>
      <c r="L73" s="143">
        <f>IF(K73="","",IF($K$9="","",IF($K$9=0,"",K73/$K$9)))</f>
        <v/>
      </c>
      <c r="M73" s="142" t="n"/>
      <c r="N73" s="143">
        <f>IF(M73="","",IF($M$9="","",IF($M$9=0,"",M73/$M$9)))</f>
        <v/>
      </c>
      <c r="O73" s="142" t="n"/>
      <c r="P73" s="143">
        <f>IF(O73="","",IF($O$9="","",IF($O$9=0,"",O73/$O$9)))</f>
        <v/>
      </c>
      <c r="Q73" s="142" t="n"/>
      <c r="R73" s="143">
        <f>IF(Q73="","",IF($Q$9="","",IF($Q$9=0,"",Q73/$Q$9)))</f>
        <v/>
      </c>
      <c r="S73" s="144" t="n"/>
      <c r="T73" s="143">
        <f>IF(S73="","",IF($S$9="","",IF($S$9=0,"",S73/$S$9)))</f>
        <v/>
      </c>
      <c r="U73" s="142" t="n"/>
      <c r="V73" s="143">
        <f>IF(U73="","",IF($U$9="","",IF($U$9=0,"",U73/$U$9)))</f>
        <v/>
      </c>
      <c r="W73" s="142" t="n"/>
      <c r="X73" s="143">
        <f>IF(W73="","",IF($W$9="","",IF($W$9=0,"",W73/$W$9)))</f>
        <v/>
      </c>
    </row>
    <row r="74" ht="15" customHeight="1" s="87">
      <c r="A74" s="115" t="n">
        <v>64</v>
      </c>
      <c r="B74" s="145" t="n">
        <v>46629</v>
      </c>
      <c r="C74" s="150" t="n">
        <v>246.9135802469136</v>
      </c>
      <c r="D74" s="140" t="n"/>
      <c r="E74" s="150" t="n">
        <v>15802.46913580247</v>
      </c>
      <c r="F74" s="150" t="n">
        <v>5350</v>
      </c>
      <c r="G74" s="147" t="n">
        <v>0.3385546875</v>
      </c>
      <c r="H74" s="101" t="inlineStr">
        <is>
          <t>Atrasado</t>
        </is>
      </c>
      <c r="I74" s="142" t="n"/>
      <c r="J74" s="148">
        <f>IF(I74="","",IF($I$9="","",IF($I$9=0,"",I74/$I$9)))</f>
        <v/>
      </c>
      <c r="K74" s="142" t="n"/>
      <c r="L74" s="148">
        <f>IF(K74="","",IF($K$9="","",IF($K$9=0,"",K74/$K$9)))</f>
        <v/>
      </c>
      <c r="M74" s="142" t="n"/>
      <c r="N74" s="148">
        <f>IF(M74="","",IF($M$9="","",IF($M$9=0,"",M74/$M$9)))</f>
        <v/>
      </c>
      <c r="O74" s="142" t="n"/>
      <c r="P74" s="148">
        <f>IF(O74="","",IF($O$9="","",IF($O$9=0,"",O74/$O$9)))</f>
        <v/>
      </c>
      <c r="Q74" s="142" t="n"/>
      <c r="R74" s="148">
        <f>IF(Q74="","",IF($Q$9="","",IF($Q$9=0,"",Q74/$Q$9)))</f>
        <v/>
      </c>
      <c r="S74" s="144" t="n"/>
      <c r="T74" s="148">
        <f>IF(S74="","",IF($S$9="","",IF($S$9=0,"",S74/$S$9)))</f>
        <v/>
      </c>
      <c r="U74" s="142" t="n"/>
      <c r="V74" s="148">
        <f>IF(U74="","",IF($U$9="","",IF($U$9=0,"",U74/$U$9)))</f>
        <v/>
      </c>
      <c r="W74" s="142" t="n"/>
      <c r="X74" s="148">
        <f>IF(W74="","",IF($W$9="","",IF($W$9=0,"",W74/$W$9)))</f>
        <v/>
      </c>
    </row>
    <row r="75" ht="15" customHeight="1" s="87">
      <c r="A75" s="92" t="n">
        <v>65</v>
      </c>
      <c r="B75" s="138" t="n">
        <v>46636</v>
      </c>
      <c r="C75" s="149" t="n">
        <v>246.9135802469136</v>
      </c>
      <c r="D75" s="140" t="n"/>
      <c r="E75" s="149" t="n">
        <v>16049.38271604938</v>
      </c>
      <c r="F75" s="149" t="n">
        <v>5350</v>
      </c>
      <c r="G75" s="141" t="n">
        <v>0.3333461538461538</v>
      </c>
      <c r="H75" s="100" t="inlineStr">
        <is>
          <t>Atrasado</t>
        </is>
      </c>
      <c r="I75" s="142" t="n"/>
      <c r="J75" s="143">
        <f>IF(I75="","",IF($I$9="","",IF($I$9=0,"",I75/$I$9)))</f>
        <v/>
      </c>
      <c r="K75" s="142" t="n"/>
      <c r="L75" s="143">
        <f>IF(K75="","",IF($K$9="","",IF($K$9=0,"",K75/$K$9)))</f>
        <v/>
      </c>
      <c r="M75" s="142" t="n"/>
      <c r="N75" s="143">
        <f>IF(M75="","",IF($M$9="","",IF($M$9=0,"",M75/$M$9)))</f>
        <v/>
      </c>
      <c r="O75" s="142" t="n"/>
      <c r="P75" s="143">
        <f>IF(O75="","",IF($O$9="","",IF($O$9=0,"",O75/$O$9)))</f>
        <v/>
      </c>
      <c r="Q75" s="142" t="n"/>
      <c r="R75" s="143">
        <f>IF(Q75="","",IF($Q$9="","",IF($Q$9=0,"",Q75/$Q$9)))</f>
        <v/>
      </c>
      <c r="S75" s="144" t="n"/>
      <c r="T75" s="143">
        <f>IF(S75="","",IF($S$9="","",IF($S$9=0,"",S75/$S$9)))</f>
        <v/>
      </c>
      <c r="U75" s="142" t="n"/>
      <c r="V75" s="143">
        <f>IF(U75="","",IF($U$9="","",IF($U$9=0,"",U75/$U$9)))</f>
        <v/>
      </c>
      <c r="W75" s="142" t="n"/>
      <c r="X75" s="143">
        <f>IF(W75="","",IF($W$9="","",IF($W$9=0,"",W75/$W$9)))</f>
        <v/>
      </c>
    </row>
    <row r="76" ht="15" customHeight="1" s="87">
      <c r="A76" s="115" t="n">
        <v>66</v>
      </c>
      <c r="B76" s="145" t="n">
        <v>46643</v>
      </c>
      <c r="C76" s="150" t="n">
        <v>246.9135802469136</v>
      </c>
      <c r="D76" s="140" t="n"/>
      <c r="E76" s="150" t="n">
        <v>16296.2962962963</v>
      </c>
      <c r="F76" s="150" t="n">
        <v>5350</v>
      </c>
      <c r="G76" s="147" t="n">
        <v>0.3282954545454545</v>
      </c>
      <c r="H76" s="101" t="inlineStr">
        <is>
          <t>Atrasado</t>
        </is>
      </c>
      <c r="I76" s="142" t="n"/>
      <c r="J76" s="148">
        <f>IF(I76="","",IF($I$9="","",IF($I$9=0,"",I76/$I$9)))</f>
        <v/>
      </c>
      <c r="K76" s="142" t="n"/>
      <c r="L76" s="148">
        <f>IF(K76="","",IF($K$9="","",IF($K$9=0,"",K76/$K$9)))</f>
        <v/>
      </c>
      <c r="M76" s="142" t="n"/>
      <c r="N76" s="148">
        <f>IF(M76="","",IF($M$9="","",IF($M$9=0,"",M76/$M$9)))</f>
        <v/>
      </c>
      <c r="O76" s="142" t="n"/>
      <c r="P76" s="148">
        <f>IF(O76="","",IF($O$9="","",IF($O$9=0,"",O76/$O$9)))</f>
        <v/>
      </c>
      <c r="Q76" s="142" t="n"/>
      <c r="R76" s="148">
        <f>IF(Q76="","",IF($Q$9="","",IF($Q$9=0,"",Q76/$Q$9)))</f>
        <v/>
      </c>
      <c r="S76" s="144" t="n"/>
      <c r="T76" s="148">
        <f>IF(S76="","",IF($S$9="","",IF($S$9=0,"",S76/$S$9)))</f>
        <v/>
      </c>
      <c r="U76" s="142" t="n"/>
      <c r="V76" s="148">
        <f>IF(U76="","",IF($U$9="","",IF($U$9=0,"",U76/$U$9)))</f>
        <v/>
      </c>
      <c r="W76" s="142" t="n"/>
      <c r="X76" s="148">
        <f>IF(W76="","",IF($W$9="","",IF($W$9=0,"",W76/$W$9)))</f>
        <v/>
      </c>
    </row>
    <row r="77" ht="15" customHeight="1" s="87">
      <c r="A77" s="92" t="n">
        <v>67</v>
      </c>
      <c r="B77" s="138" t="n">
        <v>46650</v>
      </c>
      <c r="C77" s="149" t="n">
        <v>246.9135802469136</v>
      </c>
      <c r="D77" s="140" t="n"/>
      <c r="E77" s="149" t="n">
        <v>16543.20987654321</v>
      </c>
      <c r="F77" s="149" t="n">
        <v>5350</v>
      </c>
      <c r="G77" s="141" t="n">
        <v>0.3233955223880597</v>
      </c>
      <c r="H77" s="100" t="inlineStr">
        <is>
          <t>Atrasado</t>
        </is>
      </c>
      <c r="I77" s="142" t="n"/>
      <c r="J77" s="143">
        <f>IF(I77="","",IF($I$9="","",IF($I$9=0,"",I77/$I$9)))</f>
        <v/>
      </c>
      <c r="K77" s="142" t="n"/>
      <c r="L77" s="143">
        <f>IF(K77="","",IF($K$9="","",IF($K$9=0,"",K77/$K$9)))</f>
        <v/>
      </c>
      <c r="M77" s="142" t="n"/>
      <c r="N77" s="143">
        <f>IF(M77="","",IF($M$9="","",IF($M$9=0,"",M77/$M$9)))</f>
        <v/>
      </c>
      <c r="O77" s="142" t="n"/>
      <c r="P77" s="143">
        <f>IF(O77="","",IF($O$9="","",IF($O$9=0,"",O77/$O$9)))</f>
        <v/>
      </c>
      <c r="Q77" s="142" t="n"/>
      <c r="R77" s="143">
        <f>IF(Q77="","",IF($Q$9="","",IF($Q$9=0,"",Q77/$Q$9)))</f>
        <v/>
      </c>
      <c r="S77" s="144" t="n"/>
      <c r="T77" s="143">
        <f>IF(S77="","",IF($S$9="","",IF($S$9=0,"",S77/$S$9)))</f>
        <v/>
      </c>
      <c r="U77" s="142" t="n"/>
      <c r="V77" s="143">
        <f>IF(U77="","",IF($U$9="","",IF($U$9=0,"",U77/$U$9)))</f>
        <v/>
      </c>
      <c r="W77" s="142" t="n"/>
      <c r="X77" s="143">
        <f>IF(W77="","",IF($W$9="","",IF($W$9=0,"",W77/$W$9)))</f>
        <v/>
      </c>
    </row>
    <row r="78" ht="15" customHeight="1" s="87">
      <c r="A78" s="115" t="n">
        <v>68</v>
      </c>
      <c r="B78" s="145" t="n">
        <v>46657</v>
      </c>
      <c r="C78" s="150" t="n">
        <v>246.9135802469136</v>
      </c>
      <c r="D78" s="140" t="n"/>
      <c r="E78" s="150" t="n">
        <v>16790.12345679012</v>
      </c>
      <c r="F78" s="150" t="n">
        <v>5350</v>
      </c>
      <c r="G78" s="147" t="n">
        <v>0.318639705882353</v>
      </c>
      <c r="H78" s="101" t="inlineStr">
        <is>
          <t>Atrasado</t>
        </is>
      </c>
      <c r="I78" s="142" t="n"/>
      <c r="J78" s="148">
        <f>IF(I78="","",IF($I$9="","",IF($I$9=0,"",I78/$I$9)))</f>
        <v/>
      </c>
      <c r="K78" s="142" t="n"/>
      <c r="L78" s="148">
        <f>IF(K78="","",IF($K$9="","",IF($K$9=0,"",K78/$K$9)))</f>
        <v/>
      </c>
      <c r="M78" s="142" t="n"/>
      <c r="N78" s="148">
        <f>IF(M78="","",IF($M$9="","",IF($M$9=0,"",M78/$M$9)))</f>
        <v/>
      </c>
      <c r="O78" s="142" t="n"/>
      <c r="P78" s="148">
        <f>IF(O78="","",IF($O$9="","",IF($O$9=0,"",O78/$O$9)))</f>
        <v/>
      </c>
      <c r="Q78" s="142" t="n"/>
      <c r="R78" s="148">
        <f>IF(Q78="","",IF($Q$9="","",IF($Q$9=0,"",Q78/$Q$9)))</f>
        <v/>
      </c>
      <c r="S78" s="144" t="n"/>
      <c r="T78" s="148">
        <f>IF(S78="","",IF($S$9="","",IF($S$9=0,"",S78/$S$9)))</f>
        <v/>
      </c>
      <c r="U78" s="142" t="n"/>
      <c r="V78" s="148">
        <f>IF(U78="","",IF($U$9="","",IF($U$9=0,"",U78/$U$9)))</f>
        <v/>
      </c>
      <c r="W78" s="142" t="n"/>
      <c r="X78" s="148">
        <f>IF(W78="","",IF($W$9="","",IF($W$9=0,"",W78/$W$9)))</f>
        <v/>
      </c>
    </row>
    <row r="79" ht="15" customHeight="1" s="87">
      <c r="A79" s="92" t="n">
        <v>69</v>
      </c>
      <c r="B79" s="138" t="n">
        <v>46664</v>
      </c>
      <c r="C79" s="149" t="n">
        <v>246.9135802469136</v>
      </c>
      <c r="D79" s="140" t="n"/>
      <c r="E79" s="149" t="n">
        <v>17037.03703703704</v>
      </c>
      <c r="F79" s="149" t="n">
        <v>5350</v>
      </c>
      <c r="G79" s="141" t="n">
        <v>0.3140217391304348</v>
      </c>
      <c r="H79" s="100" t="inlineStr">
        <is>
          <t>Atrasado</t>
        </is>
      </c>
      <c r="I79" s="142" t="n"/>
      <c r="J79" s="143">
        <f>IF(I79="","",IF($I$9="","",IF($I$9=0,"",I79/$I$9)))</f>
        <v/>
      </c>
      <c r="K79" s="142" t="n"/>
      <c r="L79" s="143">
        <f>IF(K79="","",IF($K$9="","",IF($K$9=0,"",K79/$K$9)))</f>
        <v/>
      </c>
      <c r="M79" s="142" t="n"/>
      <c r="N79" s="143">
        <f>IF(M79="","",IF($M$9="","",IF($M$9=0,"",M79/$M$9)))</f>
        <v/>
      </c>
      <c r="O79" s="142" t="n"/>
      <c r="P79" s="143">
        <f>IF(O79="","",IF($O$9="","",IF($O$9=0,"",O79/$O$9)))</f>
        <v/>
      </c>
      <c r="Q79" s="142" t="n"/>
      <c r="R79" s="143">
        <f>IF(Q79="","",IF($Q$9="","",IF($Q$9=0,"",Q79/$Q$9)))</f>
        <v/>
      </c>
      <c r="S79" s="144" t="n"/>
      <c r="T79" s="143">
        <f>IF(S79="","",IF($S$9="","",IF($S$9=0,"",S79/$S$9)))</f>
        <v/>
      </c>
      <c r="U79" s="142" t="n"/>
      <c r="V79" s="143">
        <f>IF(U79="","",IF($U$9="","",IF($U$9=0,"",U79/$U$9)))</f>
        <v/>
      </c>
      <c r="W79" s="142" t="n"/>
      <c r="X79" s="143">
        <f>IF(W79="","",IF($W$9="","",IF($W$9=0,"",W79/$W$9)))</f>
        <v/>
      </c>
    </row>
    <row r="80" ht="15" customHeight="1" s="87">
      <c r="A80" s="115" t="n">
        <v>70</v>
      </c>
      <c r="B80" s="145" t="n">
        <v>46671</v>
      </c>
      <c r="C80" s="150" t="n">
        <v>246.9135802469136</v>
      </c>
      <c r="D80" s="140" t="n"/>
      <c r="E80" s="150" t="n">
        <v>17283.95061728395</v>
      </c>
      <c r="F80" s="150" t="n">
        <v>5350</v>
      </c>
      <c r="G80" s="147" t="n">
        <v>0.3095357142857143</v>
      </c>
      <c r="H80" s="101" t="inlineStr">
        <is>
          <t>Atrasado</t>
        </is>
      </c>
      <c r="I80" s="142" t="n"/>
      <c r="J80" s="148">
        <f>IF(I80="","",IF($I$9="","",IF($I$9=0,"",I80/$I$9)))</f>
        <v/>
      </c>
      <c r="K80" s="142" t="n"/>
      <c r="L80" s="148">
        <f>IF(K80="","",IF($K$9="","",IF($K$9=0,"",K80/$K$9)))</f>
        <v/>
      </c>
      <c r="M80" s="142" t="n"/>
      <c r="N80" s="148">
        <f>IF(M80="","",IF($M$9="","",IF($M$9=0,"",M80/$M$9)))</f>
        <v/>
      </c>
      <c r="O80" s="142" t="n"/>
      <c r="P80" s="148">
        <f>IF(O80="","",IF($O$9="","",IF($O$9=0,"",O80/$O$9)))</f>
        <v/>
      </c>
      <c r="Q80" s="142" t="n"/>
      <c r="R80" s="148">
        <f>IF(Q80="","",IF($Q$9="","",IF($Q$9=0,"",Q80/$Q$9)))</f>
        <v/>
      </c>
      <c r="S80" s="144" t="n"/>
      <c r="T80" s="148">
        <f>IF(S80="","",IF($S$9="","",IF($S$9=0,"",S80/$S$9)))</f>
        <v/>
      </c>
      <c r="U80" s="142" t="n"/>
      <c r="V80" s="148">
        <f>IF(U80="","",IF($U$9="","",IF($U$9=0,"",U80/$U$9)))</f>
        <v/>
      </c>
      <c r="W80" s="142" t="n"/>
      <c r="X80" s="148">
        <f>IF(W80="","",IF($W$9="","",IF($W$9=0,"",W80/$W$9)))</f>
        <v/>
      </c>
    </row>
    <row r="81" ht="15" customHeight="1" s="87">
      <c r="A81" s="92" t="n">
        <v>71</v>
      </c>
      <c r="B81" s="138" t="n">
        <v>46678</v>
      </c>
      <c r="C81" s="149" t="n">
        <v>246.9135802469136</v>
      </c>
      <c r="D81" s="140" t="n"/>
      <c r="E81" s="149" t="n">
        <v>17530.86419753086</v>
      </c>
      <c r="F81" s="149" t="n">
        <v>5350</v>
      </c>
      <c r="G81" s="141" t="n">
        <v>0.3051760563380282</v>
      </c>
      <c r="H81" s="100" t="inlineStr">
        <is>
          <t>Atrasado</t>
        </is>
      </c>
      <c r="I81" s="142" t="n"/>
      <c r="J81" s="143">
        <f>IF(I81="","",IF($I$9="","",IF($I$9=0,"",I81/$I$9)))</f>
        <v/>
      </c>
      <c r="K81" s="142" t="n"/>
      <c r="L81" s="143">
        <f>IF(K81="","",IF($K$9="","",IF($K$9=0,"",K81/$K$9)))</f>
        <v/>
      </c>
      <c r="M81" s="142" t="n"/>
      <c r="N81" s="143">
        <f>IF(M81="","",IF($M$9="","",IF($M$9=0,"",M81/$M$9)))</f>
        <v/>
      </c>
      <c r="O81" s="142" t="n"/>
      <c r="P81" s="143">
        <f>IF(O81="","",IF($O$9="","",IF($O$9=0,"",O81/$O$9)))</f>
        <v/>
      </c>
      <c r="Q81" s="142" t="n"/>
      <c r="R81" s="143">
        <f>IF(Q81="","",IF($Q$9="","",IF($Q$9=0,"",Q81/$Q$9)))</f>
        <v/>
      </c>
      <c r="S81" s="144" t="n"/>
      <c r="T81" s="143">
        <f>IF(S81="","",IF($S$9="","",IF($S$9=0,"",S81/$S$9)))</f>
        <v/>
      </c>
      <c r="U81" s="142" t="n"/>
      <c r="V81" s="143">
        <f>IF(U81="","",IF($U$9="","",IF($U$9=0,"",U81/$U$9)))</f>
        <v/>
      </c>
      <c r="W81" s="142" t="n"/>
      <c r="X81" s="143">
        <f>IF(W81="","",IF($W$9="","",IF($W$9=0,"",W81/$W$9)))</f>
        <v/>
      </c>
    </row>
    <row r="82" ht="15" customHeight="1" s="87">
      <c r="A82" s="115" t="n">
        <v>72</v>
      </c>
      <c r="B82" s="145" t="n">
        <v>46685</v>
      </c>
      <c r="C82" s="150" t="n">
        <v>246.9135802469136</v>
      </c>
      <c r="D82" s="140" t="n"/>
      <c r="E82" s="150" t="n">
        <v>17777.77777777778</v>
      </c>
      <c r="F82" s="150" t="n">
        <v>5350</v>
      </c>
      <c r="G82" s="147" t="n">
        <v>0.3009375</v>
      </c>
      <c r="H82" s="101" t="inlineStr">
        <is>
          <t>Atrasado</t>
        </is>
      </c>
      <c r="I82" s="142" t="n"/>
      <c r="J82" s="148">
        <f>IF(I82="","",IF($I$9="","",IF($I$9=0,"",I82/$I$9)))</f>
        <v/>
      </c>
      <c r="K82" s="142" t="n"/>
      <c r="L82" s="148">
        <f>IF(K82="","",IF($K$9="","",IF($K$9=0,"",K82/$K$9)))</f>
        <v/>
      </c>
      <c r="M82" s="142" t="n"/>
      <c r="N82" s="148">
        <f>IF(M82="","",IF($M$9="","",IF($M$9=0,"",M82/$M$9)))</f>
        <v/>
      </c>
      <c r="O82" s="142" t="n"/>
      <c r="P82" s="148">
        <f>IF(O82="","",IF($O$9="","",IF($O$9=0,"",O82/$O$9)))</f>
        <v/>
      </c>
      <c r="Q82" s="142" t="n"/>
      <c r="R82" s="148">
        <f>IF(Q82="","",IF($Q$9="","",IF($Q$9=0,"",Q82/$Q$9)))</f>
        <v/>
      </c>
      <c r="S82" s="144" t="n"/>
      <c r="T82" s="148">
        <f>IF(S82="","",IF($S$9="","",IF($S$9=0,"",S82/$S$9)))</f>
        <v/>
      </c>
      <c r="U82" s="142" t="n"/>
      <c r="V82" s="148">
        <f>IF(U82="","",IF($U$9="","",IF($U$9=0,"",U82/$U$9)))</f>
        <v/>
      </c>
      <c r="W82" s="142" t="n"/>
      <c r="X82" s="148">
        <f>IF(W82="","",IF($W$9="","",IF($W$9=0,"",W82/$W$9)))</f>
        <v/>
      </c>
    </row>
    <row r="83" ht="15" customHeight="1" s="87">
      <c r="A83" s="92" t="n">
        <v>73</v>
      </c>
      <c r="B83" s="138" t="n">
        <v>46692</v>
      </c>
      <c r="C83" s="149" t="n">
        <v>246.9135802469136</v>
      </c>
      <c r="D83" s="140" t="n"/>
      <c r="E83" s="149" t="n">
        <v>18024.69135802469</v>
      </c>
      <c r="F83" s="149" t="n">
        <v>5350</v>
      </c>
      <c r="G83" s="141" t="n">
        <v>0.2968150684931507</v>
      </c>
      <c r="H83" s="100" t="inlineStr">
        <is>
          <t>Atrasado</t>
        </is>
      </c>
      <c r="I83" s="142" t="n"/>
      <c r="J83" s="143">
        <f>IF(I83="","",IF($I$9="","",IF($I$9=0,"",I83/$I$9)))</f>
        <v/>
      </c>
      <c r="K83" s="142" t="n"/>
      <c r="L83" s="143">
        <f>IF(K83="","",IF($K$9="","",IF($K$9=0,"",K83/$K$9)))</f>
        <v/>
      </c>
      <c r="M83" s="142" t="n"/>
      <c r="N83" s="143">
        <f>IF(M83="","",IF($M$9="","",IF($M$9=0,"",M83/$M$9)))</f>
        <v/>
      </c>
      <c r="O83" s="142" t="n"/>
      <c r="P83" s="143">
        <f>IF(O83="","",IF($O$9="","",IF($O$9=0,"",O83/$O$9)))</f>
        <v/>
      </c>
      <c r="Q83" s="142" t="n"/>
      <c r="R83" s="143">
        <f>IF(Q83="","",IF($Q$9="","",IF($Q$9=0,"",Q83/$Q$9)))</f>
        <v/>
      </c>
      <c r="S83" s="144" t="n"/>
      <c r="T83" s="143">
        <f>IF(S83="","",IF($S$9="","",IF($S$9=0,"",S83/$S$9)))</f>
        <v/>
      </c>
      <c r="U83" s="142" t="n"/>
      <c r="V83" s="143">
        <f>IF(U83="","",IF($U$9="","",IF($U$9=0,"",U83/$U$9)))</f>
        <v/>
      </c>
      <c r="W83" s="142" t="n"/>
      <c r="X83" s="143">
        <f>IF(W83="","",IF($W$9="","",IF($W$9=0,"",W83/$W$9)))</f>
        <v/>
      </c>
    </row>
    <row r="84" ht="15" customHeight="1" s="87">
      <c r="A84" s="115" t="n">
        <v>74</v>
      </c>
      <c r="B84" s="145" t="n">
        <v>46699</v>
      </c>
      <c r="C84" s="150" t="n">
        <v>246.9135802469136</v>
      </c>
      <c r="D84" s="140" t="n"/>
      <c r="E84" s="150" t="n">
        <v>18271.6049382716</v>
      </c>
      <c r="F84" s="150" t="n">
        <v>5350</v>
      </c>
      <c r="G84" s="147" t="n">
        <v>0.2928040540540541</v>
      </c>
      <c r="H84" s="101" t="inlineStr">
        <is>
          <t>Atrasado</t>
        </is>
      </c>
      <c r="I84" s="142" t="n"/>
      <c r="J84" s="148">
        <f>IF(I84="","",IF($I$9="","",IF($I$9=0,"",I84/$I$9)))</f>
        <v/>
      </c>
      <c r="K84" s="142" t="n"/>
      <c r="L84" s="148">
        <f>IF(K84="","",IF($K$9="","",IF($K$9=0,"",K84/$K$9)))</f>
        <v/>
      </c>
      <c r="M84" s="142" t="n"/>
      <c r="N84" s="148">
        <f>IF(M84="","",IF($M$9="","",IF($M$9=0,"",M84/$M$9)))</f>
        <v/>
      </c>
      <c r="O84" s="142" t="n"/>
      <c r="P84" s="148">
        <f>IF(O84="","",IF($O$9="","",IF($O$9=0,"",O84/$O$9)))</f>
        <v/>
      </c>
      <c r="Q84" s="142" t="n"/>
      <c r="R84" s="148">
        <f>IF(Q84="","",IF($Q$9="","",IF($Q$9=0,"",Q84/$Q$9)))</f>
        <v/>
      </c>
      <c r="S84" s="144" t="n"/>
      <c r="T84" s="148">
        <f>IF(S84="","",IF($S$9="","",IF($S$9=0,"",S84/$S$9)))</f>
        <v/>
      </c>
      <c r="U84" s="142" t="n"/>
      <c r="V84" s="148">
        <f>IF(U84="","",IF($U$9="","",IF($U$9=0,"",U84/$U$9)))</f>
        <v/>
      </c>
      <c r="W84" s="142" t="n"/>
      <c r="X84" s="148">
        <f>IF(W84="","",IF($W$9="","",IF($W$9=0,"",W84/$W$9)))</f>
        <v/>
      </c>
    </row>
    <row r="85" ht="15" customHeight="1" s="87">
      <c r="A85" s="92" t="n">
        <v>75</v>
      </c>
      <c r="B85" s="138" t="n">
        <v>46706</v>
      </c>
      <c r="C85" s="149" t="n">
        <v>246.9135802469136</v>
      </c>
      <c r="D85" s="140" t="n"/>
      <c r="E85" s="149" t="n">
        <v>18518.51851851852</v>
      </c>
      <c r="F85" s="149" t="n">
        <v>5350</v>
      </c>
      <c r="G85" s="141" t="n">
        <v>0.2889</v>
      </c>
      <c r="H85" s="100" t="inlineStr">
        <is>
          <t>Atrasado</t>
        </is>
      </c>
      <c r="I85" s="142" t="n"/>
      <c r="J85" s="143">
        <f>IF(I85="","",IF($I$9="","",IF($I$9=0,"",I85/$I$9)))</f>
        <v/>
      </c>
      <c r="K85" s="142" t="n"/>
      <c r="L85" s="143">
        <f>IF(K85="","",IF($K$9="","",IF($K$9=0,"",K85/$K$9)))</f>
        <v/>
      </c>
      <c r="M85" s="142" t="n"/>
      <c r="N85" s="143">
        <f>IF(M85="","",IF($M$9="","",IF($M$9=0,"",M85/$M$9)))</f>
        <v/>
      </c>
      <c r="O85" s="142" t="n"/>
      <c r="P85" s="143">
        <f>IF(O85="","",IF($O$9="","",IF($O$9=0,"",O85/$O$9)))</f>
        <v/>
      </c>
      <c r="Q85" s="142" t="n"/>
      <c r="R85" s="143">
        <f>IF(Q85="","",IF($Q$9="","",IF($Q$9=0,"",Q85/$Q$9)))</f>
        <v/>
      </c>
      <c r="S85" s="144" t="n"/>
      <c r="T85" s="143">
        <f>IF(S85="","",IF($S$9="","",IF($S$9=0,"",S85/$S$9)))</f>
        <v/>
      </c>
      <c r="U85" s="142" t="n"/>
      <c r="V85" s="143">
        <f>IF(U85="","",IF($U$9="","",IF($U$9=0,"",U85/$U$9)))</f>
        <v/>
      </c>
      <c r="W85" s="142" t="n"/>
      <c r="X85" s="143">
        <f>IF(W85="","",IF($W$9="","",IF($W$9=0,"",W85/$W$9)))</f>
        <v/>
      </c>
    </row>
    <row r="86" ht="15" customHeight="1" s="87">
      <c r="A86" s="115" t="n">
        <v>76</v>
      </c>
      <c r="B86" s="145" t="n">
        <v>46713</v>
      </c>
      <c r="C86" s="150" t="n">
        <v>246.9135802469136</v>
      </c>
      <c r="D86" s="140" t="n"/>
      <c r="E86" s="150" t="n">
        <v>18765.43209876543</v>
      </c>
      <c r="F86" s="150" t="n">
        <v>5350</v>
      </c>
      <c r="G86" s="147" t="n">
        <v>0.2850986842105263</v>
      </c>
      <c r="H86" s="101" t="inlineStr">
        <is>
          <t>Atrasado</t>
        </is>
      </c>
      <c r="I86" s="142" t="n"/>
      <c r="J86" s="148">
        <f>IF(I86="","",IF($I$9="","",IF($I$9=0,"",I86/$I$9)))</f>
        <v/>
      </c>
      <c r="K86" s="142" t="n"/>
      <c r="L86" s="148">
        <f>IF(K86="","",IF($K$9="","",IF($K$9=0,"",K86/$K$9)))</f>
        <v/>
      </c>
      <c r="M86" s="142" t="n"/>
      <c r="N86" s="148">
        <f>IF(M86="","",IF($M$9="","",IF($M$9=0,"",M86/$M$9)))</f>
        <v/>
      </c>
      <c r="O86" s="142" t="n"/>
      <c r="P86" s="148">
        <f>IF(O86="","",IF($O$9="","",IF($O$9=0,"",O86/$O$9)))</f>
        <v/>
      </c>
      <c r="Q86" s="142" t="n"/>
      <c r="R86" s="148">
        <f>IF(Q86="","",IF($Q$9="","",IF($Q$9=0,"",Q86/$Q$9)))</f>
        <v/>
      </c>
      <c r="S86" s="144" t="n"/>
      <c r="T86" s="148">
        <f>IF(S86="","",IF($S$9="","",IF($S$9=0,"",S86/$S$9)))</f>
        <v/>
      </c>
      <c r="U86" s="142" t="n"/>
      <c r="V86" s="148">
        <f>IF(U86="","",IF($U$9="","",IF($U$9=0,"",U86/$U$9)))</f>
        <v/>
      </c>
      <c r="W86" s="142" t="n"/>
      <c r="X86" s="148">
        <f>IF(W86="","",IF($W$9="","",IF($W$9=0,"",W86/$W$9)))</f>
        <v/>
      </c>
    </row>
    <row r="87" ht="15" customHeight="1" s="87">
      <c r="A87" s="92" t="n">
        <v>77</v>
      </c>
      <c r="B87" s="138" t="n">
        <v>46720</v>
      </c>
      <c r="C87" s="149" t="n">
        <v>246.9135802469136</v>
      </c>
      <c r="D87" s="140" t="n"/>
      <c r="E87" s="149" t="n">
        <v>19012.34567901235</v>
      </c>
      <c r="F87" s="149" t="n">
        <v>5350</v>
      </c>
      <c r="G87" s="141" t="n">
        <v>0.2813961038961039</v>
      </c>
      <c r="H87" s="100" t="inlineStr">
        <is>
          <t>Atrasado</t>
        </is>
      </c>
      <c r="I87" s="142" t="n"/>
      <c r="J87" s="143">
        <f>IF(I87="","",IF($I$9="","",IF($I$9=0,"",I87/$I$9)))</f>
        <v/>
      </c>
      <c r="K87" s="142" t="n"/>
      <c r="L87" s="143">
        <f>IF(K87="","",IF($K$9="","",IF($K$9=0,"",K87/$K$9)))</f>
        <v/>
      </c>
      <c r="M87" s="142" t="n"/>
      <c r="N87" s="143">
        <f>IF(M87="","",IF($M$9="","",IF($M$9=0,"",M87/$M$9)))</f>
        <v/>
      </c>
      <c r="O87" s="142" t="n"/>
      <c r="P87" s="143">
        <f>IF(O87="","",IF($O$9="","",IF($O$9=0,"",O87/$O$9)))</f>
        <v/>
      </c>
      <c r="Q87" s="142" t="n"/>
      <c r="R87" s="143">
        <f>IF(Q87="","",IF($Q$9="","",IF($Q$9=0,"",Q87/$Q$9)))</f>
        <v/>
      </c>
      <c r="S87" s="144" t="n"/>
      <c r="T87" s="143">
        <f>IF(S87="","",IF($S$9="","",IF($S$9=0,"",S87/$S$9)))</f>
        <v/>
      </c>
      <c r="U87" s="142" t="n"/>
      <c r="V87" s="143">
        <f>IF(U87="","",IF($U$9="","",IF($U$9=0,"",U87/$U$9)))</f>
        <v/>
      </c>
      <c r="W87" s="142" t="n"/>
      <c r="X87" s="143">
        <f>IF(W87="","",IF($W$9="","",IF($W$9=0,"",W87/$W$9)))</f>
        <v/>
      </c>
    </row>
    <row r="88" ht="15" customHeight="1" s="87">
      <c r="A88" s="115" t="n">
        <v>78</v>
      </c>
      <c r="B88" s="145" t="n">
        <v>46727</v>
      </c>
      <c r="C88" s="150" t="n">
        <v>246.9135802469136</v>
      </c>
      <c r="D88" s="140" t="n"/>
      <c r="E88" s="150" t="n">
        <v>19259.25925925926</v>
      </c>
      <c r="F88" s="150" t="n">
        <v>5350</v>
      </c>
      <c r="G88" s="147" t="n">
        <v>0.2777884615384615</v>
      </c>
      <c r="H88" s="101" t="inlineStr">
        <is>
          <t>Atrasado</t>
        </is>
      </c>
      <c r="I88" s="142" t="n"/>
      <c r="J88" s="148">
        <f>IF(I88="","",IF($I$9="","",IF($I$9=0,"",I88/$I$9)))</f>
        <v/>
      </c>
      <c r="K88" s="142" t="n"/>
      <c r="L88" s="148">
        <f>IF(K88="","",IF($K$9="","",IF($K$9=0,"",K88/$K$9)))</f>
        <v/>
      </c>
      <c r="M88" s="142" t="n"/>
      <c r="N88" s="148">
        <f>IF(M88="","",IF($M$9="","",IF($M$9=0,"",M88/$M$9)))</f>
        <v/>
      </c>
      <c r="O88" s="142" t="n"/>
      <c r="P88" s="148">
        <f>IF(O88="","",IF($O$9="","",IF($O$9=0,"",O88/$O$9)))</f>
        <v/>
      </c>
      <c r="Q88" s="142" t="n"/>
      <c r="R88" s="148">
        <f>IF(Q88="","",IF($Q$9="","",IF($Q$9=0,"",Q88/$Q$9)))</f>
        <v/>
      </c>
      <c r="S88" s="144" t="n"/>
      <c r="T88" s="148">
        <f>IF(S88="","",IF($S$9="","",IF($S$9=0,"",S88/$S$9)))</f>
        <v/>
      </c>
      <c r="U88" s="142" t="n"/>
      <c r="V88" s="148">
        <f>IF(U88="","",IF($U$9="","",IF($U$9=0,"",U88/$U$9)))</f>
        <v/>
      </c>
      <c r="W88" s="142" t="n"/>
      <c r="X88" s="148">
        <f>IF(W88="","",IF($W$9="","",IF($W$9=0,"",W88/$W$9)))</f>
        <v/>
      </c>
    </row>
    <row r="89" ht="15" customHeight="1" s="87">
      <c r="A89" s="92" t="n">
        <v>79</v>
      </c>
      <c r="B89" s="138" t="n">
        <v>46734</v>
      </c>
      <c r="C89" s="149" t="n">
        <v>246.9135802469136</v>
      </c>
      <c r="D89" s="140" t="n"/>
      <c r="E89" s="149" t="n">
        <v>19506.17283950617</v>
      </c>
      <c r="F89" s="149" t="n">
        <v>5350</v>
      </c>
      <c r="G89" s="141" t="n">
        <v>0.2742721518987342</v>
      </c>
      <c r="H89" s="100" t="inlineStr">
        <is>
          <t>Atrasado</t>
        </is>
      </c>
      <c r="I89" s="142" t="n"/>
      <c r="J89" s="143">
        <f>IF(I89="","",IF($I$9="","",IF($I$9=0,"",I89/$I$9)))</f>
        <v/>
      </c>
      <c r="K89" s="142" t="n"/>
      <c r="L89" s="143">
        <f>IF(K89="","",IF($K$9="","",IF($K$9=0,"",K89/$K$9)))</f>
        <v/>
      </c>
      <c r="M89" s="142" t="n"/>
      <c r="N89" s="143">
        <f>IF(M89="","",IF($M$9="","",IF($M$9=0,"",M89/$M$9)))</f>
        <v/>
      </c>
      <c r="O89" s="142" t="n"/>
      <c r="P89" s="143">
        <f>IF(O89="","",IF($O$9="","",IF($O$9=0,"",O89/$O$9)))</f>
        <v/>
      </c>
      <c r="Q89" s="142" t="n"/>
      <c r="R89" s="143">
        <f>IF(Q89="","",IF($Q$9="","",IF($Q$9=0,"",Q89/$Q$9)))</f>
        <v/>
      </c>
      <c r="S89" s="144" t="n"/>
      <c r="T89" s="143">
        <f>IF(S89="","",IF($S$9="","",IF($S$9=0,"",S89/$S$9)))</f>
        <v/>
      </c>
      <c r="U89" s="142" t="n"/>
      <c r="V89" s="143">
        <f>IF(U89="","",IF($U$9="","",IF($U$9=0,"",U89/$U$9)))</f>
        <v/>
      </c>
      <c r="W89" s="142" t="n"/>
      <c r="X89" s="143">
        <f>IF(W89="","",IF($W$9="","",IF($W$9=0,"",W89/$W$9)))</f>
        <v/>
      </c>
    </row>
    <row r="90" ht="15" customHeight="1" s="87">
      <c r="A90" s="115" t="n">
        <v>80</v>
      </c>
      <c r="B90" s="145" t="n">
        <v>46741</v>
      </c>
      <c r="C90" s="150" t="n">
        <v>246.9135802469136</v>
      </c>
      <c r="D90" s="140" t="n"/>
      <c r="E90" s="150" t="n">
        <v>19753.08641975309</v>
      </c>
      <c r="F90" s="150" t="n">
        <v>5350</v>
      </c>
      <c r="G90" s="147" t="n">
        <v>0.27084375</v>
      </c>
      <c r="H90" s="101" t="inlineStr">
        <is>
          <t>Atrasado</t>
        </is>
      </c>
      <c r="I90" s="142" t="n"/>
      <c r="J90" s="148">
        <f>IF(I90="","",IF($I$9="","",IF($I$9=0,"",I90/$I$9)))</f>
        <v/>
      </c>
      <c r="K90" s="142" t="n"/>
      <c r="L90" s="148">
        <f>IF(K90="","",IF($K$9="","",IF($K$9=0,"",K90/$K$9)))</f>
        <v/>
      </c>
      <c r="M90" s="142" t="n"/>
      <c r="N90" s="148">
        <f>IF(M90="","",IF($M$9="","",IF($M$9=0,"",M90/$M$9)))</f>
        <v/>
      </c>
      <c r="O90" s="142" t="n"/>
      <c r="P90" s="148">
        <f>IF(O90="","",IF($O$9="","",IF($O$9=0,"",O90/$O$9)))</f>
        <v/>
      </c>
      <c r="Q90" s="142" t="n"/>
      <c r="R90" s="148">
        <f>IF(Q90="","",IF($Q$9="","",IF($Q$9=0,"",Q90/$Q$9)))</f>
        <v/>
      </c>
      <c r="S90" s="144" t="n"/>
      <c r="T90" s="148">
        <f>IF(S90="","",IF($S$9="","",IF($S$9=0,"",S90/$S$9)))</f>
        <v/>
      </c>
      <c r="U90" s="142" t="n"/>
      <c r="V90" s="148">
        <f>IF(U90="","",IF($U$9="","",IF($U$9=0,"",U90/$U$9)))</f>
        <v/>
      </c>
      <c r="W90" s="142" t="n"/>
      <c r="X90" s="148">
        <f>IF(W90="","",IF($W$9="","",IF($W$9=0,"",W90/$W$9)))</f>
        <v/>
      </c>
    </row>
    <row r="91" ht="15" customHeight="1" s="87">
      <c r="A91" s="92" t="n">
        <v>81</v>
      </c>
      <c r="B91" s="138" t="n">
        <v>46748</v>
      </c>
      <c r="C91" s="149" t="n">
        <v>246.9135802469136</v>
      </c>
      <c r="D91" s="140" t="n"/>
      <c r="E91" s="149" t="n">
        <v>20000</v>
      </c>
      <c r="F91" s="149" t="n">
        <v>5350</v>
      </c>
      <c r="G91" s="141" t="n">
        <v>0.2675</v>
      </c>
      <c r="H91" s="100" t="inlineStr">
        <is>
          <t>Atrasado</t>
        </is>
      </c>
      <c r="I91" s="142" t="n"/>
      <c r="J91" s="143">
        <f>IF(I91="","",IF($I$9="","",IF($I$9=0,"",I91/$I$9)))</f>
        <v/>
      </c>
      <c r="K91" s="142" t="n"/>
      <c r="L91" s="143">
        <f>IF(K91="","",IF($K$9="","",IF($K$9=0,"",K91/$K$9)))</f>
        <v/>
      </c>
      <c r="M91" s="142" t="n"/>
      <c r="N91" s="143">
        <f>IF(M91="","",IF($M$9="","",IF($M$9=0,"",M91/$M$9)))</f>
        <v/>
      </c>
      <c r="O91" s="142" t="n"/>
      <c r="P91" s="143">
        <f>IF(O91="","",IF($O$9="","",IF($O$9=0,"",O91/$O$9)))</f>
        <v/>
      </c>
      <c r="Q91" s="142" t="n"/>
      <c r="R91" s="143">
        <f>IF(Q91="","",IF($Q$9="","",IF($Q$9=0,"",Q91/$Q$9)))</f>
        <v/>
      </c>
      <c r="S91" s="144" t="n"/>
      <c r="T91" s="143">
        <f>IF(S91="","",IF($S$9="","",IF($S$9=0,"",S91/$S$9)))</f>
        <v/>
      </c>
      <c r="U91" s="142" t="n"/>
      <c r="V91" s="143">
        <f>IF(U91="","",IF($U$9="","",IF($U$9=0,"",U91/$U$9)))</f>
        <v/>
      </c>
      <c r="W91" s="142" t="n"/>
      <c r="X91" s="143">
        <f>IF(W91="","",IF($W$9="","",IF($W$9=0,"",W91/$W$9)))</f>
        <v/>
      </c>
    </row>
    <row r="92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91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X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6 — Tener cero contratos expired en al menos 16 de los próximos 18 meses</t>
        </is>
      </c>
    </row>
    <row r="2" ht="15" customHeight="1" s="87">
      <c r="A2" s="104" t="inlineStr">
        <is>
          <t>Indicador lag:</t>
        </is>
      </c>
      <c r="B2" s="127" t="inlineStr">
        <is>
          <t>Contratos en estado Expired / On-Hold al cierre de la semana (meta: 0).</t>
        </is>
      </c>
    </row>
    <row r="3" ht="15" customHeight="1" s="87">
      <c r="A3" s="104" t="inlineStr">
        <is>
          <t>De X a Y:</t>
        </is>
      </c>
      <c r="B3" s="127" t="inlineStr">
        <is>
          <t>De N a 0 contratos expired, sosteniéndolo en 16 de los próximos 18 meses (jun 2026 – dic 2027).</t>
        </is>
      </c>
    </row>
    <row r="4" ht="15" customHeight="1" s="87">
      <c r="A4" s="104" t="inlineStr">
        <is>
          <t>Dueño:</t>
        </is>
      </c>
      <c r="B4" s="128" t="inlineStr">
        <is>
          <t>D. Lacayo</t>
        </is>
      </c>
      <c r="D4" s="104" t="inlineStr">
        <is>
          <t>Equipo:</t>
        </is>
      </c>
      <c r="E4" s="127" t="inlineStr">
        <is>
          <t>Customer Success, Del - DEX, Del - TSS, Del - DC</t>
        </is>
      </c>
    </row>
    <row r="5" ht="15" customHeight="1" s="87">
      <c r="A5" s="104" t="inlineStr">
        <is>
          <t>Meta:</t>
        </is>
      </c>
      <c r="B5" s="129" t="n">
        <v>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46748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COUNT(A11:A91)</f>
        <v/>
      </c>
      <c r="H8" s="132" t="inlineStr">
        <is>
          <t>Lead →</t>
        </is>
      </c>
      <c r="I8" s="133" t="inlineStr">
        <is>
          <t>L1. % contratos por vencer en 90 días con plan</t>
        </is>
      </c>
      <c r="J8" s="134" t="n"/>
      <c r="K8" s="133" t="inlineStr">
        <is>
          <t>L2. Renovaciones cerradas a tiempo en la semana</t>
        </is>
      </c>
      <c r="L8" s="134" t="n"/>
      <c r="M8" s="133" t="inlineStr">
        <is>
          <t>L3. Cotizaciones de renovación enviadas ≥60 días antes</t>
        </is>
      </c>
      <c r="N8" s="134" t="n"/>
      <c r="O8" s="133" t="inlineStr">
        <is>
          <t>L4. QBRs con clientes en riesgo de no renovar</t>
        </is>
      </c>
      <c r="P8" s="134" t="n"/>
      <c r="Q8" s="133" t="inlineStr">
        <is>
          <t>L5. % contratos on-hold con plan de reactivación</t>
        </is>
      </c>
      <c r="R8" s="134" t="n"/>
      <c r="S8" s="133" t="inlineStr">
        <is>
          <t>L6. Forecast de renovaciones actualizado (1 = sí)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5" t="n">
        <v>2</v>
      </c>
      <c r="L9" s="134" t="n"/>
      <c r="M9" s="135" t="n">
        <v>3</v>
      </c>
      <c r="N9" s="134" t="n"/>
      <c r="O9" s="135" t="n">
        <v>1</v>
      </c>
      <c r="P9" s="134" t="n"/>
      <c r="Q9" s="136" t="n">
        <v>1</v>
      </c>
      <c r="R9" s="134" t="n"/>
      <c r="S9" s="135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39" t="n">
        <v>0</v>
      </c>
      <c r="D11" s="140" t="n">
        <v>5</v>
      </c>
      <c r="E11" s="92" t="n"/>
      <c r="F11" s="92" t="n"/>
      <c r="G11" s="155" t="n">
        <v>5</v>
      </c>
      <c r="H11" s="100" t="inlineStr">
        <is>
          <t>Atrasado</t>
        </is>
      </c>
      <c r="I11" s="144" t="n">
        <v>1</v>
      </c>
      <c r="J11" s="143" t="n">
        <v>1</v>
      </c>
      <c r="K11" s="142" t="n">
        <v>2</v>
      </c>
      <c r="L11" s="143" t="n">
        <v>1</v>
      </c>
      <c r="M11" s="142" t="n">
        <v>3</v>
      </c>
      <c r="N11" s="143" t="n">
        <v>1</v>
      </c>
      <c r="O11" s="142" t="n">
        <v>1</v>
      </c>
      <c r="P11" s="143" t="n">
        <v>1</v>
      </c>
      <c r="Q11" s="144" t="n">
        <v>1</v>
      </c>
      <c r="R11" s="143" t="n">
        <v>1</v>
      </c>
      <c r="S11" s="142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46" t="n">
        <v>0</v>
      </c>
      <c r="D12" s="140" t="n">
        <v>4</v>
      </c>
      <c r="E12" s="115" t="n"/>
      <c r="F12" s="115" t="n"/>
      <c r="G12" s="156" t="n">
        <v>4</v>
      </c>
      <c r="H12" s="101" t="inlineStr">
        <is>
          <t>Atrasado</t>
        </is>
      </c>
      <c r="I12" s="144" t="n">
        <v>1</v>
      </c>
      <c r="J12" s="148" t="n">
        <v>1</v>
      </c>
      <c r="K12" s="142" t="n">
        <v>2</v>
      </c>
      <c r="L12" s="148" t="n">
        <v>1</v>
      </c>
      <c r="M12" s="142" t="n">
        <v>3</v>
      </c>
      <c r="N12" s="148" t="n">
        <v>1</v>
      </c>
      <c r="O12" s="142" t="n">
        <v>1</v>
      </c>
      <c r="P12" s="148" t="n">
        <v>1</v>
      </c>
      <c r="Q12" s="144" t="n">
        <v>1</v>
      </c>
      <c r="R12" s="148" t="n">
        <v>1</v>
      </c>
      <c r="S12" s="142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39" t="n">
        <v>0</v>
      </c>
      <c r="D13" s="140" t="n">
        <v>4</v>
      </c>
      <c r="E13" s="92" t="n"/>
      <c r="F13" s="92" t="n"/>
      <c r="G13" s="155" t="n">
        <v>4</v>
      </c>
      <c r="H13" s="100" t="inlineStr">
        <is>
          <t>Atrasado</t>
        </is>
      </c>
      <c r="I13" s="144" t="n">
        <v>1</v>
      </c>
      <c r="J13" s="143" t="n">
        <v>1</v>
      </c>
      <c r="K13" s="142" t="n">
        <v>2</v>
      </c>
      <c r="L13" s="143" t="n">
        <v>1</v>
      </c>
      <c r="M13" s="142" t="n">
        <v>2</v>
      </c>
      <c r="N13" s="143" t="n">
        <v>0.6666666666666666</v>
      </c>
      <c r="O13" s="142" t="n">
        <v>1</v>
      </c>
      <c r="P13" s="143" t="n">
        <v>1</v>
      </c>
      <c r="Q13" s="144" t="n">
        <v>1</v>
      </c>
      <c r="R13" s="143" t="n">
        <v>1</v>
      </c>
      <c r="S13" s="142" t="n">
        <v>2</v>
      </c>
      <c r="T13" s="143" t="n">
        <v>2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46" t="n">
        <v>0</v>
      </c>
      <c r="D14" s="140" t="n">
        <v>3</v>
      </c>
      <c r="E14" s="115" t="n"/>
      <c r="F14" s="115" t="n"/>
      <c r="G14" s="156" t="n">
        <v>3</v>
      </c>
      <c r="H14" s="101" t="inlineStr">
        <is>
          <t>Atrasado</t>
        </is>
      </c>
      <c r="I14" s="144" t="n">
        <v>1</v>
      </c>
      <c r="J14" s="148" t="n">
        <v>1</v>
      </c>
      <c r="K14" s="142" t="n">
        <v>2</v>
      </c>
      <c r="L14" s="148" t="n">
        <v>1</v>
      </c>
      <c r="M14" s="142" t="n">
        <v>3</v>
      </c>
      <c r="N14" s="148" t="n">
        <v>1</v>
      </c>
      <c r="O14" s="142" t="n">
        <v>1</v>
      </c>
      <c r="P14" s="148" t="n">
        <v>1</v>
      </c>
      <c r="Q14" s="144" t="n">
        <v>1</v>
      </c>
      <c r="R14" s="148" t="n">
        <v>1</v>
      </c>
      <c r="S14" s="142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39" t="n">
        <v>0</v>
      </c>
      <c r="D15" s="140" t="n">
        <v>2</v>
      </c>
      <c r="E15" s="92" t="n"/>
      <c r="F15" s="92" t="n"/>
      <c r="G15" s="155" t="n">
        <v>2</v>
      </c>
      <c r="H15" s="100" t="inlineStr">
        <is>
          <t>Atrasado</t>
        </is>
      </c>
      <c r="I15" s="144" t="n">
        <v>1</v>
      </c>
      <c r="J15" s="143" t="n">
        <v>1</v>
      </c>
      <c r="K15" s="142" t="n">
        <v>2</v>
      </c>
      <c r="L15" s="143" t="n">
        <v>1</v>
      </c>
      <c r="M15" s="142" t="n">
        <v>3</v>
      </c>
      <c r="N15" s="143" t="n">
        <v>1</v>
      </c>
      <c r="O15" s="142" t="n">
        <v>1</v>
      </c>
      <c r="P15" s="143" t="n">
        <v>1</v>
      </c>
      <c r="Q15" s="144" t="n">
        <v>1</v>
      </c>
      <c r="R15" s="143" t="n">
        <v>1</v>
      </c>
      <c r="S15" s="142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46" t="n">
        <v>0</v>
      </c>
      <c r="D16" s="140" t="n">
        <v>2</v>
      </c>
      <c r="E16" s="115" t="n"/>
      <c r="F16" s="115" t="n"/>
      <c r="G16" s="156" t="n">
        <v>2</v>
      </c>
      <c r="H16" s="101" t="inlineStr">
        <is>
          <t>Atrasado</t>
        </is>
      </c>
      <c r="I16" s="144" t="n">
        <v>1</v>
      </c>
      <c r="J16" s="148" t="n">
        <v>1</v>
      </c>
      <c r="K16" s="142" t="n">
        <v>2</v>
      </c>
      <c r="L16" s="148" t="n">
        <v>1</v>
      </c>
      <c r="M16" s="142" t="n">
        <v>2</v>
      </c>
      <c r="N16" s="148" t="n">
        <v>0.6666666666666666</v>
      </c>
      <c r="O16" s="142" t="n">
        <v>1</v>
      </c>
      <c r="P16" s="148" t="n">
        <v>1</v>
      </c>
      <c r="Q16" s="144" t="n">
        <v>1</v>
      </c>
      <c r="R16" s="148" t="n">
        <v>1</v>
      </c>
      <c r="S16" s="142" t="n">
        <v>1</v>
      </c>
      <c r="T16" s="148" t="n">
        <v>1</v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39" t="n">
        <v>0</v>
      </c>
      <c r="D17" s="140" t="n">
        <v>1</v>
      </c>
      <c r="E17" s="92" t="n"/>
      <c r="F17" s="92" t="n"/>
      <c r="G17" s="155" t="n">
        <v>1</v>
      </c>
      <c r="H17" s="100" t="inlineStr">
        <is>
          <t>Riesgo</t>
        </is>
      </c>
      <c r="I17" s="144" t="n">
        <v>1</v>
      </c>
      <c r="J17" s="143" t="n">
        <v>1</v>
      </c>
      <c r="K17" s="142" t="n">
        <v>2</v>
      </c>
      <c r="L17" s="143" t="n">
        <v>1</v>
      </c>
      <c r="M17" s="142" t="n">
        <v>2</v>
      </c>
      <c r="N17" s="143" t="n">
        <v>0.6666666666666666</v>
      </c>
      <c r="O17" s="142" t="n">
        <v>1</v>
      </c>
      <c r="P17" s="143" t="n">
        <v>1</v>
      </c>
      <c r="Q17" s="144" t="n">
        <v>1</v>
      </c>
      <c r="R17" s="143" t="n">
        <v>1</v>
      </c>
      <c r="S17" s="142" t="n">
        <v>1</v>
      </c>
      <c r="T17" s="143" t="n">
        <v>1</v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46" t="n">
        <v>0</v>
      </c>
      <c r="D18" s="140" t="n">
        <v>1</v>
      </c>
      <c r="E18" s="115" t="n"/>
      <c r="F18" s="115" t="n"/>
      <c r="G18" s="156" t="n">
        <v>1</v>
      </c>
      <c r="H18" s="101" t="inlineStr">
        <is>
          <t>Riesgo</t>
        </is>
      </c>
      <c r="I18" s="144" t="n">
        <v>1</v>
      </c>
      <c r="J18" s="148" t="n">
        <v>1</v>
      </c>
      <c r="K18" s="142" t="n">
        <v>2</v>
      </c>
      <c r="L18" s="148" t="n">
        <v>1</v>
      </c>
      <c r="M18" s="142" t="n">
        <v>2</v>
      </c>
      <c r="N18" s="148" t="n">
        <v>0.6666666666666666</v>
      </c>
      <c r="O18" s="142" t="n">
        <v>1</v>
      </c>
      <c r="P18" s="148" t="n">
        <v>1</v>
      </c>
      <c r="Q18" s="144" t="n">
        <v>1</v>
      </c>
      <c r="R18" s="148" t="n">
        <v>1</v>
      </c>
      <c r="S18" s="142" t="n">
        <v>1</v>
      </c>
      <c r="T18" s="148" t="n">
        <v>1</v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39" t="n">
        <v>0</v>
      </c>
      <c r="D19" s="140" t="n">
        <v>0</v>
      </c>
      <c r="E19" s="92" t="n"/>
      <c r="F19" s="92" t="n"/>
      <c r="G19" s="155" t="n">
        <v>0</v>
      </c>
      <c r="H19" s="100" t="inlineStr">
        <is>
          <t>En meta</t>
        </is>
      </c>
      <c r="I19" s="144" t="n">
        <v>1</v>
      </c>
      <c r="J19" s="143" t="n">
        <v>1</v>
      </c>
      <c r="K19" s="142" t="n">
        <v>2</v>
      </c>
      <c r="L19" s="143" t="n">
        <v>1</v>
      </c>
      <c r="M19" s="142" t="n">
        <v>4</v>
      </c>
      <c r="N19" s="143" t="n">
        <v>1.333333333333333</v>
      </c>
      <c r="O19" s="142" t="n">
        <v>0</v>
      </c>
      <c r="P19" s="143" t="n">
        <v>0</v>
      </c>
      <c r="Q19" s="144" t="n">
        <v>1</v>
      </c>
      <c r="R19" s="143" t="n">
        <v>1</v>
      </c>
      <c r="S19" s="142" t="n">
        <v>1</v>
      </c>
      <c r="T19" s="143" t="n">
        <v>1</v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46" t="n">
        <v>0</v>
      </c>
      <c r="D20" s="140" t="n">
        <v>0</v>
      </c>
      <c r="E20" s="115" t="n"/>
      <c r="F20" s="115" t="n"/>
      <c r="G20" s="156" t="n">
        <v>0</v>
      </c>
      <c r="H20" s="101" t="inlineStr">
        <is>
          <t>En meta</t>
        </is>
      </c>
      <c r="I20" s="144" t="n">
        <v>1</v>
      </c>
      <c r="J20" s="148" t="n">
        <v>1</v>
      </c>
      <c r="K20" s="142" t="n">
        <v>2</v>
      </c>
      <c r="L20" s="148" t="n">
        <v>1</v>
      </c>
      <c r="M20" s="142" t="n">
        <v>2</v>
      </c>
      <c r="N20" s="148" t="n">
        <v>0.6666666666666666</v>
      </c>
      <c r="O20" s="142" t="n">
        <v>1</v>
      </c>
      <c r="P20" s="148" t="n">
        <v>1</v>
      </c>
      <c r="Q20" s="144" t="n">
        <v>1</v>
      </c>
      <c r="R20" s="148" t="n">
        <v>1</v>
      </c>
      <c r="S20" s="142" t="n">
        <v>1</v>
      </c>
      <c r="T20" s="148" t="n">
        <v>1</v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39" t="n">
        <v>0</v>
      </c>
      <c r="D21" s="140" t="n">
        <v>1</v>
      </c>
      <c r="E21" s="92" t="n"/>
      <c r="F21" s="92" t="n"/>
      <c r="G21" s="155" t="n">
        <v>1</v>
      </c>
      <c r="H21" s="100" t="inlineStr">
        <is>
          <t>Riesgo</t>
        </is>
      </c>
      <c r="I21" s="144" t="n">
        <v>1</v>
      </c>
      <c r="J21" s="143" t="n">
        <v>1</v>
      </c>
      <c r="K21" s="142" t="n">
        <v>2</v>
      </c>
      <c r="L21" s="143" t="n">
        <v>1</v>
      </c>
      <c r="M21" s="142" t="n">
        <v>3</v>
      </c>
      <c r="N21" s="143" t="n">
        <v>1</v>
      </c>
      <c r="O21" s="142" t="n">
        <v>1</v>
      </c>
      <c r="P21" s="143" t="n">
        <v>1</v>
      </c>
      <c r="Q21" s="144" t="n">
        <v>1</v>
      </c>
      <c r="R21" s="143" t="n">
        <v>1</v>
      </c>
      <c r="S21" s="142" t="n">
        <v>1</v>
      </c>
      <c r="T21" s="143" t="n">
        <v>1</v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46" t="n">
        <v>0</v>
      </c>
      <c r="D22" s="140" t="n">
        <v>0</v>
      </c>
      <c r="E22" s="115" t="n"/>
      <c r="F22" s="115" t="n"/>
      <c r="G22" s="156" t="n">
        <v>0</v>
      </c>
      <c r="H22" s="101" t="inlineStr">
        <is>
          <t>En meta</t>
        </is>
      </c>
      <c r="I22" s="144" t="n">
        <v>1</v>
      </c>
      <c r="J22" s="148" t="n">
        <v>1</v>
      </c>
      <c r="K22" s="142" t="n">
        <v>2</v>
      </c>
      <c r="L22" s="148" t="n">
        <v>1</v>
      </c>
      <c r="M22" s="142" t="n">
        <v>3</v>
      </c>
      <c r="N22" s="148" t="n">
        <v>1</v>
      </c>
      <c r="O22" s="142" t="n">
        <v>1</v>
      </c>
      <c r="P22" s="148" t="n">
        <v>1</v>
      </c>
      <c r="Q22" s="144" t="n">
        <v>1</v>
      </c>
      <c r="R22" s="148" t="n">
        <v>1</v>
      </c>
      <c r="S22" s="142" t="n">
        <v>1</v>
      </c>
      <c r="T22" s="148" t="n">
        <v>1</v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39" t="n">
        <v>0</v>
      </c>
      <c r="D23" s="140" t="n"/>
      <c r="E23" s="92" t="n"/>
      <c r="F23" s="92" t="n"/>
      <c r="G23" s="155">
        <f>IF(D23="","",D23-C23)</f>
        <v/>
      </c>
      <c r="H23" s="100">
        <f>IF(D23="","",IF(D23&lt;=C23,"En meta",IF(D23&lt;=C23+1,"Riesgo","Atrasado")))</f>
        <v/>
      </c>
      <c r="I23" s="144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4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46" t="n">
        <v>0</v>
      </c>
      <c r="D24" s="140" t="n"/>
      <c r="E24" s="115" t="n"/>
      <c r="F24" s="115" t="n"/>
      <c r="G24" s="156">
        <f>IF(D24="","",D24-C24)</f>
        <v/>
      </c>
      <c r="H24" s="101">
        <f>IF(D24="","",IF(D24&lt;=C24,"En meta",IF(D24&lt;=C24+1,"Riesgo","Atrasado")))</f>
        <v/>
      </c>
      <c r="I24" s="144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4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39" t="n">
        <v>0</v>
      </c>
      <c r="D25" s="140" t="n"/>
      <c r="E25" s="92" t="n"/>
      <c r="F25" s="92" t="n"/>
      <c r="G25" s="155">
        <f>IF(D25="","",D25-C25)</f>
        <v/>
      </c>
      <c r="H25" s="100">
        <f>IF(D25="","",IF(D25&lt;=C25,"En meta",IF(D25&lt;=C25+1,"Riesgo","Atrasado")))</f>
        <v/>
      </c>
      <c r="I25" s="144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4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46" t="n">
        <v>0</v>
      </c>
      <c r="D26" s="140" t="n"/>
      <c r="E26" s="115" t="n"/>
      <c r="F26" s="115" t="n"/>
      <c r="G26" s="156">
        <f>IF(D26="","",D26-C26)</f>
        <v/>
      </c>
      <c r="H26" s="101">
        <f>IF(D26="","",IF(D26&lt;=C26,"En meta",IF(D26&lt;=C26+1,"Riesgo","Atrasado")))</f>
        <v/>
      </c>
      <c r="I26" s="144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4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39" t="n">
        <v>0</v>
      </c>
      <c r="D27" s="140" t="n"/>
      <c r="E27" s="92" t="n"/>
      <c r="F27" s="92" t="n"/>
      <c r="G27" s="155">
        <f>IF(D27="","",D27-C27)</f>
        <v/>
      </c>
      <c r="H27" s="100">
        <f>IF(D27="","",IF(D27&lt;=C27,"En meta",IF(D27&lt;=C27+1,"Riesgo","Atrasado")))</f>
        <v/>
      </c>
      <c r="I27" s="144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4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46" t="n">
        <v>0</v>
      </c>
      <c r="D28" s="140" t="n"/>
      <c r="E28" s="115" t="n"/>
      <c r="F28" s="115" t="n"/>
      <c r="G28" s="156">
        <f>IF(D28="","",D28-C28)</f>
        <v/>
      </c>
      <c r="H28" s="101">
        <f>IF(D28="","",IF(D28&lt;=C28,"En meta",IF(D28&lt;=C28+1,"Riesgo","Atrasado")))</f>
        <v/>
      </c>
      <c r="I28" s="144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4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39" t="n">
        <v>0</v>
      </c>
      <c r="D29" s="140" t="n"/>
      <c r="E29" s="92" t="n"/>
      <c r="F29" s="92" t="n"/>
      <c r="G29" s="155">
        <f>IF(D29="","",D29-C29)</f>
        <v/>
      </c>
      <c r="H29" s="100">
        <f>IF(D29="","",IF(D29&lt;=C29,"En meta",IF(D29&lt;=C29+1,"Riesgo","Atrasado")))</f>
        <v/>
      </c>
      <c r="I29" s="144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4" t="n"/>
      <c r="R29" s="143">
        <f>IF(Q29="","",IF($Q$9="","",IF($Q$9=0,"",Q29/$Q$9)))</f>
        <v/>
      </c>
      <c r="S29" s="142" t="n"/>
      <c r="T29" s="143">
        <f>IF(S29="","",IF($S$9="","",IF($S$9=0,"",S29/$S$9)))</f>
        <v/>
      </c>
      <c r="U29" s="142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46" t="n">
        <v>0</v>
      </c>
      <c r="D30" s="140" t="n"/>
      <c r="E30" s="115" t="n"/>
      <c r="F30" s="115" t="n"/>
      <c r="G30" s="156">
        <f>IF(D30="","",D30-C30)</f>
        <v/>
      </c>
      <c r="H30" s="101">
        <f>IF(D30="","",IF(D30&lt;=C30,"En meta",IF(D30&lt;=C30+1,"Riesgo","Atrasado")))</f>
        <v/>
      </c>
      <c r="I30" s="144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4" t="n"/>
      <c r="R30" s="148">
        <f>IF(Q30="","",IF($Q$9="","",IF($Q$9=0,"",Q30/$Q$9)))</f>
        <v/>
      </c>
      <c r="S30" s="142" t="n"/>
      <c r="T30" s="148">
        <f>IF(S30="","",IF($S$9="","",IF($S$9=0,"",S30/$S$9)))</f>
        <v/>
      </c>
      <c r="U30" s="142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39" t="n">
        <v>0</v>
      </c>
      <c r="D31" s="140" t="n"/>
      <c r="E31" s="92" t="n"/>
      <c r="F31" s="92" t="n"/>
      <c r="G31" s="155">
        <f>IF(D31="","",D31-C31)</f>
        <v/>
      </c>
      <c r="H31" s="100">
        <f>IF(D31="","",IF(D31&lt;=C31,"En meta",IF(D31&lt;=C31+1,"Riesgo","Atrasado")))</f>
        <v/>
      </c>
      <c r="I31" s="144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4" t="n"/>
      <c r="R31" s="143">
        <f>IF(Q31="","",IF($Q$9="","",IF($Q$9=0,"",Q31/$Q$9)))</f>
        <v/>
      </c>
      <c r="S31" s="142" t="n"/>
      <c r="T31" s="143">
        <f>IF(S31="","",IF($S$9="","",IF($S$9=0,"",S31/$S$9)))</f>
        <v/>
      </c>
      <c r="U31" s="142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46" t="n">
        <v>0</v>
      </c>
      <c r="D32" s="140" t="n"/>
      <c r="E32" s="115" t="n"/>
      <c r="F32" s="115" t="n"/>
      <c r="G32" s="156">
        <f>IF(D32="","",D32-C32)</f>
        <v/>
      </c>
      <c r="H32" s="101">
        <f>IF(D32="","",IF(D32&lt;=C32,"En meta",IF(D32&lt;=C32+1,"Riesgo","Atrasado")))</f>
        <v/>
      </c>
      <c r="I32" s="144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4" t="n"/>
      <c r="R32" s="148">
        <f>IF(Q32="","",IF($Q$9="","",IF($Q$9=0,"",Q32/$Q$9)))</f>
        <v/>
      </c>
      <c r="S32" s="142" t="n"/>
      <c r="T32" s="148">
        <f>IF(S32="","",IF($S$9="","",IF($S$9=0,"",S32/$S$9)))</f>
        <v/>
      </c>
      <c r="U32" s="142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39" t="n">
        <v>0</v>
      </c>
      <c r="D33" s="140" t="n"/>
      <c r="E33" s="92" t="n"/>
      <c r="F33" s="92" t="n"/>
      <c r="G33" s="155">
        <f>IF(D33="","",D33-C33)</f>
        <v/>
      </c>
      <c r="H33" s="100">
        <f>IF(D33="","",IF(D33&lt;=C33,"En meta",IF(D33&lt;=C33+1,"Riesgo","Atrasado")))</f>
        <v/>
      </c>
      <c r="I33" s="144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4" t="n"/>
      <c r="R33" s="143">
        <f>IF(Q33="","",IF($Q$9="","",IF($Q$9=0,"",Q33/$Q$9)))</f>
        <v/>
      </c>
      <c r="S33" s="142" t="n"/>
      <c r="T33" s="143">
        <f>IF(S33="","",IF($S$9="","",IF($S$9=0,"",S33/$S$9)))</f>
        <v/>
      </c>
      <c r="U33" s="142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46" t="n">
        <v>0</v>
      </c>
      <c r="D34" s="140" t="n"/>
      <c r="E34" s="115" t="n"/>
      <c r="F34" s="115" t="n"/>
      <c r="G34" s="156">
        <f>IF(D34="","",D34-C34)</f>
        <v/>
      </c>
      <c r="H34" s="101">
        <f>IF(D34="","",IF(D34&lt;=C34,"En meta",IF(D34&lt;=C34+1,"Riesgo","Atrasado")))</f>
        <v/>
      </c>
      <c r="I34" s="144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4" t="n"/>
      <c r="R34" s="148">
        <f>IF(Q34="","",IF($Q$9="","",IF($Q$9=0,"",Q34/$Q$9)))</f>
        <v/>
      </c>
      <c r="S34" s="142" t="n"/>
      <c r="T34" s="148">
        <f>IF(S34="","",IF($S$9="","",IF($S$9=0,"",S34/$S$9)))</f>
        <v/>
      </c>
      <c r="U34" s="142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39" t="n">
        <v>0</v>
      </c>
      <c r="D35" s="140" t="n"/>
      <c r="E35" s="92" t="n"/>
      <c r="F35" s="92" t="n"/>
      <c r="G35" s="155">
        <f>IF(D35="","",D35-C35)</f>
        <v/>
      </c>
      <c r="H35" s="100">
        <f>IF(D35="","",IF(D35&lt;=C35,"En meta",IF(D35&lt;=C35+1,"Riesgo","Atrasado")))</f>
        <v/>
      </c>
      <c r="I35" s="144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4" t="n"/>
      <c r="R35" s="143">
        <f>IF(Q35="","",IF($Q$9="","",IF($Q$9=0,"",Q35/$Q$9)))</f>
        <v/>
      </c>
      <c r="S35" s="142" t="n"/>
      <c r="T35" s="143">
        <f>IF(S35="","",IF($S$9="","",IF($S$9=0,"",S35/$S$9)))</f>
        <v/>
      </c>
      <c r="U35" s="142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46" t="n">
        <v>0</v>
      </c>
      <c r="D36" s="140" t="n"/>
      <c r="E36" s="115" t="n"/>
      <c r="F36" s="115" t="n"/>
      <c r="G36" s="156">
        <f>IF(D36="","",D36-C36)</f>
        <v/>
      </c>
      <c r="H36" s="101">
        <f>IF(D36="","",IF(D36&lt;=C36,"En meta",IF(D36&lt;=C36+1,"Riesgo","Atrasado")))</f>
        <v/>
      </c>
      <c r="I36" s="144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4" t="n"/>
      <c r="R36" s="148">
        <f>IF(Q36="","",IF($Q$9="","",IF($Q$9=0,"",Q36/$Q$9)))</f>
        <v/>
      </c>
      <c r="S36" s="142" t="n"/>
      <c r="T36" s="148">
        <f>IF(S36="","",IF($S$9="","",IF($S$9=0,"",S36/$S$9)))</f>
        <v/>
      </c>
      <c r="U36" s="142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39" t="n">
        <v>0</v>
      </c>
      <c r="D37" s="140" t="n"/>
      <c r="E37" s="92" t="n"/>
      <c r="F37" s="92" t="n"/>
      <c r="G37" s="155">
        <f>IF(D37="","",D37-C37)</f>
        <v/>
      </c>
      <c r="H37" s="100">
        <f>IF(D37="","",IF(D37&lt;=C37,"En meta",IF(D37&lt;=C37+1,"Riesgo","Atrasado")))</f>
        <v/>
      </c>
      <c r="I37" s="144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4" t="n"/>
      <c r="R37" s="143">
        <f>IF(Q37="","",IF($Q$9="","",IF($Q$9=0,"",Q37/$Q$9)))</f>
        <v/>
      </c>
      <c r="S37" s="142" t="n"/>
      <c r="T37" s="143">
        <f>IF(S37="","",IF($S$9="","",IF($S$9=0,"",S37/$S$9)))</f>
        <v/>
      </c>
      <c r="U37" s="142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46" t="n">
        <v>0</v>
      </c>
      <c r="D38" s="140" t="n"/>
      <c r="E38" s="115" t="n"/>
      <c r="F38" s="115" t="n"/>
      <c r="G38" s="156">
        <f>IF(D38="","",D38-C38)</f>
        <v/>
      </c>
      <c r="H38" s="101">
        <f>IF(D38="","",IF(D38&lt;=C38,"En meta",IF(D38&lt;=C38+1,"Riesgo","Atrasado")))</f>
        <v/>
      </c>
      <c r="I38" s="144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4" t="n"/>
      <c r="R38" s="148">
        <f>IF(Q38="","",IF($Q$9="","",IF($Q$9=0,"",Q38/$Q$9)))</f>
        <v/>
      </c>
      <c r="S38" s="142" t="n"/>
      <c r="T38" s="148">
        <f>IF(S38="","",IF($S$9="","",IF($S$9=0,"",S38/$S$9)))</f>
        <v/>
      </c>
      <c r="U38" s="142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39" t="n">
        <v>0</v>
      </c>
      <c r="D39" s="140" t="n"/>
      <c r="E39" s="92" t="n"/>
      <c r="F39" s="92" t="n"/>
      <c r="G39" s="155">
        <f>IF(D39="","",D39-C39)</f>
        <v/>
      </c>
      <c r="H39" s="100">
        <f>IF(D39="","",IF(D39&lt;=C39,"En meta",IF(D39&lt;=C39+1,"Riesgo","Atrasado")))</f>
        <v/>
      </c>
      <c r="I39" s="144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4" t="n"/>
      <c r="R39" s="143">
        <f>IF(Q39="","",IF($Q$9="","",IF($Q$9=0,"",Q39/$Q$9)))</f>
        <v/>
      </c>
      <c r="S39" s="142" t="n"/>
      <c r="T39" s="143">
        <f>IF(S39="","",IF($S$9="","",IF($S$9=0,"",S39/$S$9)))</f>
        <v/>
      </c>
      <c r="U39" s="142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46" t="n">
        <v>0</v>
      </c>
      <c r="D40" s="140" t="n"/>
      <c r="E40" s="115" t="n"/>
      <c r="F40" s="115" t="n"/>
      <c r="G40" s="156">
        <f>IF(D40="","",D40-C40)</f>
        <v/>
      </c>
      <c r="H40" s="101">
        <f>IF(D40="","",IF(D40&lt;=C40,"En meta",IF(D40&lt;=C40+1,"Riesgo","Atrasado")))</f>
        <v/>
      </c>
      <c r="I40" s="144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2" t="n"/>
      <c r="N40" s="148">
        <f>IF(M40="","",IF($M$9="","",IF($M$9=0,"",M40/$M$9)))</f>
        <v/>
      </c>
      <c r="O40" s="142" t="n"/>
      <c r="P40" s="148">
        <f>IF(O40="","",IF($O$9="","",IF($O$9=0,"",O40/$O$9)))</f>
        <v/>
      </c>
      <c r="Q40" s="144" t="n"/>
      <c r="R40" s="148">
        <f>IF(Q40="","",IF($Q$9="","",IF($Q$9=0,"",Q40/$Q$9)))</f>
        <v/>
      </c>
      <c r="S40" s="142" t="n"/>
      <c r="T40" s="148">
        <f>IF(S40="","",IF($S$9="","",IF($S$9=0,"",S40/$S$9)))</f>
        <v/>
      </c>
      <c r="U40" s="142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39" t="n">
        <v>0</v>
      </c>
      <c r="D41" s="140" t="n"/>
      <c r="E41" s="92" t="n"/>
      <c r="F41" s="92" t="n"/>
      <c r="G41" s="155">
        <f>IF(D41="","",D41-C41)</f>
        <v/>
      </c>
      <c r="H41" s="100">
        <f>IF(D41="","",IF(D41&lt;=C41,"En meta",IF(D41&lt;=C41+1,"Riesgo","Atrasado")))</f>
        <v/>
      </c>
      <c r="I41" s="144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2" t="n"/>
      <c r="N41" s="143">
        <f>IF(M41="","",IF($M$9="","",IF($M$9=0,"",M41/$M$9)))</f>
        <v/>
      </c>
      <c r="O41" s="142" t="n"/>
      <c r="P41" s="143">
        <f>IF(O41="","",IF($O$9="","",IF($O$9=0,"",O41/$O$9)))</f>
        <v/>
      </c>
      <c r="Q41" s="144" t="n"/>
      <c r="R41" s="143">
        <f>IF(Q41="","",IF($Q$9="","",IF($Q$9=0,"",Q41/$Q$9)))</f>
        <v/>
      </c>
      <c r="S41" s="142" t="n"/>
      <c r="T41" s="143">
        <f>IF(S41="","",IF($S$9="","",IF($S$9=0,"",S41/$S$9)))</f>
        <v/>
      </c>
      <c r="U41" s="142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46" t="n">
        <v>0</v>
      </c>
      <c r="D42" s="140" t="n"/>
      <c r="E42" s="115" t="n"/>
      <c r="F42" s="115" t="n"/>
      <c r="G42" s="156">
        <f>IF(D42="","",D42-C42)</f>
        <v/>
      </c>
      <c r="H42" s="101">
        <f>IF(D42="","",IF(D42&lt;=C42,"En meta",IF(D42&lt;=C42+1,"Riesgo","Atrasado")))</f>
        <v/>
      </c>
      <c r="I42" s="144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2" t="n"/>
      <c r="N42" s="148">
        <f>IF(M42="","",IF($M$9="","",IF($M$9=0,"",M42/$M$9)))</f>
        <v/>
      </c>
      <c r="O42" s="142" t="n"/>
      <c r="P42" s="148">
        <f>IF(O42="","",IF($O$9="","",IF($O$9=0,"",O42/$O$9)))</f>
        <v/>
      </c>
      <c r="Q42" s="144" t="n"/>
      <c r="R42" s="148">
        <f>IF(Q42="","",IF($Q$9="","",IF($Q$9=0,"",Q42/$Q$9)))</f>
        <v/>
      </c>
      <c r="S42" s="142" t="n"/>
      <c r="T42" s="148">
        <f>IF(S42="","",IF($S$9="","",IF($S$9=0,"",S42/$S$9)))</f>
        <v/>
      </c>
      <c r="U42" s="142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39" t="n">
        <v>0</v>
      </c>
      <c r="D43" s="140" t="n"/>
      <c r="E43" s="92" t="n"/>
      <c r="F43" s="92" t="n"/>
      <c r="G43" s="155">
        <f>IF(D43="","",D43-C43)</f>
        <v/>
      </c>
      <c r="H43" s="100">
        <f>IF(D43="","",IF(D43&lt;=C43,"En meta",IF(D43&lt;=C43+1,"Riesgo","Atrasado")))</f>
        <v/>
      </c>
      <c r="I43" s="144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2" t="n"/>
      <c r="N43" s="143">
        <f>IF(M43="","",IF($M$9="","",IF($M$9=0,"",M43/$M$9)))</f>
        <v/>
      </c>
      <c r="O43" s="142" t="n"/>
      <c r="P43" s="143">
        <f>IF(O43="","",IF($O$9="","",IF($O$9=0,"",O43/$O$9)))</f>
        <v/>
      </c>
      <c r="Q43" s="144" t="n"/>
      <c r="R43" s="143">
        <f>IF(Q43="","",IF($Q$9="","",IF($Q$9=0,"",Q43/$Q$9)))</f>
        <v/>
      </c>
      <c r="S43" s="142" t="n"/>
      <c r="T43" s="143">
        <f>IF(S43="","",IF($S$9="","",IF($S$9=0,"",S43/$S$9)))</f>
        <v/>
      </c>
      <c r="U43" s="142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46" t="n">
        <v>0</v>
      </c>
      <c r="D44" s="140" t="n"/>
      <c r="E44" s="115" t="n"/>
      <c r="F44" s="115" t="n"/>
      <c r="G44" s="156">
        <f>IF(D44="","",D44-C44)</f>
        <v/>
      </c>
      <c r="H44" s="101">
        <f>IF(D44="","",IF(D44&lt;=C44,"En meta",IF(D44&lt;=C44+1,"Riesgo","Atrasado")))</f>
        <v/>
      </c>
      <c r="I44" s="144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2" t="n"/>
      <c r="N44" s="148">
        <f>IF(M44="","",IF($M$9="","",IF($M$9=0,"",M44/$M$9)))</f>
        <v/>
      </c>
      <c r="O44" s="142" t="n"/>
      <c r="P44" s="148">
        <f>IF(O44="","",IF($O$9="","",IF($O$9=0,"",O44/$O$9)))</f>
        <v/>
      </c>
      <c r="Q44" s="144" t="n"/>
      <c r="R44" s="148">
        <f>IF(Q44="","",IF($Q$9="","",IF($Q$9=0,"",Q44/$Q$9)))</f>
        <v/>
      </c>
      <c r="S44" s="142" t="n"/>
      <c r="T44" s="148">
        <f>IF(S44="","",IF($S$9="","",IF($S$9=0,"",S44/$S$9)))</f>
        <v/>
      </c>
      <c r="U44" s="142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39" t="n">
        <v>0</v>
      </c>
      <c r="D45" s="140" t="n"/>
      <c r="E45" s="92" t="n"/>
      <c r="F45" s="92" t="n"/>
      <c r="G45" s="155">
        <f>IF(D45="","",D45-C45)</f>
        <v/>
      </c>
      <c r="H45" s="100">
        <f>IF(D45="","",IF(D45&lt;=C45,"En meta",IF(D45&lt;=C45+1,"Riesgo","Atrasado")))</f>
        <v/>
      </c>
      <c r="I45" s="144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2" t="n"/>
      <c r="N45" s="143">
        <f>IF(M45="","",IF($M$9="","",IF($M$9=0,"",M45/$M$9)))</f>
        <v/>
      </c>
      <c r="O45" s="142" t="n"/>
      <c r="P45" s="143">
        <f>IF(O45="","",IF($O$9="","",IF($O$9=0,"",O45/$O$9)))</f>
        <v/>
      </c>
      <c r="Q45" s="144" t="n"/>
      <c r="R45" s="143">
        <f>IF(Q45="","",IF($Q$9="","",IF($Q$9=0,"",Q45/$Q$9)))</f>
        <v/>
      </c>
      <c r="S45" s="142" t="n"/>
      <c r="T45" s="143">
        <f>IF(S45="","",IF($S$9="","",IF($S$9=0,"",S45/$S$9)))</f>
        <v/>
      </c>
      <c r="U45" s="142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46" t="n">
        <v>0</v>
      </c>
      <c r="D46" s="140" t="n"/>
      <c r="E46" s="115" t="n"/>
      <c r="F46" s="115" t="n"/>
      <c r="G46" s="156">
        <f>IF(D46="","",D46-C46)</f>
        <v/>
      </c>
      <c r="H46" s="101">
        <f>IF(D46="","",IF(D46&lt;=C46,"En meta",IF(D46&lt;=C46+1,"Riesgo","Atrasado")))</f>
        <v/>
      </c>
      <c r="I46" s="144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2" t="n"/>
      <c r="N46" s="148">
        <f>IF(M46="","",IF($M$9="","",IF($M$9=0,"",M46/$M$9)))</f>
        <v/>
      </c>
      <c r="O46" s="142" t="n"/>
      <c r="P46" s="148">
        <f>IF(O46="","",IF($O$9="","",IF($O$9=0,"",O46/$O$9)))</f>
        <v/>
      </c>
      <c r="Q46" s="144" t="n"/>
      <c r="R46" s="148">
        <f>IF(Q46="","",IF($Q$9="","",IF($Q$9=0,"",Q46/$Q$9)))</f>
        <v/>
      </c>
      <c r="S46" s="142" t="n"/>
      <c r="T46" s="148">
        <f>IF(S46="","",IF($S$9="","",IF($S$9=0,"",S46/$S$9)))</f>
        <v/>
      </c>
      <c r="U46" s="142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39" t="n">
        <v>0</v>
      </c>
      <c r="D47" s="140" t="n"/>
      <c r="E47" s="92" t="n"/>
      <c r="F47" s="92" t="n"/>
      <c r="G47" s="155">
        <f>IF(D47="","",D47-C47)</f>
        <v/>
      </c>
      <c r="H47" s="100">
        <f>IF(D47="","",IF(D47&lt;=C47,"En meta",IF(D47&lt;=C47+1,"Riesgo","Atrasado")))</f>
        <v/>
      </c>
      <c r="I47" s="144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2" t="n"/>
      <c r="N47" s="143">
        <f>IF(M47="","",IF($M$9="","",IF($M$9=0,"",M47/$M$9)))</f>
        <v/>
      </c>
      <c r="O47" s="142" t="n"/>
      <c r="P47" s="143">
        <f>IF(O47="","",IF($O$9="","",IF($O$9=0,"",O47/$O$9)))</f>
        <v/>
      </c>
      <c r="Q47" s="144" t="n"/>
      <c r="R47" s="143">
        <f>IF(Q47="","",IF($Q$9="","",IF($Q$9=0,"",Q47/$Q$9)))</f>
        <v/>
      </c>
      <c r="S47" s="142" t="n"/>
      <c r="T47" s="143">
        <f>IF(S47="","",IF($S$9="","",IF($S$9=0,"",S47/$S$9)))</f>
        <v/>
      </c>
      <c r="U47" s="142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46" t="n">
        <v>0</v>
      </c>
      <c r="D48" s="140" t="n"/>
      <c r="E48" s="115" t="n"/>
      <c r="F48" s="115" t="n"/>
      <c r="G48" s="156">
        <f>IF(D48="","",D48-C48)</f>
        <v/>
      </c>
      <c r="H48" s="101">
        <f>IF(D48="","",IF(D48&lt;=C48,"En meta",IF(D48&lt;=C48+1,"Riesgo","Atrasado")))</f>
        <v/>
      </c>
      <c r="I48" s="144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2" t="n"/>
      <c r="N48" s="148">
        <f>IF(M48="","",IF($M$9="","",IF($M$9=0,"",M48/$M$9)))</f>
        <v/>
      </c>
      <c r="O48" s="142" t="n"/>
      <c r="P48" s="148">
        <f>IF(O48="","",IF($O$9="","",IF($O$9=0,"",O48/$O$9)))</f>
        <v/>
      </c>
      <c r="Q48" s="144" t="n"/>
      <c r="R48" s="148">
        <f>IF(Q48="","",IF($Q$9="","",IF($Q$9=0,"",Q48/$Q$9)))</f>
        <v/>
      </c>
      <c r="S48" s="142" t="n"/>
      <c r="T48" s="148">
        <f>IF(S48="","",IF($S$9="","",IF($S$9=0,"",S48/$S$9)))</f>
        <v/>
      </c>
      <c r="U48" s="142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39" t="n">
        <v>0</v>
      </c>
      <c r="D49" s="140" t="n"/>
      <c r="E49" s="92" t="n"/>
      <c r="F49" s="92" t="n"/>
      <c r="G49" s="155">
        <f>IF(D49="","",D49-C49)</f>
        <v/>
      </c>
      <c r="H49" s="100">
        <f>IF(D49="","",IF(D49&lt;=C49,"En meta",IF(D49&lt;=C49+1,"Riesgo","Atrasado")))</f>
        <v/>
      </c>
      <c r="I49" s="144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2" t="n"/>
      <c r="N49" s="143">
        <f>IF(M49="","",IF($M$9="","",IF($M$9=0,"",M49/$M$9)))</f>
        <v/>
      </c>
      <c r="O49" s="142" t="n"/>
      <c r="P49" s="143">
        <f>IF(O49="","",IF($O$9="","",IF($O$9=0,"",O49/$O$9)))</f>
        <v/>
      </c>
      <c r="Q49" s="144" t="n"/>
      <c r="R49" s="143">
        <f>IF(Q49="","",IF($Q$9="","",IF($Q$9=0,"",Q49/$Q$9)))</f>
        <v/>
      </c>
      <c r="S49" s="142" t="n"/>
      <c r="T49" s="143">
        <f>IF(S49="","",IF($S$9="","",IF($S$9=0,"",S49/$S$9)))</f>
        <v/>
      </c>
      <c r="U49" s="142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46" t="n">
        <v>0</v>
      </c>
      <c r="D50" s="140" t="n"/>
      <c r="E50" s="115" t="n"/>
      <c r="F50" s="115" t="n"/>
      <c r="G50" s="156">
        <f>IF(D50="","",D50-C50)</f>
        <v/>
      </c>
      <c r="H50" s="101">
        <f>IF(D50="","",IF(D50&lt;=C50,"En meta",IF(D50&lt;=C50+1,"Riesgo","Atrasado")))</f>
        <v/>
      </c>
      <c r="I50" s="144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2" t="n"/>
      <c r="N50" s="148">
        <f>IF(M50="","",IF($M$9="","",IF($M$9=0,"",M50/$M$9)))</f>
        <v/>
      </c>
      <c r="O50" s="142" t="n"/>
      <c r="P50" s="148">
        <f>IF(O50="","",IF($O$9="","",IF($O$9=0,"",O50/$O$9)))</f>
        <v/>
      </c>
      <c r="Q50" s="144" t="n"/>
      <c r="R50" s="148">
        <f>IF(Q50="","",IF($Q$9="","",IF($Q$9=0,"",Q50/$Q$9)))</f>
        <v/>
      </c>
      <c r="S50" s="142" t="n"/>
      <c r="T50" s="148">
        <f>IF(S50="","",IF($S$9="","",IF($S$9=0,"",S50/$S$9)))</f>
        <v/>
      </c>
      <c r="U50" s="142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39" t="n">
        <v>0</v>
      </c>
      <c r="D51" s="140" t="n"/>
      <c r="E51" s="92" t="n"/>
      <c r="F51" s="92" t="n"/>
      <c r="G51" s="155">
        <f>IF(D51="","",D51-C51)</f>
        <v/>
      </c>
      <c r="H51" s="100">
        <f>IF(D51="","",IF(D51&lt;=C51,"En meta",IF(D51&lt;=C51+1,"Riesgo","Atrasado")))</f>
        <v/>
      </c>
      <c r="I51" s="144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2" t="n"/>
      <c r="N51" s="143">
        <f>IF(M51="","",IF($M$9="","",IF($M$9=0,"",M51/$M$9)))</f>
        <v/>
      </c>
      <c r="O51" s="142" t="n"/>
      <c r="P51" s="143">
        <f>IF(O51="","",IF($O$9="","",IF($O$9=0,"",O51/$O$9)))</f>
        <v/>
      </c>
      <c r="Q51" s="144" t="n"/>
      <c r="R51" s="143">
        <f>IF(Q51="","",IF($Q$9="","",IF($Q$9=0,"",Q51/$Q$9)))</f>
        <v/>
      </c>
      <c r="S51" s="142" t="n"/>
      <c r="T51" s="143">
        <f>IF(S51="","",IF($S$9="","",IF($S$9=0,"",S51/$S$9)))</f>
        <v/>
      </c>
      <c r="U51" s="142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46" t="n">
        <v>0</v>
      </c>
      <c r="D52" s="140" t="n"/>
      <c r="E52" s="115" t="n"/>
      <c r="F52" s="115" t="n"/>
      <c r="G52" s="156">
        <f>IF(D52="","",D52-C52)</f>
        <v/>
      </c>
      <c r="H52" s="101">
        <f>IF(D52="","",IF(D52&lt;=C52,"En meta",IF(D52&lt;=C52+1,"Riesgo","Atrasado")))</f>
        <v/>
      </c>
      <c r="I52" s="144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2" t="n"/>
      <c r="N52" s="148">
        <f>IF(M52="","",IF($M$9="","",IF($M$9=0,"",M52/$M$9)))</f>
        <v/>
      </c>
      <c r="O52" s="142" t="n"/>
      <c r="P52" s="148">
        <f>IF(O52="","",IF($O$9="","",IF($O$9=0,"",O52/$O$9)))</f>
        <v/>
      </c>
      <c r="Q52" s="144" t="n"/>
      <c r="R52" s="148">
        <f>IF(Q52="","",IF($Q$9="","",IF($Q$9=0,"",Q52/$Q$9)))</f>
        <v/>
      </c>
      <c r="S52" s="142" t="n"/>
      <c r="T52" s="148">
        <f>IF(S52="","",IF($S$9="","",IF($S$9=0,"",S52/$S$9)))</f>
        <v/>
      </c>
      <c r="U52" s="142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 ht="15" customHeight="1" s="87">
      <c r="A53" s="92" t="n">
        <v>43</v>
      </c>
      <c r="B53" s="138" t="n">
        <v>46482</v>
      </c>
      <c r="C53" s="139" t="n">
        <v>0</v>
      </c>
      <c r="D53" s="140" t="n"/>
      <c r="E53" s="92" t="n"/>
      <c r="F53" s="92" t="n"/>
      <c r="G53" s="155">
        <f>IF(D53="","",D53-C53)</f>
        <v/>
      </c>
      <c r="H53" s="100">
        <f>IF(D53="","",IF(D53&lt;=C53,"En meta",IF(D53&lt;=C53+1,"Riesgo","Atrasado")))</f>
        <v/>
      </c>
      <c r="I53" s="144" t="n"/>
      <c r="J53" s="143">
        <f>IF(I53="","",IF($I$9="","",IF($I$9=0,"",I53/$I$9)))</f>
        <v/>
      </c>
      <c r="K53" s="142" t="n"/>
      <c r="L53" s="143">
        <f>IF(K53="","",IF($K$9="","",IF($K$9=0,"",K53/$K$9)))</f>
        <v/>
      </c>
      <c r="M53" s="142" t="n"/>
      <c r="N53" s="143">
        <f>IF(M53="","",IF($M$9="","",IF($M$9=0,"",M53/$M$9)))</f>
        <v/>
      </c>
      <c r="O53" s="142" t="n"/>
      <c r="P53" s="143">
        <f>IF(O53="","",IF($O$9="","",IF($O$9=0,"",O53/$O$9)))</f>
        <v/>
      </c>
      <c r="Q53" s="144" t="n"/>
      <c r="R53" s="143">
        <f>IF(Q53="","",IF($Q$9="","",IF($Q$9=0,"",Q53/$Q$9)))</f>
        <v/>
      </c>
      <c r="S53" s="142" t="n"/>
      <c r="T53" s="143">
        <f>IF(S53="","",IF($S$9="","",IF($S$9=0,"",S53/$S$9)))</f>
        <v/>
      </c>
      <c r="U53" s="142" t="n"/>
      <c r="V53" s="143">
        <f>IF(U53="","",IF($U$9="","",IF($U$9=0,"",U53/$U$9)))</f>
        <v/>
      </c>
      <c r="W53" s="142" t="n"/>
      <c r="X53" s="143">
        <f>IF(W53="","",IF($W$9="","",IF($W$9=0,"",W53/$W$9)))</f>
        <v/>
      </c>
    </row>
    <row r="54" ht="15" customHeight="1" s="87">
      <c r="A54" s="115" t="n">
        <v>44</v>
      </c>
      <c r="B54" s="145" t="n">
        <v>46489</v>
      </c>
      <c r="C54" s="146" t="n">
        <v>0</v>
      </c>
      <c r="D54" s="140" t="n"/>
      <c r="E54" s="115" t="n"/>
      <c r="F54" s="115" t="n"/>
      <c r="G54" s="156">
        <f>IF(D54="","",D54-C54)</f>
        <v/>
      </c>
      <c r="H54" s="101">
        <f>IF(D54="","",IF(D54&lt;=C54,"En meta",IF(D54&lt;=C54+1,"Riesgo","Atrasado")))</f>
        <v/>
      </c>
      <c r="I54" s="144" t="n"/>
      <c r="J54" s="148">
        <f>IF(I54="","",IF($I$9="","",IF($I$9=0,"",I54/$I$9)))</f>
        <v/>
      </c>
      <c r="K54" s="142" t="n"/>
      <c r="L54" s="148">
        <f>IF(K54="","",IF($K$9="","",IF($K$9=0,"",K54/$K$9)))</f>
        <v/>
      </c>
      <c r="M54" s="142" t="n"/>
      <c r="N54" s="148">
        <f>IF(M54="","",IF($M$9="","",IF($M$9=0,"",M54/$M$9)))</f>
        <v/>
      </c>
      <c r="O54" s="142" t="n"/>
      <c r="P54" s="148">
        <f>IF(O54="","",IF($O$9="","",IF($O$9=0,"",O54/$O$9)))</f>
        <v/>
      </c>
      <c r="Q54" s="144" t="n"/>
      <c r="R54" s="148">
        <f>IF(Q54="","",IF($Q$9="","",IF($Q$9=0,"",Q54/$Q$9)))</f>
        <v/>
      </c>
      <c r="S54" s="142" t="n"/>
      <c r="T54" s="148">
        <f>IF(S54="","",IF($S$9="","",IF($S$9=0,"",S54/$S$9)))</f>
        <v/>
      </c>
      <c r="U54" s="142" t="n"/>
      <c r="V54" s="148">
        <f>IF(U54="","",IF($U$9="","",IF($U$9=0,"",U54/$U$9)))</f>
        <v/>
      </c>
      <c r="W54" s="142" t="n"/>
      <c r="X54" s="148">
        <f>IF(W54="","",IF($W$9="","",IF($W$9=0,"",W54/$W$9)))</f>
        <v/>
      </c>
    </row>
    <row r="55" ht="15" customHeight="1" s="87">
      <c r="A55" s="92" t="n">
        <v>45</v>
      </c>
      <c r="B55" s="138" t="n">
        <v>46496</v>
      </c>
      <c r="C55" s="139" t="n">
        <v>0</v>
      </c>
      <c r="D55" s="140" t="n"/>
      <c r="E55" s="92" t="n"/>
      <c r="F55" s="92" t="n"/>
      <c r="G55" s="155">
        <f>IF(D55="","",D55-C55)</f>
        <v/>
      </c>
      <c r="H55" s="100">
        <f>IF(D55="","",IF(D55&lt;=C55,"En meta",IF(D55&lt;=C55+1,"Riesgo","Atrasado")))</f>
        <v/>
      </c>
      <c r="I55" s="144" t="n"/>
      <c r="J55" s="143">
        <f>IF(I55="","",IF($I$9="","",IF($I$9=0,"",I55/$I$9)))</f>
        <v/>
      </c>
      <c r="K55" s="142" t="n"/>
      <c r="L55" s="143">
        <f>IF(K55="","",IF($K$9="","",IF($K$9=0,"",K55/$K$9)))</f>
        <v/>
      </c>
      <c r="M55" s="142" t="n"/>
      <c r="N55" s="143">
        <f>IF(M55="","",IF($M$9="","",IF($M$9=0,"",M55/$M$9)))</f>
        <v/>
      </c>
      <c r="O55" s="142" t="n"/>
      <c r="P55" s="143">
        <f>IF(O55="","",IF($O$9="","",IF($O$9=0,"",O55/$O$9)))</f>
        <v/>
      </c>
      <c r="Q55" s="144" t="n"/>
      <c r="R55" s="143">
        <f>IF(Q55="","",IF($Q$9="","",IF($Q$9=0,"",Q55/$Q$9)))</f>
        <v/>
      </c>
      <c r="S55" s="142" t="n"/>
      <c r="T55" s="143">
        <f>IF(S55="","",IF($S$9="","",IF($S$9=0,"",S55/$S$9)))</f>
        <v/>
      </c>
      <c r="U55" s="142" t="n"/>
      <c r="V55" s="143">
        <f>IF(U55="","",IF($U$9="","",IF($U$9=0,"",U55/$U$9)))</f>
        <v/>
      </c>
      <c r="W55" s="142" t="n"/>
      <c r="X55" s="143">
        <f>IF(W55="","",IF($W$9="","",IF($W$9=0,"",W55/$W$9)))</f>
        <v/>
      </c>
    </row>
    <row r="56" ht="15" customHeight="1" s="87">
      <c r="A56" s="115" t="n">
        <v>46</v>
      </c>
      <c r="B56" s="145" t="n">
        <v>46503</v>
      </c>
      <c r="C56" s="146" t="n">
        <v>0</v>
      </c>
      <c r="D56" s="140" t="n"/>
      <c r="E56" s="115" t="n"/>
      <c r="F56" s="115" t="n"/>
      <c r="G56" s="156">
        <f>IF(D56="","",D56-C56)</f>
        <v/>
      </c>
      <c r="H56" s="101">
        <f>IF(D56="","",IF(D56&lt;=C56,"En meta",IF(D56&lt;=C56+1,"Riesgo","Atrasado")))</f>
        <v/>
      </c>
      <c r="I56" s="144" t="n"/>
      <c r="J56" s="148">
        <f>IF(I56="","",IF($I$9="","",IF($I$9=0,"",I56/$I$9)))</f>
        <v/>
      </c>
      <c r="K56" s="142" t="n"/>
      <c r="L56" s="148">
        <f>IF(K56="","",IF($K$9="","",IF($K$9=0,"",K56/$K$9)))</f>
        <v/>
      </c>
      <c r="M56" s="142" t="n"/>
      <c r="N56" s="148">
        <f>IF(M56="","",IF($M$9="","",IF($M$9=0,"",M56/$M$9)))</f>
        <v/>
      </c>
      <c r="O56" s="142" t="n"/>
      <c r="P56" s="148">
        <f>IF(O56="","",IF($O$9="","",IF($O$9=0,"",O56/$O$9)))</f>
        <v/>
      </c>
      <c r="Q56" s="144" t="n"/>
      <c r="R56" s="148">
        <f>IF(Q56="","",IF($Q$9="","",IF($Q$9=0,"",Q56/$Q$9)))</f>
        <v/>
      </c>
      <c r="S56" s="142" t="n"/>
      <c r="T56" s="148">
        <f>IF(S56="","",IF($S$9="","",IF($S$9=0,"",S56/$S$9)))</f>
        <v/>
      </c>
      <c r="U56" s="142" t="n"/>
      <c r="V56" s="148">
        <f>IF(U56="","",IF($U$9="","",IF($U$9=0,"",U56/$U$9)))</f>
        <v/>
      </c>
      <c r="W56" s="142" t="n"/>
      <c r="X56" s="148">
        <f>IF(W56="","",IF($W$9="","",IF($W$9=0,"",W56/$W$9)))</f>
        <v/>
      </c>
    </row>
    <row r="57" ht="15" customHeight="1" s="87">
      <c r="A57" s="92" t="n">
        <v>47</v>
      </c>
      <c r="B57" s="138" t="n">
        <v>46510</v>
      </c>
      <c r="C57" s="139" t="n">
        <v>0</v>
      </c>
      <c r="D57" s="140" t="n"/>
      <c r="E57" s="92" t="n"/>
      <c r="F57" s="92" t="n"/>
      <c r="G57" s="155">
        <f>IF(D57="","",D57-C57)</f>
        <v/>
      </c>
      <c r="H57" s="100">
        <f>IF(D57="","",IF(D57&lt;=C57,"En meta",IF(D57&lt;=C57+1,"Riesgo","Atrasado")))</f>
        <v/>
      </c>
      <c r="I57" s="144" t="n"/>
      <c r="J57" s="143">
        <f>IF(I57="","",IF($I$9="","",IF($I$9=0,"",I57/$I$9)))</f>
        <v/>
      </c>
      <c r="K57" s="142" t="n"/>
      <c r="L57" s="143">
        <f>IF(K57="","",IF($K$9="","",IF($K$9=0,"",K57/$K$9)))</f>
        <v/>
      </c>
      <c r="M57" s="142" t="n"/>
      <c r="N57" s="143">
        <f>IF(M57="","",IF($M$9="","",IF($M$9=0,"",M57/$M$9)))</f>
        <v/>
      </c>
      <c r="O57" s="142" t="n"/>
      <c r="P57" s="143">
        <f>IF(O57="","",IF($O$9="","",IF($O$9=0,"",O57/$O$9)))</f>
        <v/>
      </c>
      <c r="Q57" s="144" t="n"/>
      <c r="R57" s="143">
        <f>IF(Q57="","",IF($Q$9="","",IF($Q$9=0,"",Q57/$Q$9)))</f>
        <v/>
      </c>
      <c r="S57" s="142" t="n"/>
      <c r="T57" s="143">
        <f>IF(S57="","",IF($S$9="","",IF($S$9=0,"",S57/$S$9)))</f>
        <v/>
      </c>
      <c r="U57" s="142" t="n"/>
      <c r="V57" s="143">
        <f>IF(U57="","",IF($U$9="","",IF($U$9=0,"",U57/$U$9)))</f>
        <v/>
      </c>
      <c r="W57" s="142" t="n"/>
      <c r="X57" s="143">
        <f>IF(W57="","",IF($W$9="","",IF($W$9=0,"",W57/$W$9)))</f>
        <v/>
      </c>
    </row>
    <row r="58" ht="15" customHeight="1" s="87">
      <c r="A58" s="115" t="n">
        <v>48</v>
      </c>
      <c r="B58" s="145" t="n">
        <v>46517</v>
      </c>
      <c r="C58" s="146" t="n">
        <v>0</v>
      </c>
      <c r="D58" s="140" t="n"/>
      <c r="E58" s="115" t="n"/>
      <c r="F58" s="115" t="n"/>
      <c r="G58" s="156">
        <f>IF(D58="","",D58-C58)</f>
        <v/>
      </c>
      <c r="H58" s="101">
        <f>IF(D58="","",IF(D58&lt;=C58,"En meta",IF(D58&lt;=C58+1,"Riesgo","Atrasado")))</f>
        <v/>
      </c>
      <c r="I58" s="144" t="n"/>
      <c r="J58" s="148">
        <f>IF(I58="","",IF($I$9="","",IF($I$9=0,"",I58/$I$9)))</f>
        <v/>
      </c>
      <c r="K58" s="142" t="n"/>
      <c r="L58" s="148">
        <f>IF(K58="","",IF($K$9="","",IF($K$9=0,"",K58/$K$9)))</f>
        <v/>
      </c>
      <c r="M58" s="142" t="n"/>
      <c r="N58" s="148">
        <f>IF(M58="","",IF($M$9="","",IF($M$9=0,"",M58/$M$9)))</f>
        <v/>
      </c>
      <c r="O58" s="142" t="n"/>
      <c r="P58" s="148">
        <f>IF(O58="","",IF($O$9="","",IF($O$9=0,"",O58/$O$9)))</f>
        <v/>
      </c>
      <c r="Q58" s="144" t="n"/>
      <c r="R58" s="148">
        <f>IF(Q58="","",IF($Q$9="","",IF($Q$9=0,"",Q58/$Q$9)))</f>
        <v/>
      </c>
      <c r="S58" s="142" t="n"/>
      <c r="T58" s="148">
        <f>IF(S58="","",IF($S$9="","",IF($S$9=0,"",S58/$S$9)))</f>
        <v/>
      </c>
      <c r="U58" s="142" t="n"/>
      <c r="V58" s="148">
        <f>IF(U58="","",IF($U$9="","",IF($U$9=0,"",U58/$U$9)))</f>
        <v/>
      </c>
      <c r="W58" s="142" t="n"/>
      <c r="X58" s="148">
        <f>IF(W58="","",IF($W$9="","",IF($W$9=0,"",W58/$W$9)))</f>
        <v/>
      </c>
    </row>
    <row r="59" ht="15" customHeight="1" s="87">
      <c r="A59" s="92" t="n">
        <v>49</v>
      </c>
      <c r="B59" s="138" t="n">
        <v>46524</v>
      </c>
      <c r="C59" s="139" t="n">
        <v>0</v>
      </c>
      <c r="D59" s="140" t="n"/>
      <c r="E59" s="92" t="n"/>
      <c r="F59" s="92" t="n"/>
      <c r="G59" s="155">
        <f>IF(D59="","",D59-C59)</f>
        <v/>
      </c>
      <c r="H59" s="100">
        <f>IF(D59="","",IF(D59&lt;=C59,"En meta",IF(D59&lt;=C59+1,"Riesgo","Atrasado")))</f>
        <v/>
      </c>
      <c r="I59" s="144" t="n"/>
      <c r="J59" s="143">
        <f>IF(I59="","",IF($I$9="","",IF($I$9=0,"",I59/$I$9)))</f>
        <v/>
      </c>
      <c r="K59" s="142" t="n"/>
      <c r="L59" s="143">
        <f>IF(K59="","",IF($K$9="","",IF($K$9=0,"",K59/$K$9)))</f>
        <v/>
      </c>
      <c r="M59" s="142" t="n"/>
      <c r="N59" s="143">
        <f>IF(M59="","",IF($M$9="","",IF($M$9=0,"",M59/$M$9)))</f>
        <v/>
      </c>
      <c r="O59" s="142" t="n"/>
      <c r="P59" s="143">
        <f>IF(O59="","",IF($O$9="","",IF($O$9=0,"",O59/$O$9)))</f>
        <v/>
      </c>
      <c r="Q59" s="144" t="n"/>
      <c r="R59" s="143">
        <f>IF(Q59="","",IF($Q$9="","",IF($Q$9=0,"",Q59/$Q$9)))</f>
        <v/>
      </c>
      <c r="S59" s="142" t="n"/>
      <c r="T59" s="143">
        <f>IF(S59="","",IF($S$9="","",IF($S$9=0,"",S59/$S$9)))</f>
        <v/>
      </c>
      <c r="U59" s="142" t="n"/>
      <c r="V59" s="143">
        <f>IF(U59="","",IF($U$9="","",IF($U$9=0,"",U59/$U$9)))</f>
        <v/>
      </c>
      <c r="W59" s="142" t="n"/>
      <c r="X59" s="143">
        <f>IF(W59="","",IF($W$9="","",IF($W$9=0,"",W59/$W$9)))</f>
        <v/>
      </c>
    </row>
    <row r="60" ht="15" customHeight="1" s="87">
      <c r="A60" s="115" t="n">
        <v>50</v>
      </c>
      <c r="B60" s="145" t="n">
        <v>46531</v>
      </c>
      <c r="C60" s="146" t="n">
        <v>0</v>
      </c>
      <c r="D60" s="140" t="n"/>
      <c r="E60" s="115" t="n"/>
      <c r="F60" s="115" t="n"/>
      <c r="G60" s="156">
        <f>IF(D60="","",D60-C60)</f>
        <v/>
      </c>
      <c r="H60" s="101">
        <f>IF(D60="","",IF(D60&lt;=C60,"En meta",IF(D60&lt;=C60+1,"Riesgo","Atrasado")))</f>
        <v/>
      </c>
      <c r="I60" s="144" t="n"/>
      <c r="J60" s="148">
        <f>IF(I60="","",IF($I$9="","",IF($I$9=0,"",I60/$I$9)))</f>
        <v/>
      </c>
      <c r="K60" s="142" t="n"/>
      <c r="L60" s="148">
        <f>IF(K60="","",IF($K$9="","",IF($K$9=0,"",K60/$K$9)))</f>
        <v/>
      </c>
      <c r="M60" s="142" t="n"/>
      <c r="N60" s="148">
        <f>IF(M60="","",IF($M$9="","",IF($M$9=0,"",M60/$M$9)))</f>
        <v/>
      </c>
      <c r="O60" s="142" t="n"/>
      <c r="P60" s="148">
        <f>IF(O60="","",IF($O$9="","",IF($O$9=0,"",O60/$O$9)))</f>
        <v/>
      </c>
      <c r="Q60" s="144" t="n"/>
      <c r="R60" s="148">
        <f>IF(Q60="","",IF($Q$9="","",IF($Q$9=0,"",Q60/$Q$9)))</f>
        <v/>
      </c>
      <c r="S60" s="142" t="n"/>
      <c r="T60" s="148">
        <f>IF(S60="","",IF($S$9="","",IF($S$9=0,"",S60/$S$9)))</f>
        <v/>
      </c>
      <c r="U60" s="142" t="n"/>
      <c r="V60" s="148">
        <f>IF(U60="","",IF($U$9="","",IF($U$9=0,"",U60/$U$9)))</f>
        <v/>
      </c>
      <c r="W60" s="142" t="n"/>
      <c r="X60" s="148">
        <f>IF(W60="","",IF($W$9="","",IF($W$9=0,"",W60/$W$9)))</f>
        <v/>
      </c>
    </row>
    <row r="61" ht="15" customHeight="1" s="87">
      <c r="A61" s="92" t="n">
        <v>51</v>
      </c>
      <c r="B61" s="138" t="n">
        <v>46538</v>
      </c>
      <c r="C61" s="139" t="n">
        <v>0</v>
      </c>
      <c r="D61" s="140" t="n"/>
      <c r="E61" s="92" t="n"/>
      <c r="F61" s="92" t="n"/>
      <c r="G61" s="155">
        <f>IF(D61="","",D61-C61)</f>
        <v/>
      </c>
      <c r="H61" s="100">
        <f>IF(D61="","",IF(D61&lt;=C61,"En meta",IF(D61&lt;=C61+1,"Riesgo","Atrasado")))</f>
        <v/>
      </c>
      <c r="I61" s="144" t="n"/>
      <c r="J61" s="143">
        <f>IF(I61="","",IF($I$9="","",IF($I$9=0,"",I61/$I$9)))</f>
        <v/>
      </c>
      <c r="K61" s="142" t="n"/>
      <c r="L61" s="143">
        <f>IF(K61="","",IF($K$9="","",IF($K$9=0,"",K61/$K$9)))</f>
        <v/>
      </c>
      <c r="M61" s="142" t="n"/>
      <c r="N61" s="143">
        <f>IF(M61="","",IF($M$9="","",IF($M$9=0,"",M61/$M$9)))</f>
        <v/>
      </c>
      <c r="O61" s="142" t="n"/>
      <c r="P61" s="143">
        <f>IF(O61="","",IF($O$9="","",IF($O$9=0,"",O61/$O$9)))</f>
        <v/>
      </c>
      <c r="Q61" s="144" t="n"/>
      <c r="R61" s="143">
        <f>IF(Q61="","",IF($Q$9="","",IF($Q$9=0,"",Q61/$Q$9)))</f>
        <v/>
      </c>
      <c r="S61" s="142" t="n"/>
      <c r="T61" s="143">
        <f>IF(S61="","",IF($S$9="","",IF($S$9=0,"",S61/$S$9)))</f>
        <v/>
      </c>
      <c r="U61" s="142" t="n"/>
      <c r="V61" s="143">
        <f>IF(U61="","",IF($U$9="","",IF($U$9=0,"",U61/$U$9)))</f>
        <v/>
      </c>
      <c r="W61" s="142" t="n"/>
      <c r="X61" s="143">
        <f>IF(W61="","",IF($W$9="","",IF($W$9=0,"",W61/$W$9)))</f>
        <v/>
      </c>
    </row>
    <row r="62" ht="15" customHeight="1" s="87">
      <c r="A62" s="115" t="n">
        <v>52</v>
      </c>
      <c r="B62" s="145" t="n">
        <v>46545</v>
      </c>
      <c r="C62" s="146" t="n">
        <v>0</v>
      </c>
      <c r="D62" s="140" t="n"/>
      <c r="E62" s="115" t="n"/>
      <c r="F62" s="115" t="n"/>
      <c r="G62" s="156">
        <f>IF(D62="","",D62-C62)</f>
        <v/>
      </c>
      <c r="H62" s="101">
        <f>IF(D62="","",IF(D62&lt;=C62,"En meta",IF(D62&lt;=C62+1,"Riesgo","Atrasado")))</f>
        <v/>
      </c>
      <c r="I62" s="144" t="n"/>
      <c r="J62" s="148">
        <f>IF(I62="","",IF($I$9="","",IF($I$9=0,"",I62/$I$9)))</f>
        <v/>
      </c>
      <c r="K62" s="142" t="n"/>
      <c r="L62" s="148">
        <f>IF(K62="","",IF($K$9="","",IF($K$9=0,"",K62/$K$9)))</f>
        <v/>
      </c>
      <c r="M62" s="142" t="n"/>
      <c r="N62" s="148">
        <f>IF(M62="","",IF($M$9="","",IF($M$9=0,"",M62/$M$9)))</f>
        <v/>
      </c>
      <c r="O62" s="142" t="n"/>
      <c r="P62" s="148">
        <f>IF(O62="","",IF($O$9="","",IF($O$9=0,"",O62/$O$9)))</f>
        <v/>
      </c>
      <c r="Q62" s="144" t="n"/>
      <c r="R62" s="148">
        <f>IF(Q62="","",IF($Q$9="","",IF($Q$9=0,"",Q62/$Q$9)))</f>
        <v/>
      </c>
      <c r="S62" s="142" t="n"/>
      <c r="T62" s="148">
        <f>IF(S62="","",IF($S$9="","",IF($S$9=0,"",S62/$S$9)))</f>
        <v/>
      </c>
      <c r="U62" s="142" t="n"/>
      <c r="V62" s="148">
        <f>IF(U62="","",IF($U$9="","",IF($U$9=0,"",U62/$U$9)))</f>
        <v/>
      </c>
      <c r="W62" s="142" t="n"/>
      <c r="X62" s="148">
        <f>IF(W62="","",IF($W$9="","",IF($W$9=0,"",W62/$W$9)))</f>
        <v/>
      </c>
    </row>
    <row r="63" ht="15" customHeight="1" s="87">
      <c r="A63" s="92" t="n">
        <v>53</v>
      </c>
      <c r="B63" s="138" t="n">
        <v>46552</v>
      </c>
      <c r="C63" s="139" t="n">
        <v>0</v>
      </c>
      <c r="D63" s="140" t="n"/>
      <c r="E63" s="92" t="n"/>
      <c r="F63" s="92" t="n"/>
      <c r="G63" s="155">
        <f>IF(D63="","",D63-C63)</f>
        <v/>
      </c>
      <c r="H63" s="100">
        <f>IF(D63="","",IF(D63&lt;=C63,"En meta",IF(D63&lt;=C63+1,"Riesgo","Atrasado")))</f>
        <v/>
      </c>
      <c r="I63" s="144" t="n"/>
      <c r="J63" s="143">
        <f>IF(I63="","",IF($I$9="","",IF($I$9=0,"",I63/$I$9)))</f>
        <v/>
      </c>
      <c r="K63" s="142" t="n"/>
      <c r="L63" s="143">
        <f>IF(K63="","",IF($K$9="","",IF($K$9=0,"",K63/$K$9)))</f>
        <v/>
      </c>
      <c r="M63" s="142" t="n"/>
      <c r="N63" s="143">
        <f>IF(M63="","",IF($M$9="","",IF($M$9=0,"",M63/$M$9)))</f>
        <v/>
      </c>
      <c r="O63" s="142" t="n"/>
      <c r="P63" s="143">
        <f>IF(O63="","",IF($O$9="","",IF($O$9=0,"",O63/$O$9)))</f>
        <v/>
      </c>
      <c r="Q63" s="144" t="n"/>
      <c r="R63" s="143">
        <f>IF(Q63="","",IF($Q$9="","",IF($Q$9=0,"",Q63/$Q$9)))</f>
        <v/>
      </c>
      <c r="S63" s="142" t="n"/>
      <c r="T63" s="143">
        <f>IF(S63="","",IF($S$9="","",IF($S$9=0,"",S63/$S$9)))</f>
        <v/>
      </c>
      <c r="U63" s="142" t="n"/>
      <c r="V63" s="143">
        <f>IF(U63="","",IF($U$9="","",IF($U$9=0,"",U63/$U$9)))</f>
        <v/>
      </c>
      <c r="W63" s="142" t="n"/>
      <c r="X63" s="143">
        <f>IF(W63="","",IF($W$9="","",IF($W$9=0,"",W63/$W$9)))</f>
        <v/>
      </c>
    </row>
    <row r="64" ht="15" customHeight="1" s="87">
      <c r="A64" s="115" t="n">
        <v>54</v>
      </c>
      <c r="B64" s="145" t="n">
        <v>46559</v>
      </c>
      <c r="C64" s="146" t="n">
        <v>0</v>
      </c>
      <c r="D64" s="140" t="n"/>
      <c r="E64" s="115" t="n"/>
      <c r="F64" s="115" t="n"/>
      <c r="G64" s="156">
        <f>IF(D64="","",D64-C64)</f>
        <v/>
      </c>
      <c r="H64" s="101">
        <f>IF(D64="","",IF(D64&lt;=C64,"En meta",IF(D64&lt;=C64+1,"Riesgo","Atrasado")))</f>
        <v/>
      </c>
      <c r="I64" s="144" t="n"/>
      <c r="J64" s="148">
        <f>IF(I64="","",IF($I$9="","",IF($I$9=0,"",I64/$I$9)))</f>
        <v/>
      </c>
      <c r="K64" s="142" t="n"/>
      <c r="L64" s="148">
        <f>IF(K64="","",IF($K$9="","",IF($K$9=0,"",K64/$K$9)))</f>
        <v/>
      </c>
      <c r="M64" s="142" t="n"/>
      <c r="N64" s="148">
        <f>IF(M64="","",IF($M$9="","",IF($M$9=0,"",M64/$M$9)))</f>
        <v/>
      </c>
      <c r="O64" s="142" t="n"/>
      <c r="P64" s="148">
        <f>IF(O64="","",IF($O$9="","",IF($O$9=0,"",O64/$O$9)))</f>
        <v/>
      </c>
      <c r="Q64" s="144" t="n"/>
      <c r="R64" s="148">
        <f>IF(Q64="","",IF($Q$9="","",IF($Q$9=0,"",Q64/$Q$9)))</f>
        <v/>
      </c>
      <c r="S64" s="142" t="n"/>
      <c r="T64" s="148">
        <f>IF(S64="","",IF($S$9="","",IF($S$9=0,"",S64/$S$9)))</f>
        <v/>
      </c>
      <c r="U64" s="142" t="n"/>
      <c r="V64" s="148">
        <f>IF(U64="","",IF($U$9="","",IF($U$9=0,"",U64/$U$9)))</f>
        <v/>
      </c>
      <c r="W64" s="142" t="n"/>
      <c r="X64" s="148">
        <f>IF(W64="","",IF($W$9="","",IF($W$9=0,"",W64/$W$9)))</f>
        <v/>
      </c>
    </row>
    <row r="65" ht="15" customHeight="1" s="87">
      <c r="A65" s="92" t="n">
        <v>55</v>
      </c>
      <c r="B65" s="138" t="n">
        <v>46566</v>
      </c>
      <c r="C65" s="139" t="n">
        <v>0</v>
      </c>
      <c r="D65" s="140" t="n"/>
      <c r="E65" s="92" t="n"/>
      <c r="F65" s="92" t="n"/>
      <c r="G65" s="155">
        <f>IF(D65="","",D65-C65)</f>
        <v/>
      </c>
      <c r="H65" s="100">
        <f>IF(D65="","",IF(D65&lt;=C65,"En meta",IF(D65&lt;=C65+1,"Riesgo","Atrasado")))</f>
        <v/>
      </c>
      <c r="I65" s="144" t="n"/>
      <c r="J65" s="143">
        <f>IF(I65="","",IF($I$9="","",IF($I$9=0,"",I65/$I$9)))</f>
        <v/>
      </c>
      <c r="K65" s="142" t="n"/>
      <c r="L65" s="143">
        <f>IF(K65="","",IF($K$9="","",IF($K$9=0,"",K65/$K$9)))</f>
        <v/>
      </c>
      <c r="M65" s="142" t="n"/>
      <c r="N65" s="143">
        <f>IF(M65="","",IF($M$9="","",IF($M$9=0,"",M65/$M$9)))</f>
        <v/>
      </c>
      <c r="O65" s="142" t="n"/>
      <c r="P65" s="143">
        <f>IF(O65="","",IF($O$9="","",IF($O$9=0,"",O65/$O$9)))</f>
        <v/>
      </c>
      <c r="Q65" s="144" t="n"/>
      <c r="R65" s="143">
        <f>IF(Q65="","",IF($Q$9="","",IF($Q$9=0,"",Q65/$Q$9)))</f>
        <v/>
      </c>
      <c r="S65" s="142" t="n"/>
      <c r="T65" s="143">
        <f>IF(S65="","",IF($S$9="","",IF($S$9=0,"",S65/$S$9)))</f>
        <v/>
      </c>
      <c r="U65" s="142" t="n"/>
      <c r="V65" s="143">
        <f>IF(U65="","",IF($U$9="","",IF($U$9=0,"",U65/$U$9)))</f>
        <v/>
      </c>
      <c r="W65" s="142" t="n"/>
      <c r="X65" s="143">
        <f>IF(W65="","",IF($W$9="","",IF($W$9=0,"",W65/$W$9)))</f>
        <v/>
      </c>
    </row>
    <row r="66" ht="15" customHeight="1" s="87">
      <c r="A66" s="115" t="n">
        <v>56</v>
      </c>
      <c r="B66" s="145" t="n">
        <v>46573</v>
      </c>
      <c r="C66" s="146" t="n">
        <v>0</v>
      </c>
      <c r="D66" s="140" t="n"/>
      <c r="E66" s="115" t="n"/>
      <c r="F66" s="115" t="n"/>
      <c r="G66" s="156">
        <f>IF(D66="","",D66-C66)</f>
        <v/>
      </c>
      <c r="H66" s="101">
        <f>IF(D66="","",IF(D66&lt;=C66,"En meta",IF(D66&lt;=C66+1,"Riesgo","Atrasado")))</f>
        <v/>
      </c>
      <c r="I66" s="144" t="n"/>
      <c r="J66" s="148">
        <f>IF(I66="","",IF($I$9="","",IF($I$9=0,"",I66/$I$9)))</f>
        <v/>
      </c>
      <c r="K66" s="142" t="n"/>
      <c r="L66" s="148">
        <f>IF(K66="","",IF($K$9="","",IF($K$9=0,"",K66/$K$9)))</f>
        <v/>
      </c>
      <c r="M66" s="142" t="n"/>
      <c r="N66" s="148">
        <f>IF(M66="","",IF($M$9="","",IF($M$9=0,"",M66/$M$9)))</f>
        <v/>
      </c>
      <c r="O66" s="142" t="n"/>
      <c r="P66" s="148">
        <f>IF(O66="","",IF($O$9="","",IF($O$9=0,"",O66/$O$9)))</f>
        <v/>
      </c>
      <c r="Q66" s="144" t="n"/>
      <c r="R66" s="148">
        <f>IF(Q66="","",IF($Q$9="","",IF($Q$9=0,"",Q66/$Q$9)))</f>
        <v/>
      </c>
      <c r="S66" s="142" t="n"/>
      <c r="T66" s="148">
        <f>IF(S66="","",IF($S$9="","",IF($S$9=0,"",S66/$S$9)))</f>
        <v/>
      </c>
      <c r="U66" s="142" t="n"/>
      <c r="V66" s="148">
        <f>IF(U66="","",IF($U$9="","",IF($U$9=0,"",U66/$U$9)))</f>
        <v/>
      </c>
      <c r="W66" s="142" t="n"/>
      <c r="X66" s="148">
        <f>IF(W66="","",IF($W$9="","",IF($W$9=0,"",W66/$W$9)))</f>
        <v/>
      </c>
    </row>
    <row r="67" ht="15" customHeight="1" s="87">
      <c r="A67" s="92" t="n">
        <v>57</v>
      </c>
      <c r="B67" s="138" t="n">
        <v>46580</v>
      </c>
      <c r="C67" s="139" t="n">
        <v>0</v>
      </c>
      <c r="D67" s="140" t="n"/>
      <c r="E67" s="92" t="n"/>
      <c r="F67" s="92" t="n"/>
      <c r="G67" s="155">
        <f>IF(D67="","",D67-C67)</f>
        <v/>
      </c>
      <c r="H67" s="100">
        <f>IF(D67="","",IF(D67&lt;=C67,"En meta",IF(D67&lt;=C67+1,"Riesgo","Atrasado")))</f>
        <v/>
      </c>
      <c r="I67" s="144" t="n"/>
      <c r="J67" s="143">
        <f>IF(I67="","",IF($I$9="","",IF($I$9=0,"",I67/$I$9)))</f>
        <v/>
      </c>
      <c r="K67" s="142" t="n"/>
      <c r="L67" s="143">
        <f>IF(K67="","",IF($K$9="","",IF($K$9=0,"",K67/$K$9)))</f>
        <v/>
      </c>
      <c r="M67" s="142" t="n"/>
      <c r="N67" s="143">
        <f>IF(M67="","",IF($M$9="","",IF($M$9=0,"",M67/$M$9)))</f>
        <v/>
      </c>
      <c r="O67" s="142" t="n"/>
      <c r="P67" s="143">
        <f>IF(O67="","",IF($O$9="","",IF($O$9=0,"",O67/$O$9)))</f>
        <v/>
      </c>
      <c r="Q67" s="144" t="n"/>
      <c r="R67" s="143">
        <f>IF(Q67="","",IF($Q$9="","",IF($Q$9=0,"",Q67/$Q$9)))</f>
        <v/>
      </c>
      <c r="S67" s="142" t="n"/>
      <c r="T67" s="143">
        <f>IF(S67="","",IF($S$9="","",IF($S$9=0,"",S67/$S$9)))</f>
        <v/>
      </c>
      <c r="U67" s="142" t="n"/>
      <c r="V67" s="143">
        <f>IF(U67="","",IF($U$9="","",IF($U$9=0,"",U67/$U$9)))</f>
        <v/>
      </c>
      <c r="W67" s="142" t="n"/>
      <c r="X67" s="143">
        <f>IF(W67="","",IF($W$9="","",IF($W$9=0,"",W67/$W$9)))</f>
        <v/>
      </c>
    </row>
    <row r="68" ht="15" customHeight="1" s="87">
      <c r="A68" s="115" t="n">
        <v>58</v>
      </c>
      <c r="B68" s="145" t="n">
        <v>46587</v>
      </c>
      <c r="C68" s="146" t="n">
        <v>0</v>
      </c>
      <c r="D68" s="140" t="n"/>
      <c r="E68" s="115" t="n"/>
      <c r="F68" s="115" t="n"/>
      <c r="G68" s="156">
        <f>IF(D68="","",D68-C68)</f>
        <v/>
      </c>
      <c r="H68" s="101">
        <f>IF(D68="","",IF(D68&lt;=C68,"En meta",IF(D68&lt;=C68+1,"Riesgo","Atrasado")))</f>
        <v/>
      </c>
      <c r="I68" s="144" t="n"/>
      <c r="J68" s="148">
        <f>IF(I68="","",IF($I$9="","",IF($I$9=0,"",I68/$I$9)))</f>
        <v/>
      </c>
      <c r="K68" s="142" t="n"/>
      <c r="L68" s="148">
        <f>IF(K68="","",IF($K$9="","",IF($K$9=0,"",K68/$K$9)))</f>
        <v/>
      </c>
      <c r="M68" s="142" t="n"/>
      <c r="N68" s="148">
        <f>IF(M68="","",IF($M$9="","",IF($M$9=0,"",M68/$M$9)))</f>
        <v/>
      </c>
      <c r="O68" s="142" t="n"/>
      <c r="P68" s="148">
        <f>IF(O68="","",IF($O$9="","",IF($O$9=0,"",O68/$O$9)))</f>
        <v/>
      </c>
      <c r="Q68" s="144" t="n"/>
      <c r="R68" s="148">
        <f>IF(Q68="","",IF($Q$9="","",IF($Q$9=0,"",Q68/$Q$9)))</f>
        <v/>
      </c>
      <c r="S68" s="142" t="n"/>
      <c r="T68" s="148">
        <f>IF(S68="","",IF($S$9="","",IF($S$9=0,"",S68/$S$9)))</f>
        <v/>
      </c>
      <c r="U68" s="142" t="n"/>
      <c r="V68" s="148">
        <f>IF(U68="","",IF($U$9="","",IF($U$9=0,"",U68/$U$9)))</f>
        <v/>
      </c>
      <c r="W68" s="142" t="n"/>
      <c r="X68" s="148">
        <f>IF(W68="","",IF($W$9="","",IF($W$9=0,"",W68/$W$9)))</f>
        <v/>
      </c>
    </row>
    <row r="69" ht="15" customHeight="1" s="87">
      <c r="A69" s="92" t="n">
        <v>59</v>
      </c>
      <c r="B69" s="138" t="n">
        <v>46594</v>
      </c>
      <c r="C69" s="139" t="n">
        <v>0</v>
      </c>
      <c r="D69" s="140" t="n"/>
      <c r="E69" s="92" t="n"/>
      <c r="F69" s="92" t="n"/>
      <c r="G69" s="155">
        <f>IF(D69="","",D69-C69)</f>
        <v/>
      </c>
      <c r="H69" s="100">
        <f>IF(D69="","",IF(D69&lt;=C69,"En meta",IF(D69&lt;=C69+1,"Riesgo","Atrasado")))</f>
        <v/>
      </c>
      <c r="I69" s="144" t="n"/>
      <c r="J69" s="143">
        <f>IF(I69="","",IF($I$9="","",IF($I$9=0,"",I69/$I$9)))</f>
        <v/>
      </c>
      <c r="K69" s="142" t="n"/>
      <c r="L69" s="143">
        <f>IF(K69="","",IF($K$9="","",IF($K$9=0,"",K69/$K$9)))</f>
        <v/>
      </c>
      <c r="M69" s="142" t="n"/>
      <c r="N69" s="143">
        <f>IF(M69="","",IF($M$9="","",IF($M$9=0,"",M69/$M$9)))</f>
        <v/>
      </c>
      <c r="O69" s="142" t="n"/>
      <c r="P69" s="143">
        <f>IF(O69="","",IF($O$9="","",IF($O$9=0,"",O69/$O$9)))</f>
        <v/>
      </c>
      <c r="Q69" s="144" t="n"/>
      <c r="R69" s="143">
        <f>IF(Q69="","",IF($Q$9="","",IF($Q$9=0,"",Q69/$Q$9)))</f>
        <v/>
      </c>
      <c r="S69" s="142" t="n"/>
      <c r="T69" s="143">
        <f>IF(S69="","",IF($S$9="","",IF($S$9=0,"",S69/$S$9)))</f>
        <v/>
      </c>
      <c r="U69" s="142" t="n"/>
      <c r="V69" s="143">
        <f>IF(U69="","",IF($U$9="","",IF($U$9=0,"",U69/$U$9)))</f>
        <v/>
      </c>
      <c r="W69" s="142" t="n"/>
      <c r="X69" s="143">
        <f>IF(W69="","",IF($W$9="","",IF($W$9=0,"",W69/$W$9)))</f>
        <v/>
      </c>
    </row>
    <row r="70" ht="15" customHeight="1" s="87">
      <c r="A70" s="115" t="n">
        <v>60</v>
      </c>
      <c r="B70" s="145" t="n">
        <v>46601</v>
      </c>
      <c r="C70" s="146" t="n">
        <v>0</v>
      </c>
      <c r="D70" s="140" t="n"/>
      <c r="E70" s="115" t="n"/>
      <c r="F70" s="115" t="n"/>
      <c r="G70" s="156">
        <f>IF(D70="","",D70-C70)</f>
        <v/>
      </c>
      <c r="H70" s="101">
        <f>IF(D70="","",IF(D70&lt;=C70,"En meta",IF(D70&lt;=C70+1,"Riesgo","Atrasado")))</f>
        <v/>
      </c>
      <c r="I70" s="144" t="n"/>
      <c r="J70" s="148">
        <f>IF(I70="","",IF($I$9="","",IF($I$9=0,"",I70/$I$9)))</f>
        <v/>
      </c>
      <c r="K70" s="142" t="n"/>
      <c r="L70" s="148">
        <f>IF(K70="","",IF($K$9="","",IF($K$9=0,"",K70/$K$9)))</f>
        <v/>
      </c>
      <c r="M70" s="142" t="n"/>
      <c r="N70" s="148">
        <f>IF(M70="","",IF($M$9="","",IF($M$9=0,"",M70/$M$9)))</f>
        <v/>
      </c>
      <c r="O70" s="142" t="n"/>
      <c r="P70" s="148">
        <f>IF(O70="","",IF($O$9="","",IF($O$9=0,"",O70/$O$9)))</f>
        <v/>
      </c>
      <c r="Q70" s="144" t="n"/>
      <c r="R70" s="148">
        <f>IF(Q70="","",IF($Q$9="","",IF($Q$9=0,"",Q70/$Q$9)))</f>
        <v/>
      </c>
      <c r="S70" s="142" t="n"/>
      <c r="T70" s="148">
        <f>IF(S70="","",IF($S$9="","",IF($S$9=0,"",S70/$S$9)))</f>
        <v/>
      </c>
      <c r="U70" s="142" t="n"/>
      <c r="V70" s="148">
        <f>IF(U70="","",IF($U$9="","",IF($U$9=0,"",U70/$U$9)))</f>
        <v/>
      </c>
      <c r="W70" s="142" t="n"/>
      <c r="X70" s="148">
        <f>IF(W70="","",IF($W$9="","",IF($W$9=0,"",W70/$W$9)))</f>
        <v/>
      </c>
    </row>
    <row r="71" ht="15" customHeight="1" s="87">
      <c r="A71" s="92" t="n">
        <v>61</v>
      </c>
      <c r="B71" s="138" t="n">
        <v>46608</v>
      </c>
      <c r="C71" s="139" t="n">
        <v>0</v>
      </c>
      <c r="D71" s="140" t="n"/>
      <c r="E71" s="92" t="n"/>
      <c r="F71" s="92" t="n"/>
      <c r="G71" s="155">
        <f>IF(D71="","",D71-C71)</f>
        <v/>
      </c>
      <c r="H71" s="100">
        <f>IF(D71="","",IF(D71&lt;=C71,"En meta",IF(D71&lt;=C71+1,"Riesgo","Atrasado")))</f>
        <v/>
      </c>
      <c r="I71" s="144" t="n"/>
      <c r="J71" s="143">
        <f>IF(I71="","",IF($I$9="","",IF($I$9=0,"",I71/$I$9)))</f>
        <v/>
      </c>
      <c r="K71" s="142" t="n"/>
      <c r="L71" s="143">
        <f>IF(K71="","",IF($K$9="","",IF($K$9=0,"",K71/$K$9)))</f>
        <v/>
      </c>
      <c r="M71" s="142" t="n"/>
      <c r="N71" s="143">
        <f>IF(M71="","",IF($M$9="","",IF($M$9=0,"",M71/$M$9)))</f>
        <v/>
      </c>
      <c r="O71" s="142" t="n"/>
      <c r="P71" s="143">
        <f>IF(O71="","",IF($O$9="","",IF($O$9=0,"",O71/$O$9)))</f>
        <v/>
      </c>
      <c r="Q71" s="144" t="n"/>
      <c r="R71" s="143">
        <f>IF(Q71="","",IF($Q$9="","",IF($Q$9=0,"",Q71/$Q$9)))</f>
        <v/>
      </c>
      <c r="S71" s="142" t="n"/>
      <c r="T71" s="143">
        <f>IF(S71="","",IF($S$9="","",IF($S$9=0,"",S71/$S$9)))</f>
        <v/>
      </c>
      <c r="U71" s="142" t="n"/>
      <c r="V71" s="143">
        <f>IF(U71="","",IF($U$9="","",IF($U$9=0,"",U71/$U$9)))</f>
        <v/>
      </c>
      <c r="W71" s="142" t="n"/>
      <c r="X71" s="143">
        <f>IF(W71="","",IF($W$9="","",IF($W$9=0,"",W71/$W$9)))</f>
        <v/>
      </c>
    </row>
    <row r="72" ht="15" customHeight="1" s="87">
      <c r="A72" s="115" t="n">
        <v>62</v>
      </c>
      <c r="B72" s="145" t="n">
        <v>46615</v>
      </c>
      <c r="C72" s="146" t="n">
        <v>0</v>
      </c>
      <c r="D72" s="140" t="n"/>
      <c r="E72" s="115" t="n"/>
      <c r="F72" s="115" t="n"/>
      <c r="G72" s="156">
        <f>IF(D72="","",D72-C72)</f>
        <v/>
      </c>
      <c r="H72" s="101">
        <f>IF(D72="","",IF(D72&lt;=C72,"En meta",IF(D72&lt;=C72+1,"Riesgo","Atrasado")))</f>
        <v/>
      </c>
      <c r="I72" s="144" t="n"/>
      <c r="J72" s="148">
        <f>IF(I72="","",IF($I$9="","",IF($I$9=0,"",I72/$I$9)))</f>
        <v/>
      </c>
      <c r="K72" s="142" t="n"/>
      <c r="L72" s="148">
        <f>IF(K72="","",IF($K$9="","",IF($K$9=0,"",K72/$K$9)))</f>
        <v/>
      </c>
      <c r="M72" s="142" t="n"/>
      <c r="N72" s="148">
        <f>IF(M72="","",IF($M$9="","",IF($M$9=0,"",M72/$M$9)))</f>
        <v/>
      </c>
      <c r="O72" s="142" t="n"/>
      <c r="P72" s="148">
        <f>IF(O72="","",IF($O$9="","",IF($O$9=0,"",O72/$O$9)))</f>
        <v/>
      </c>
      <c r="Q72" s="144" t="n"/>
      <c r="R72" s="148">
        <f>IF(Q72="","",IF($Q$9="","",IF($Q$9=0,"",Q72/$Q$9)))</f>
        <v/>
      </c>
      <c r="S72" s="142" t="n"/>
      <c r="T72" s="148">
        <f>IF(S72="","",IF($S$9="","",IF($S$9=0,"",S72/$S$9)))</f>
        <v/>
      </c>
      <c r="U72" s="142" t="n"/>
      <c r="V72" s="148">
        <f>IF(U72="","",IF($U$9="","",IF($U$9=0,"",U72/$U$9)))</f>
        <v/>
      </c>
      <c r="W72" s="142" t="n"/>
      <c r="X72" s="148">
        <f>IF(W72="","",IF($W$9="","",IF($W$9=0,"",W72/$W$9)))</f>
        <v/>
      </c>
    </row>
    <row r="73" ht="15" customHeight="1" s="87">
      <c r="A73" s="92" t="n">
        <v>63</v>
      </c>
      <c r="B73" s="138" t="n">
        <v>46622</v>
      </c>
      <c r="C73" s="139" t="n">
        <v>0</v>
      </c>
      <c r="D73" s="140" t="n"/>
      <c r="E73" s="92" t="n"/>
      <c r="F73" s="92" t="n"/>
      <c r="G73" s="155">
        <f>IF(D73="","",D73-C73)</f>
        <v/>
      </c>
      <c r="H73" s="100">
        <f>IF(D73="","",IF(D73&lt;=C73,"En meta",IF(D73&lt;=C73+1,"Riesgo","Atrasado")))</f>
        <v/>
      </c>
      <c r="I73" s="144" t="n"/>
      <c r="J73" s="143">
        <f>IF(I73="","",IF($I$9="","",IF($I$9=0,"",I73/$I$9)))</f>
        <v/>
      </c>
      <c r="K73" s="142" t="n"/>
      <c r="L73" s="143">
        <f>IF(K73="","",IF($K$9="","",IF($K$9=0,"",K73/$K$9)))</f>
        <v/>
      </c>
      <c r="M73" s="142" t="n"/>
      <c r="N73" s="143">
        <f>IF(M73="","",IF($M$9="","",IF($M$9=0,"",M73/$M$9)))</f>
        <v/>
      </c>
      <c r="O73" s="142" t="n"/>
      <c r="P73" s="143">
        <f>IF(O73="","",IF($O$9="","",IF($O$9=0,"",O73/$O$9)))</f>
        <v/>
      </c>
      <c r="Q73" s="144" t="n"/>
      <c r="R73" s="143">
        <f>IF(Q73="","",IF($Q$9="","",IF($Q$9=0,"",Q73/$Q$9)))</f>
        <v/>
      </c>
      <c r="S73" s="142" t="n"/>
      <c r="T73" s="143">
        <f>IF(S73="","",IF($S$9="","",IF($S$9=0,"",S73/$S$9)))</f>
        <v/>
      </c>
      <c r="U73" s="142" t="n"/>
      <c r="V73" s="143">
        <f>IF(U73="","",IF($U$9="","",IF($U$9=0,"",U73/$U$9)))</f>
        <v/>
      </c>
      <c r="W73" s="142" t="n"/>
      <c r="X73" s="143">
        <f>IF(W73="","",IF($W$9="","",IF($W$9=0,"",W73/$W$9)))</f>
        <v/>
      </c>
    </row>
    <row r="74" ht="15" customHeight="1" s="87">
      <c r="A74" s="115" t="n">
        <v>64</v>
      </c>
      <c r="B74" s="145" t="n">
        <v>46629</v>
      </c>
      <c r="C74" s="146" t="n">
        <v>0</v>
      </c>
      <c r="D74" s="140" t="n"/>
      <c r="E74" s="115" t="n"/>
      <c r="F74" s="115" t="n"/>
      <c r="G74" s="156">
        <f>IF(D74="","",D74-C74)</f>
        <v/>
      </c>
      <c r="H74" s="101">
        <f>IF(D74="","",IF(D74&lt;=C74,"En meta",IF(D74&lt;=C74+1,"Riesgo","Atrasado")))</f>
        <v/>
      </c>
      <c r="I74" s="144" t="n"/>
      <c r="J74" s="148">
        <f>IF(I74="","",IF($I$9="","",IF($I$9=0,"",I74/$I$9)))</f>
        <v/>
      </c>
      <c r="K74" s="142" t="n"/>
      <c r="L74" s="148">
        <f>IF(K74="","",IF($K$9="","",IF($K$9=0,"",K74/$K$9)))</f>
        <v/>
      </c>
      <c r="M74" s="142" t="n"/>
      <c r="N74" s="148">
        <f>IF(M74="","",IF($M$9="","",IF($M$9=0,"",M74/$M$9)))</f>
        <v/>
      </c>
      <c r="O74" s="142" t="n"/>
      <c r="P74" s="148">
        <f>IF(O74="","",IF($O$9="","",IF($O$9=0,"",O74/$O$9)))</f>
        <v/>
      </c>
      <c r="Q74" s="144" t="n"/>
      <c r="R74" s="148">
        <f>IF(Q74="","",IF($Q$9="","",IF($Q$9=0,"",Q74/$Q$9)))</f>
        <v/>
      </c>
      <c r="S74" s="142" t="n"/>
      <c r="T74" s="148">
        <f>IF(S74="","",IF($S$9="","",IF($S$9=0,"",S74/$S$9)))</f>
        <v/>
      </c>
      <c r="U74" s="142" t="n"/>
      <c r="V74" s="148">
        <f>IF(U74="","",IF($U$9="","",IF($U$9=0,"",U74/$U$9)))</f>
        <v/>
      </c>
      <c r="W74" s="142" t="n"/>
      <c r="X74" s="148">
        <f>IF(W74="","",IF($W$9="","",IF($W$9=0,"",W74/$W$9)))</f>
        <v/>
      </c>
    </row>
    <row r="75" ht="15" customHeight="1" s="87">
      <c r="A75" s="92" t="n">
        <v>65</v>
      </c>
      <c r="B75" s="138" t="n">
        <v>46636</v>
      </c>
      <c r="C75" s="139" t="n">
        <v>0</v>
      </c>
      <c r="D75" s="140" t="n"/>
      <c r="E75" s="92" t="n"/>
      <c r="F75" s="92" t="n"/>
      <c r="G75" s="155">
        <f>IF(D75="","",D75-C75)</f>
        <v/>
      </c>
      <c r="H75" s="100">
        <f>IF(D75="","",IF(D75&lt;=C75,"En meta",IF(D75&lt;=C75+1,"Riesgo","Atrasado")))</f>
        <v/>
      </c>
      <c r="I75" s="144" t="n"/>
      <c r="J75" s="143">
        <f>IF(I75="","",IF($I$9="","",IF($I$9=0,"",I75/$I$9)))</f>
        <v/>
      </c>
      <c r="K75" s="142" t="n"/>
      <c r="L75" s="143">
        <f>IF(K75="","",IF($K$9="","",IF($K$9=0,"",K75/$K$9)))</f>
        <v/>
      </c>
      <c r="M75" s="142" t="n"/>
      <c r="N75" s="143">
        <f>IF(M75="","",IF($M$9="","",IF($M$9=0,"",M75/$M$9)))</f>
        <v/>
      </c>
      <c r="O75" s="142" t="n"/>
      <c r="P75" s="143">
        <f>IF(O75="","",IF($O$9="","",IF($O$9=0,"",O75/$O$9)))</f>
        <v/>
      </c>
      <c r="Q75" s="144" t="n"/>
      <c r="R75" s="143">
        <f>IF(Q75="","",IF($Q$9="","",IF($Q$9=0,"",Q75/$Q$9)))</f>
        <v/>
      </c>
      <c r="S75" s="142" t="n"/>
      <c r="T75" s="143">
        <f>IF(S75="","",IF($S$9="","",IF($S$9=0,"",S75/$S$9)))</f>
        <v/>
      </c>
      <c r="U75" s="142" t="n"/>
      <c r="V75" s="143">
        <f>IF(U75="","",IF($U$9="","",IF($U$9=0,"",U75/$U$9)))</f>
        <v/>
      </c>
      <c r="W75" s="142" t="n"/>
      <c r="X75" s="143">
        <f>IF(W75="","",IF($W$9="","",IF($W$9=0,"",W75/$W$9)))</f>
        <v/>
      </c>
    </row>
    <row r="76" ht="15" customHeight="1" s="87">
      <c r="A76" s="115" t="n">
        <v>66</v>
      </c>
      <c r="B76" s="145" t="n">
        <v>46643</v>
      </c>
      <c r="C76" s="146" t="n">
        <v>0</v>
      </c>
      <c r="D76" s="140" t="n"/>
      <c r="E76" s="115" t="n"/>
      <c r="F76" s="115" t="n"/>
      <c r="G76" s="156">
        <f>IF(D76="","",D76-C76)</f>
        <v/>
      </c>
      <c r="H76" s="101">
        <f>IF(D76="","",IF(D76&lt;=C76,"En meta",IF(D76&lt;=C76+1,"Riesgo","Atrasado")))</f>
        <v/>
      </c>
      <c r="I76" s="144" t="n"/>
      <c r="J76" s="148">
        <f>IF(I76="","",IF($I$9="","",IF($I$9=0,"",I76/$I$9)))</f>
        <v/>
      </c>
      <c r="K76" s="142" t="n"/>
      <c r="L76" s="148">
        <f>IF(K76="","",IF($K$9="","",IF($K$9=0,"",K76/$K$9)))</f>
        <v/>
      </c>
      <c r="M76" s="142" t="n"/>
      <c r="N76" s="148">
        <f>IF(M76="","",IF($M$9="","",IF($M$9=0,"",M76/$M$9)))</f>
        <v/>
      </c>
      <c r="O76" s="142" t="n"/>
      <c r="P76" s="148">
        <f>IF(O76="","",IF($O$9="","",IF($O$9=0,"",O76/$O$9)))</f>
        <v/>
      </c>
      <c r="Q76" s="144" t="n"/>
      <c r="R76" s="148">
        <f>IF(Q76="","",IF($Q$9="","",IF($Q$9=0,"",Q76/$Q$9)))</f>
        <v/>
      </c>
      <c r="S76" s="142" t="n"/>
      <c r="T76" s="148">
        <f>IF(S76="","",IF($S$9="","",IF($S$9=0,"",S76/$S$9)))</f>
        <v/>
      </c>
      <c r="U76" s="142" t="n"/>
      <c r="V76" s="148">
        <f>IF(U76="","",IF($U$9="","",IF($U$9=0,"",U76/$U$9)))</f>
        <v/>
      </c>
      <c r="W76" s="142" t="n"/>
      <c r="X76" s="148">
        <f>IF(W76="","",IF($W$9="","",IF($W$9=0,"",W76/$W$9)))</f>
        <v/>
      </c>
    </row>
    <row r="77" ht="15" customHeight="1" s="87">
      <c r="A77" s="92" t="n">
        <v>67</v>
      </c>
      <c r="B77" s="138" t="n">
        <v>46650</v>
      </c>
      <c r="C77" s="139" t="n">
        <v>0</v>
      </c>
      <c r="D77" s="140" t="n"/>
      <c r="E77" s="92" t="n"/>
      <c r="F77" s="92" t="n"/>
      <c r="G77" s="155">
        <f>IF(D77="","",D77-C77)</f>
        <v/>
      </c>
      <c r="H77" s="100">
        <f>IF(D77="","",IF(D77&lt;=C77,"En meta",IF(D77&lt;=C77+1,"Riesgo","Atrasado")))</f>
        <v/>
      </c>
      <c r="I77" s="144" t="n"/>
      <c r="J77" s="143">
        <f>IF(I77="","",IF($I$9="","",IF($I$9=0,"",I77/$I$9)))</f>
        <v/>
      </c>
      <c r="K77" s="142" t="n"/>
      <c r="L77" s="143">
        <f>IF(K77="","",IF($K$9="","",IF($K$9=0,"",K77/$K$9)))</f>
        <v/>
      </c>
      <c r="M77" s="142" t="n"/>
      <c r="N77" s="143">
        <f>IF(M77="","",IF($M$9="","",IF($M$9=0,"",M77/$M$9)))</f>
        <v/>
      </c>
      <c r="O77" s="142" t="n"/>
      <c r="P77" s="143">
        <f>IF(O77="","",IF($O$9="","",IF($O$9=0,"",O77/$O$9)))</f>
        <v/>
      </c>
      <c r="Q77" s="144" t="n"/>
      <c r="R77" s="143">
        <f>IF(Q77="","",IF($Q$9="","",IF($Q$9=0,"",Q77/$Q$9)))</f>
        <v/>
      </c>
      <c r="S77" s="142" t="n"/>
      <c r="T77" s="143">
        <f>IF(S77="","",IF($S$9="","",IF($S$9=0,"",S77/$S$9)))</f>
        <v/>
      </c>
      <c r="U77" s="142" t="n"/>
      <c r="V77" s="143">
        <f>IF(U77="","",IF($U$9="","",IF($U$9=0,"",U77/$U$9)))</f>
        <v/>
      </c>
      <c r="W77" s="142" t="n"/>
      <c r="X77" s="143">
        <f>IF(W77="","",IF($W$9="","",IF($W$9=0,"",W77/$W$9)))</f>
        <v/>
      </c>
    </row>
    <row r="78" ht="15" customHeight="1" s="87">
      <c r="A78" s="115" t="n">
        <v>68</v>
      </c>
      <c r="B78" s="145" t="n">
        <v>46657</v>
      </c>
      <c r="C78" s="146" t="n">
        <v>0</v>
      </c>
      <c r="D78" s="140" t="n"/>
      <c r="E78" s="115" t="n"/>
      <c r="F78" s="115" t="n"/>
      <c r="G78" s="156">
        <f>IF(D78="","",D78-C78)</f>
        <v/>
      </c>
      <c r="H78" s="101">
        <f>IF(D78="","",IF(D78&lt;=C78,"En meta",IF(D78&lt;=C78+1,"Riesgo","Atrasado")))</f>
        <v/>
      </c>
      <c r="I78" s="144" t="n"/>
      <c r="J78" s="148">
        <f>IF(I78="","",IF($I$9="","",IF($I$9=0,"",I78/$I$9)))</f>
        <v/>
      </c>
      <c r="K78" s="142" t="n"/>
      <c r="L78" s="148">
        <f>IF(K78="","",IF($K$9="","",IF($K$9=0,"",K78/$K$9)))</f>
        <v/>
      </c>
      <c r="M78" s="142" t="n"/>
      <c r="N78" s="148">
        <f>IF(M78="","",IF($M$9="","",IF($M$9=0,"",M78/$M$9)))</f>
        <v/>
      </c>
      <c r="O78" s="142" t="n"/>
      <c r="P78" s="148">
        <f>IF(O78="","",IF($O$9="","",IF($O$9=0,"",O78/$O$9)))</f>
        <v/>
      </c>
      <c r="Q78" s="144" t="n"/>
      <c r="R78" s="148">
        <f>IF(Q78="","",IF($Q$9="","",IF($Q$9=0,"",Q78/$Q$9)))</f>
        <v/>
      </c>
      <c r="S78" s="142" t="n"/>
      <c r="T78" s="148">
        <f>IF(S78="","",IF($S$9="","",IF($S$9=0,"",S78/$S$9)))</f>
        <v/>
      </c>
      <c r="U78" s="142" t="n"/>
      <c r="V78" s="148">
        <f>IF(U78="","",IF($U$9="","",IF($U$9=0,"",U78/$U$9)))</f>
        <v/>
      </c>
      <c r="W78" s="142" t="n"/>
      <c r="X78" s="148">
        <f>IF(W78="","",IF($W$9="","",IF($W$9=0,"",W78/$W$9)))</f>
        <v/>
      </c>
    </row>
    <row r="79" ht="15" customHeight="1" s="87">
      <c r="A79" s="92" t="n">
        <v>69</v>
      </c>
      <c r="B79" s="138" t="n">
        <v>46664</v>
      </c>
      <c r="C79" s="139" t="n">
        <v>0</v>
      </c>
      <c r="D79" s="140" t="n"/>
      <c r="E79" s="92" t="n"/>
      <c r="F79" s="92" t="n"/>
      <c r="G79" s="155">
        <f>IF(D79="","",D79-C79)</f>
        <v/>
      </c>
      <c r="H79" s="100">
        <f>IF(D79="","",IF(D79&lt;=C79,"En meta",IF(D79&lt;=C79+1,"Riesgo","Atrasado")))</f>
        <v/>
      </c>
      <c r="I79" s="144" t="n"/>
      <c r="J79" s="143">
        <f>IF(I79="","",IF($I$9="","",IF($I$9=0,"",I79/$I$9)))</f>
        <v/>
      </c>
      <c r="K79" s="142" t="n"/>
      <c r="L79" s="143">
        <f>IF(K79="","",IF($K$9="","",IF($K$9=0,"",K79/$K$9)))</f>
        <v/>
      </c>
      <c r="M79" s="142" t="n"/>
      <c r="N79" s="143">
        <f>IF(M79="","",IF($M$9="","",IF($M$9=0,"",M79/$M$9)))</f>
        <v/>
      </c>
      <c r="O79" s="142" t="n"/>
      <c r="P79" s="143">
        <f>IF(O79="","",IF($O$9="","",IF($O$9=0,"",O79/$O$9)))</f>
        <v/>
      </c>
      <c r="Q79" s="144" t="n"/>
      <c r="R79" s="143">
        <f>IF(Q79="","",IF($Q$9="","",IF($Q$9=0,"",Q79/$Q$9)))</f>
        <v/>
      </c>
      <c r="S79" s="142" t="n"/>
      <c r="T79" s="143">
        <f>IF(S79="","",IF($S$9="","",IF($S$9=0,"",S79/$S$9)))</f>
        <v/>
      </c>
      <c r="U79" s="142" t="n"/>
      <c r="V79" s="143">
        <f>IF(U79="","",IF($U$9="","",IF($U$9=0,"",U79/$U$9)))</f>
        <v/>
      </c>
      <c r="W79" s="142" t="n"/>
      <c r="X79" s="143">
        <f>IF(W79="","",IF($W$9="","",IF($W$9=0,"",W79/$W$9)))</f>
        <v/>
      </c>
    </row>
    <row r="80" ht="15" customHeight="1" s="87">
      <c r="A80" s="115" t="n">
        <v>70</v>
      </c>
      <c r="B80" s="145" t="n">
        <v>46671</v>
      </c>
      <c r="C80" s="146" t="n">
        <v>0</v>
      </c>
      <c r="D80" s="140" t="n"/>
      <c r="E80" s="115" t="n"/>
      <c r="F80" s="115" t="n"/>
      <c r="G80" s="156">
        <f>IF(D80="","",D80-C80)</f>
        <v/>
      </c>
      <c r="H80" s="101">
        <f>IF(D80="","",IF(D80&lt;=C80,"En meta",IF(D80&lt;=C80+1,"Riesgo","Atrasado")))</f>
        <v/>
      </c>
      <c r="I80" s="144" t="n"/>
      <c r="J80" s="148">
        <f>IF(I80="","",IF($I$9="","",IF($I$9=0,"",I80/$I$9)))</f>
        <v/>
      </c>
      <c r="K80" s="142" t="n"/>
      <c r="L80" s="148">
        <f>IF(K80="","",IF($K$9="","",IF($K$9=0,"",K80/$K$9)))</f>
        <v/>
      </c>
      <c r="M80" s="142" t="n"/>
      <c r="N80" s="148">
        <f>IF(M80="","",IF($M$9="","",IF($M$9=0,"",M80/$M$9)))</f>
        <v/>
      </c>
      <c r="O80" s="142" t="n"/>
      <c r="P80" s="148">
        <f>IF(O80="","",IF($O$9="","",IF($O$9=0,"",O80/$O$9)))</f>
        <v/>
      </c>
      <c r="Q80" s="144" t="n"/>
      <c r="R80" s="148">
        <f>IF(Q80="","",IF($Q$9="","",IF($Q$9=0,"",Q80/$Q$9)))</f>
        <v/>
      </c>
      <c r="S80" s="142" t="n"/>
      <c r="T80" s="148">
        <f>IF(S80="","",IF($S$9="","",IF($S$9=0,"",S80/$S$9)))</f>
        <v/>
      </c>
      <c r="U80" s="142" t="n"/>
      <c r="V80" s="148">
        <f>IF(U80="","",IF($U$9="","",IF($U$9=0,"",U80/$U$9)))</f>
        <v/>
      </c>
      <c r="W80" s="142" t="n"/>
      <c r="X80" s="148">
        <f>IF(W80="","",IF($W$9="","",IF($W$9=0,"",W80/$W$9)))</f>
        <v/>
      </c>
    </row>
    <row r="81" ht="15" customHeight="1" s="87">
      <c r="A81" s="92" t="n">
        <v>71</v>
      </c>
      <c r="B81" s="138" t="n">
        <v>46678</v>
      </c>
      <c r="C81" s="139" t="n">
        <v>0</v>
      </c>
      <c r="D81" s="140" t="n"/>
      <c r="E81" s="92" t="n"/>
      <c r="F81" s="92" t="n"/>
      <c r="G81" s="155">
        <f>IF(D81="","",D81-C81)</f>
        <v/>
      </c>
      <c r="H81" s="100">
        <f>IF(D81="","",IF(D81&lt;=C81,"En meta",IF(D81&lt;=C81+1,"Riesgo","Atrasado")))</f>
        <v/>
      </c>
      <c r="I81" s="144" t="n"/>
      <c r="J81" s="143">
        <f>IF(I81="","",IF($I$9="","",IF($I$9=0,"",I81/$I$9)))</f>
        <v/>
      </c>
      <c r="K81" s="142" t="n"/>
      <c r="L81" s="143">
        <f>IF(K81="","",IF($K$9="","",IF($K$9=0,"",K81/$K$9)))</f>
        <v/>
      </c>
      <c r="M81" s="142" t="n"/>
      <c r="N81" s="143">
        <f>IF(M81="","",IF($M$9="","",IF($M$9=0,"",M81/$M$9)))</f>
        <v/>
      </c>
      <c r="O81" s="142" t="n"/>
      <c r="P81" s="143">
        <f>IF(O81="","",IF($O$9="","",IF($O$9=0,"",O81/$O$9)))</f>
        <v/>
      </c>
      <c r="Q81" s="144" t="n"/>
      <c r="R81" s="143">
        <f>IF(Q81="","",IF($Q$9="","",IF($Q$9=0,"",Q81/$Q$9)))</f>
        <v/>
      </c>
      <c r="S81" s="142" t="n"/>
      <c r="T81" s="143">
        <f>IF(S81="","",IF($S$9="","",IF($S$9=0,"",S81/$S$9)))</f>
        <v/>
      </c>
      <c r="U81" s="142" t="n"/>
      <c r="V81" s="143">
        <f>IF(U81="","",IF($U$9="","",IF($U$9=0,"",U81/$U$9)))</f>
        <v/>
      </c>
      <c r="W81" s="142" t="n"/>
      <c r="X81" s="143">
        <f>IF(W81="","",IF($W$9="","",IF($W$9=0,"",W81/$W$9)))</f>
        <v/>
      </c>
    </row>
    <row r="82" ht="15" customHeight="1" s="87">
      <c r="A82" s="115" t="n">
        <v>72</v>
      </c>
      <c r="B82" s="145" t="n">
        <v>46685</v>
      </c>
      <c r="C82" s="146" t="n">
        <v>0</v>
      </c>
      <c r="D82" s="140" t="n"/>
      <c r="E82" s="115" t="n"/>
      <c r="F82" s="115" t="n"/>
      <c r="G82" s="156">
        <f>IF(D82="","",D82-C82)</f>
        <v/>
      </c>
      <c r="H82" s="101">
        <f>IF(D82="","",IF(D82&lt;=C82,"En meta",IF(D82&lt;=C82+1,"Riesgo","Atrasado")))</f>
        <v/>
      </c>
      <c r="I82" s="144" t="n"/>
      <c r="J82" s="148">
        <f>IF(I82="","",IF($I$9="","",IF($I$9=0,"",I82/$I$9)))</f>
        <v/>
      </c>
      <c r="K82" s="142" t="n"/>
      <c r="L82" s="148">
        <f>IF(K82="","",IF($K$9="","",IF($K$9=0,"",K82/$K$9)))</f>
        <v/>
      </c>
      <c r="M82" s="142" t="n"/>
      <c r="N82" s="148">
        <f>IF(M82="","",IF($M$9="","",IF($M$9=0,"",M82/$M$9)))</f>
        <v/>
      </c>
      <c r="O82" s="142" t="n"/>
      <c r="P82" s="148">
        <f>IF(O82="","",IF($O$9="","",IF($O$9=0,"",O82/$O$9)))</f>
        <v/>
      </c>
      <c r="Q82" s="144" t="n"/>
      <c r="R82" s="148">
        <f>IF(Q82="","",IF($Q$9="","",IF($Q$9=0,"",Q82/$Q$9)))</f>
        <v/>
      </c>
      <c r="S82" s="142" t="n"/>
      <c r="T82" s="148">
        <f>IF(S82="","",IF($S$9="","",IF($S$9=0,"",S82/$S$9)))</f>
        <v/>
      </c>
      <c r="U82" s="142" t="n"/>
      <c r="V82" s="148">
        <f>IF(U82="","",IF($U$9="","",IF($U$9=0,"",U82/$U$9)))</f>
        <v/>
      </c>
      <c r="W82" s="142" t="n"/>
      <c r="X82" s="148">
        <f>IF(W82="","",IF($W$9="","",IF($W$9=0,"",W82/$W$9)))</f>
        <v/>
      </c>
    </row>
    <row r="83" ht="15" customHeight="1" s="87">
      <c r="A83" s="92" t="n">
        <v>73</v>
      </c>
      <c r="B83" s="138" t="n">
        <v>46692</v>
      </c>
      <c r="C83" s="139" t="n">
        <v>0</v>
      </c>
      <c r="D83" s="140" t="n"/>
      <c r="E83" s="92" t="n"/>
      <c r="F83" s="92" t="n"/>
      <c r="G83" s="155">
        <f>IF(D83="","",D83-C83)</f>
        <v/>
      </c>
      <c r="H83" s="100">
        <f>IF(D83="","",IF(D83&lt;=C83,"En meta",IF(D83&lt;=C83+1,"Riesgo","Atrasado")))</f>
        <v/>
      </c>
      <c r="I83" s="144" t="n"/>
      <c r="J83" s="143">
        <f>IF(I83="","",IF($I$9="","",IF($I$9=0,"",I83/$I$9)))</f>
        <v/>
      </c>
      <c r="K83" s="142" t="n"/>
      <c r="L83" s="143">
        <f>IF(K83="","",IF($K$9="","",IF($K$9=0,"",K83/$K$9)))</f>
        <v/>
      </c>
      <c r="M83" s="142" t="n"/>
      <c r="N83" s="143">
        <f>IF(M83="","",IF($M$9="","",IF($M$9=0,"",M83/$M$9)))</f>
        <v/>
      </c>
      <c r="O83" s="142" t="n"/>
      <c r="P83" s="143">
        <f>IF(O83="","",IF($O$9="","",IF($O$9=0,"",O83/$O$9)))</f>
        <v/>
      </c>
      <c r="Q83" s="144" t="n"/>
      <c r="R83" s="143">
        <f>IF(Q83="","",IF($Q$9="","",IF($Q$9=0,"",Q83/$Q$9)))</f>
        <v/>
      </c>
      <c r="S83" s="142" t="n"/>
      <c r="T83" s="143">
        <f>IF(S83="","",IF($S$9="","",IF($S$9=0,"",S83/$S$9)))</f>
        <v/>
      </c>
      <c r="U83" s="142" t="n"/>
      <c r="V83" s="143">
        <f>IF(U83="","",IF($U$9="","",IF($U$9=0,"",U83/$U$9)))</f>
        <v/>
      </c>
      <c r="W83" s="142" t="n"/>
      <c r="X83" s="143">
        <f>IF(W83="","",IF($W$9="","",IF($W$9=0,"",W83/$W$9)))</f>
        <v/>
      </c>
    </row>
    <row r="84" ht="15" customHeight="1" s="87">
      <c r="A84" s="115" t="n">
        <v>74</v>
      </c>
      <c r="B84" s="145" t="n">
        <v>46699</v>
      </c>
      <c r="C84" s="146" t="n">
        <v>0</v>
      </c>
      <c r="D84" s="140" t="n"/>
      <c r="E84" s="115" t="n"/>
      <c r="F84" s="115" t="n"/>
      <c r="G84" s="156">
        <f>IF(D84="","",D84-C84)</f>
        <v/>
      </c>
      <c r="H84" s="101">
        <f>IF(D84="","",IF(D84&lt;=C84,"En meta",IF(D84&lt;=C84+1,"Riesgo","Atrasado")))</f>
        <v/>
      </c>
      <c r="I84" s="144" t="n"/>
      <c r="J84" s="148">
        <f>IF(I84="","",IF($I$9="","",IF($I$9=0,"",I84/$I$9)))</f>
        <v/>
      </c>
      <c r="K84" s="142" t="n"/>
      <c r="L84" s="148">
        <f>IF(K84="","",IF($K$9="","",IF($K$9=0,"",K84/$K$9)))</f>
        <v/>
      </c>
      <c r="M84" s="142" t="n"/>
      <c r="N84" s="148">
        <f>IF(M84="","",IF($M$9="","",IF($M$9=0,"",M84/$M$9)))</f>
        <v/>
      </c>
      <c r="O84" s="142" t="n"/>
      <c r="P84" s="148">
        <f>IF(O84="","",IF($O$9="","",IF($O$9=0,"",O84/$O$9)))</f>
        <v/>
      </c>
      <c r="Q84" s="144" t="n"/>
      <c r="R84" s="148">
        <f>IF(Q84="","",IF($Q$9="","",IF($Q$9=0,"",Q84/$Q$9)))</f>
        <v/>
      </c>
      <c r="S84" s="142" t="n"/>
      <c r="T84" s="148">
        <f>IF(S84="","",IF($S$9="","",IF($S$9=0,"",S84/$S$9)))</f>
        <v/>
      </c>
      <c r="U84" s="142" t="n"/>
      <c r="V84" s="148">
        <f>IF(U84="","",IF($U$9="","",IF($U$9=0,"",U84/$U$9)))</f>
        <v/>
      </c>
      <c r="W84" s="142" t="n"/>
      <c r="X84" s="148">
        <f>IF(W84="","",IF($W$9="","",IF($W$9=0,"",W84/$W$9)))</f>
        <v/>
      </c>
    </row>
    <row r="85" ht="15" customHeight="1" s="87">
      <c r="A85" s="92" t="n">
        <v>75</v>
      </c>
      <c r="B85" s="138" t="n">
        <v>46706</v>
      </c>
      <c r="C85" s="139" t="n">
        <v>0</v>
      </c>
      <c r="D85" s="140" t="n"/>
      <c r="E85" s="92" t="n"/>
      <c r="F85" s="92" t="n"/>
      <c r="G85" s="155">
        <f>IF(D85="","",D85-C85)</f>
        <v/>
      </c>
      <c r="H85" s="100">
        <f>IF(D85="","",IF(D85&lt;=C85,"En meta",IF(D85&lt;=C85+1,"Riesgo","Atrasado")))</f>
        <v/>
      </c>
      <c r="I85" s="144" t="n"/>
      <c r="J85" s="143">
        <f>IF(I85="","",IF($I$9="","",IF($I$9=0,"",I85/$I$9)))</f>
        <v/>
      </c>
      <c r="K85" s="142" t="n"/>
      <c r="L85" s="143">
        <f>IF(K85="","",IF($K$9="","",IF($K$9=0,"",K85/$K$9)))</f>
        <v/>
      </c>
      <c r="M85" s="142" t="n"/>
      <c r="N85" s="143">
        <f>IF(M85="","",IF($M$9="","",IF($M$9=0,"",M85/$M$9)))</f>
        <v/>
      </c>
      <c r="O85" s="142" t="n"/>
      <c r="P85" s="143">
        <f>IF(O85="","",IF($O$9="","",IF($O$9=0,"",O85/$O$9)))</f>
        <v/>
      </c>
      <c r="Q85" s="144" t="n"/>
      <c r="R85" s="143">
        <f>IF(Q85="","",IF($Q$9="","",IF($Q$9=0,"",Q85/$Q$9)))</f>
        <v/>
      </c>
      <c r="S85" s="142" t="n"/>
      <c r="T85" s="143">
        <f>IF(S85="","",IF($S$9="","",IF($S$9=0,"",S85/$S$9)))</f>
        <v/>
      </c>
      <c r="U85" s="142" t="n"/>
      <c r="V85" s="143">
        <f>IF(U85="","",IF($U$9="","",IF($U$9=0,"",U85/$U$9)))</f>
        <v/>
      </c>
      <c r="W85" s="142" t="n"/>
      <c r="X85" s="143">
        <f>IF(W85="","",IF($W$9="","",IF($W$9=0,"",W85/$W$9)))</f>
        <v/>
      </c>
    </row>
    <row r="86" ht="15" customHeight="1" s="87">
      <c r="A86" s="115" t="n">
        <v>76</v>
      </c>
      <c r="B86" s="145" t="n">
        <v>46713</v>
      </c>
      <c r="C86" s="146" t="n">
        <v>0</v>
      </c>
      <c r="D86" s="140" t="n"/>
      <c r="E86" s="115" t="n"/>
      <c r="F86" s="115" t="n"/>
      <c r="G86" s="156">
        <f>IF(D86="","",D86-C86)</f>
        <v/>
      </c>
      <c r="H86" s="101">
        <f>IF(D86="","",IF(D86&lt;=C86,"En meta",IF(D86&lt;=C86+1,"Riesgo","Atrasado")))</f>
        <v/>
      </c>
      <c r="I86" s="144" t="n"/>
      <c r="J86" s="148">
        <f>IF(I86="","",IF($I$9="","",IF($I$9=0,"",I86/$I$9)))</f>
        <v/>
      </c>
      <c r="K86" s="142" t="n"/>
      <c r="L86" s="148">
        <f>IF(K86="","",IF($K$9="","",IF($K$9=0,"",K86/$K$9)))</f>
        <v/>
      </c>
      <c r="M86" s="142" t="n"/>
      <c r="N86" s="148">
        <f>IF(M86="","",IF($M$9="","",IF($M$9=0,"",M86/$M$9)))</f>
        <v/>
      </c>
      <c r="O86" s="142" t="n"/>
      <c r="P86" s="148">
        <f>IF(O86="","",IF($O$9="","",IF($O$9=0,"",O86/$O$9)))</f>
        <v/>
      </c>
      <c r="Q86" s="144" t="n"/>
      <c r="R86" s="148">
        <f>IF(Q86="","",IF($Q$9="","",IF($Q$9=0,"",Q86/$Q$9)))</f>
        <v/>
      </c>
      <c r="S86" s="142" t="n"/>
      <c r="T86" s="148">
        <f>IF(S86="","",IF($S$9="","",IF($S$9=0,"",S86/$S$9)))</f>
        <v/>
      </c>
      <c r="U86" s="142" t="n"/>
      <c r="V86" s="148">
        <f>IF(U86="","",IF($U$9="","",IF($U$9=0,"",U86/$U$9)))</f>
        <v/>
      </c>
      <c r="W86" s="142" t="n"/>
      <c r="X86" s="148">
        <f>IF(W86="","",IF($W$9="","",IF($W$9=0,"",W86/$W$9)))</f>
        <v/>
      </c>
    </row>
    <row r="87" ht="15" customHeight="1" s="87">
      <c r="A87" s="92" t="n">
        <v>77</v>
      </c>
      <c r="B87" s="138" t="n">
        <v>46720</v>
      </c>
      <c r="C87" s="139" t="n">
        <v>0</v>
      </c>
      <c r="D87" s="140" t="n"/>
      <c r="E87" s="92" t="n"/>
      <c r="F87" s="92" t="n"/>
      <c r="G87" s="155">
        <f>IF(D87="","",D87-C87)</f>
        <v/>
      </c>
      <c r="H87" s="100">
        <f>IF(D87="","",IF(D87&lt;=C87,"En meta",IF(D87&lt;=C87+1,"Riesgo","Atrasado")))</f>
        <v/>
      </c>
      <c r="I87" s="144" t="n"/>
      <c r="J87" s="143">
        <f>IF(I87="","",IF($I$9="","",IF($I$9=0,"",I87/$I$9)))</f>
        <v/>
      </c>
      <c r="K87" s="142" t="n"/>
      <c r="L87" s="143">
        <f>IF(K87="","",IF($K$9="","",IF($K$9=0,"",K87/$K$9)))</f>
        <v/>
      </c>
      <c r="M87" s="142" t="n"/>
      <c r="N87" s="143">
        <f>IF(M87="","",IF($M$9="","",IF($M$9=0,"",M87/$M$9)))</f>
        <v/>
      </c>
      <c r="O87" s="142" t="n"/>
      <c r="P87" s="143">
        <f>IF(O87="","",IF($O$9="","",IF($O$9=0,"",O87/$O$9)))</f>
        <v/>
      </c>
      <c r="Q87" s="144" t="n"/>
      <c r="R87" s="143">
        <f>IF(Q87="","",IF($Q$9="","",IF($Q$9=0,"",Q87/$Q$9)))</f>
        <v/>
      </c>
      <c r="S87" s="142" t="n"/>
      <c r="T87" s="143">
        <f>IF(S87="","",IF($S$9="","",IF($S$9=0,"",S87/$S$9)))</f>
        <v/>
      </c>
      <c r="U87" s="142" t="n"/>
      <c r="V87" s="143">
        <f>IF(U87="","",IF($U$9="","",IF($U$9=0,"",U87/$U$9)))</f>
        <v/>
      </c>
      <c r="W87" s="142" t="n"/>
      <c r="X87" s="143">
        <f>IF(W87="","",IF($W$9="","",IF($W$9=0,"",W87/$W$9)))</f>
        <v/>
      </c>
    </row>
    <row r="88" ht="15" customHeight="1" s="87">
      <c r="A88" s="115" t="n">
        <v>78</v>
      </c>
      <c r="B88" s="145" t="n">
        <v>46727</v>
      </c>
      <c r="C88" s="146" t="n">
        <v>0</v>
      </c>
      <c r="D88" s="140" t="n"/>
      <c r="E88" s="115" t="n"/>
      <c r="F88" s="115" t="n"/>
      <c r="G88" s="156">
        <f>IF(D88="","",D88-C88)</f>
        <v/>
      </c>
      <c r="H88" s="101">
        <f>IF(D88="","",IF(D88&lt;=C88,"En meta",IF(D88&lt;=C88+1,"Riesgo","Atrasado")))</f>
        <v/>
      </c>
      <c r="I88" s="144" t="n"/>
      <c r="J88" s="148">
        <f>IF(I88="","",IF($I$9="","",IF($I$9=0,"",I88/$I$9)))</f>
        <v/>
      </c>
      <c r="K88" s="142" t="n"/>
      <c r="L88" s="148">
        <f>IF(K88="","",IF($K$9="","",IF($K$9=0,"",K88/$K$9)))</f>
        <v/>
      </c>
      <c r="M88" s="142" t="n"/>
      <c r="N88" s="148">
        <f>IF(M88="","",IF($M$9="","",IF($M$9=0,"",M88/$M$9)))</f>
        <v/>
      </c>
      <c r="O88" s="142" t="n"/>
      <c r="P88" s="148">
        <f>IF(O88="","",IF($O$9="","",IF($O$9=0,"",O88/$O$9)))</f>
        <v/>
      </c>
      <c r="Q88" s="144" t="n"/>
      <c r="R88" s="148">
        <f>IF(Q88="","",IF($Q$9="","",IF($Q$9=0,"",Q88/$Q$9)))</f>
        <v/>
      </c>
      <c r="S88" s="142" t="n"/>
      <c r="T88" s="148">
        <f>IF(S88="","",IF($S$9="","",IF($S$9=0,"",S88/$S$9)))</f>
        <v/>
      </c>
      <c r="U88" s="142" t="n"/>
      <c r="V88" s="148">
        <f>IF(U88="","",IF($U$9="","",IF($U$9=0,"",U88/$U$9)))</f>
        <v/>
      </c>
      <c r="W88" s="142" t="n"/>
      <c r="X88" s="148">
        <f>IF(W88="","",IF($W$9="","",IF($W$9=0,"",W88/$W$9)))</f>
        <v/>
      </c>
    </row>
    <row r="89" ht="15" customHeight="1" s="87">
      <c r="A89" s="92" t="n">
        <v>79</v>
      </c>
      <c r="B89" s="138" t="n">
        <v>46734</v>
      </c>
      <c r="C89" s="139" t="n">
        <v>0</v>
      </c>
      <c r="D89" s="140" t="n"/>
      <c r="E89" s="92" t="n"/>
      <c r="F89" s="92" t="n"/>
      <c r="G89" s="155">
        <f>IF(D89="","",D89-C89)</f>
        <v/>
      </c>
      <c r="H89" s="100">
        <f>IF(D89="","",IF(D89&lt;=C89,"En meta",IF(D89&lt;=C89+1,"Riesgo","Atrasado")))</f>
        <v/>
      </c>
      <c r="I89" s="144" t="n"/>
      <c r="J89" s="143">
        <f>IF(I89="","",IF($I$9="","",IF($I$9=0,"",I89/$I$9)))</f>
        <v/>
      </c>
      <c r="K89" s="142" t="n"/>
      <c r="L89" s="143">
        <f>IF(K89="","",IF($K$9="","",IF($K$9=0,"",K89/$K$9)))</f>
        <v/>
      </c>
      <c r="M89" s="142" t="n"/>
      <c r="N89" s="143">
        <f>IF(M89="","",IF($M$9="","",IF($M$9=0,"",M89/$M$9)))</f>
        <v/>
      </c>
      <c r="O89" s="142" t="n"/>
      <c r="P89" s="143">
        <f>IF(O89="","",IF($O$9="","",IF($O$9=0,"",O89/$O$9)))</f>
        <v/>
      </c>
      <c r="Q89" s="144" t="n"/>
      <c r="R89" s="143">
        <f>IF(Q89="","",IF($Q$9="","",IF($Q$9=0,"",Q89/$Q$9)))</f>
        <v/>
      </c>
      <c r="S89" s="142" t="n"/>
      <c r="T89" s="143">
        <f>IF(S89="","",IF($S$9="","",IF($S$9=0,"",S89/$S$9)))</f>
        <v/>
      </c>
      <c r="U89" s="142" t="n"/>
      <c r="V89" s="143">
        <f>IF(U89="","",IF($U$9="","",IF($U$9=0,"",U89/$U$9)))</f>
        <v/>
      </c>
      <c r="W89" s="142" t="n"/>
      <c r="X89" s="143">
        <f>IF(W89="","",IF($W$9="","",IF($W$9=0,"",W89/$W$9)))</f>
        <v/>
      </c>
    </row>
    <row r="90" ht="15" customHeight="1" s="87">
      <c r="A90" s="115" t="n">
        <v>80</v>
      </c>
      <c r="B90" s="145" t="n">
        <v>46741</v>
      </c>
      <c r="C90" s="146" t="n">
        <v>0</v>
      </c>
      <c r="D90" s="140" t="n"/>
      <c r="E90" s="115" t="n"/>
      <c r="F90" s="115" t="n"/>
      <c r="G90" s="156">
        <f>IF(D90="","",D90-C90)</f>
        <v/>
      </c>
      <c r="H90" s="101">
        <f>IF(D90="","",IF(D90&lt;=C90,"En meta",IF(D90&lt;=C90+1,"Riesgo","Atrasado")))</f>
        <v/>
      </c>
      <c r="I90" s="144" t="n"/>
      <c r="J90" s="148">
        <f>IF(I90="","",IF($I$9="","",IF($I$9=0,"",I90/$I$9)))</f>
        <v/>
      </c>
      <c r="K90" s="142" t="n"/>
      <c r="L90" s="148">
        <f>IF(K90="","",IF($K$9="","",IF($K$9=0,"",K90/$K$9)))</f>
        <v/>
      </c>
      <c r="M90" s="142" t="n"/>
      <c r="N90" s="148">
        <f>IF(M90="","",IF($M$9="","",IF($M$9=0,"",M90/$M$9)))</f>
        <v/>
      </c>
      <c r="O90" s="142" t="n"/>
      <c r="P90" s="148">
        <f>IF(O90="","",IF($O$9="","",IF($O$9=0,"",O90/$O$9)))</f>
        <v/>
      </c>
      <c r="Q90" s="144" t="n"/>
      <c r="R90" s="148">
        <f>IF(Q90="","",IF($Q$9="","",IF($Q$9=0,"",Q90/$Q$9)))</f>
        <v/>
      </c>
      <c r="S90" s="142" t="n"/>
      <c r="T90" s="148">
        <f>IF(S90="","",IF($S$9="","",IF($S$9=0,"",S90/$S$9)))</f>
        <v/>
      </c>
      <c r="U90" s="142" t="n"/>
      <c r="V90" s="148">
        <f>IF(U90="","",IF($U$9="","",IF($U$9=0,"",U90/$U$9)))</f>
        <v/>
      </c>
      <c r="W90" s="142" t="n"/>
      <c r="X90" s="148">
        <f>IF(W90="","",IF($W$9="","",IF($W$9=0,"",W90/$W$9)))</f>
        <v/>
      </c>
    </row>
    <row r="91" ht="15" customHeight="1" s="87">
      <c r="A91" s="92" t="n">
        <v>81</v>
      </c>
      <c r="B91" s="138" t="n">
        <v>46748</v>
      </c>
      <c r="C91" s="139" t="n">
        <v>0</v>
      </c>
      <c r="D91" s="140" t="n"/>
      <c r="E91" s="92" t="n"/>
      <c r="F91" s="92" t="n"/>
      <c r="G91" s="155">
        <f>IF(D91="","",D91-C91)</f>
        <v/>
      </c>
      <c r="H91" s="100">
        <f>IF(D91="","",IF(D91&lt;=C91,"En meta",IF(D91&lt;=C91+1,"Riesgo","Atrasado")))</f>
        <v/>
      </c>
      <c r="I91" s="144" t="n"/>
      <c r="J91" s="143">
        <f>IF(I91="","",IF($I$9="","",IF($I$9=0,"",I91/$I$9)))</f>
        <v/>
      </c>
      <c r="K91" s="142" t="n"/>
      <c r="L91" s="143">
        <f>IF(K91="","",IF($K$9="","",IF($K$9=0,"",K91/$K$9)))</f>
        <v/>
      </c>
      <c r="M91" s="142" t="n"/>
      <c r="N91" s="143">
        <f>IF(M91="","",IF($M$9="","",IF($M$9=0,"",M91/$M$9)))</f>
        <v/>
      </c>
      <c r="O91" s="142" t="n"/>
      <c r="P91" s="143">
        <f>IF(O91="","",IF($O$9="","",IF($O$9=0,"",O91/$O$9)))</f>
        <v/>
      </c>
      <c r="Q91" s="144" t="n"/>
      <c r="R91" s="143">
        <f>IF(Q91="","",IF($Q$9="","",IF($Q$9=0,"",Q91/$Q$9)))</f>
        <v/>
      </c>
      <c r="S91" s="142" t="n"/>
      <c r="T91" s="143">
        <f>IF(S91="","",IF($S$9="","",IF($S$9=0,"",S91/$S$9)))</f>
        <v/>
      </c>
      <c r="U91" s="142" t="n"/>
      <c r="V91" s="143">
        <f>IF(U91="","",IF($U$9="","",IF($U$9=0,"",U91/$U$9)))</f>
        <v/>
      </c>
      <c r="W91" s="142" t="n"/>
      <c r="X91" s="143">
        <f>IF(W91="","",IF($W$9="","",IF($W$9=0,"",W91/$W$9)))</f>
        <v/>
      </c>
    </row>
    <row r="92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91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X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7 — Incrementar el MV de Digital Solutions en $30K/mes al 1ro de mayo 2027</t>
        </is>
      </c>
    </row>
    <row r="2" ht="15" customHeight="1" s="87">
      <c r="A2" s="104" t="inlineStr">
        <is>
          <t>Indicador lag:</t>
        </is>
      </c>
      <c r="B2" s="127" t="inlineStr">
        <is>
          <t>MV incremental firmado de servicios Digital Solutions (SOC y Célula), USD acumulado.</t>
        </is>
      </c>
    </row>
    <row r="3" ht="15" customHeight="1" s="87">
      <c r="A3" s="104" t="inlineStr">
        <is>
          <t>De X a Y:</t>
        </is>
      </c>
      <c r="B3" s="127" t="inlineStr">
        <is>
          <t>De $0 a +$30,000 de MV mensual, antes del 1 de mayo de 2027.</t>
        </is>
      </c>
    </row>
    <row r="4" ht="15" customHeight="1" s="87">
      <c r="A4" s="104" t="inlineStr">
        <is>
          <t>Dueño:</t>
        </is>
      </c>
      <c r="B4" s="128" t="inlineStr">
        <is>
          <t>S. Morales</t>
        </is>
      </c>
      <c r="D4" s="104" t="inlineStr">
        <is>
          <t>Equipo:</t>
        </is>
      </c>
      <c r="E4" s="127" t="inlineStr">
        <is>
          <t>Ventas, Del - DS</t>
        </is>
      </c>
    </row>
    <row r="5" ht="15" customHeight="1" s="87">
      <c r="A5" s="104" t="inlineStr">
        <is>
          <t>Meta:</t>
        </is>
      </c>
      <c r="B5" s="154" t="n">
        <v>30000</v>
      </c>
      <c r="D5" s="104" t="inlineStr">
        <is>
          <t>Inicio:</t>
        </is>
      </c>
      <c r="E5" s="130" t="n">
        <v>46188</v>
      </c>
      <c r="G5" s="104" t="inlineStr">
        <is>
          <t>Fin:</t>
        </is>
      </c>
      <c r="H5" s="130" t="n">
        <v>46503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semanal (fila 9) editables en azul.</t>
        </is>
      </c>
    </row>
    <row r="8" ht="42" customHeight="1" s="87">
      <c r="A8" s="104" t="inlineStr">
        <is>
          <t>Periodos:</t>
        </is>
      </c>
      <c r="B8" s="131">
        <f>COUNT(A11:A56)</f>
        <v/>
      </c>
      <c r="H8" s="132" t="inlineStr">
        <is>
          <t>Lead →</t>
        </is>
      </c>
      <c r="I8" s="133" t="inlineStr">
        <is>
          <t>L1. Opps SOC / Célula activas en pipeline</t>
        </is>
      </c>
      <c r="J8" s="134" t="n"/>
      <c r="K8" s="133" t="inlineStr">
        <is>
          <t>L2. Propuestas DS presentadas</t>
        </is>
      </c>
      <c r="L8" s="134" t="n"/>
      <c r="M8" s="133" t="inlineStr">
        <is>
          <t>L3. Demos / PoV de SOC ejecutados</t>
        </is>
      </c>
      <c r="N8" s="134" t="n"/>
      <c r="O8" s="133" t="inlineStr">
        <is>
          <t>L4. Workshops de células de desarrollo</t>
        </is>
      </c>
      <c r="P8" s="134" t="n"/>
      <c r="Q8" s="133" t="inlineStr">
        <is>
          <t>L5. Casos de éxito / referencias compartidas</t>
        </is>
      </c>
      <c r="R8" s="134" t="n"/>
      <c r="S8" s="133" t="inlineStr">
        <is>
          <t>L6. Opps DS avanzadas de etapa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5" t="n">
        <v>4</v>
      </c>
      <c r="J9" s="134" t="n"/>
      <c r="K9" s="135" t="n">
        <v>2</v>
      </c>
      <c r="L9" s="134" t="n"/>
      <c r="M9" s="135" t="n">
        <v>1</v>
      </c>
      <c r="N9" s="134" t="n"/>
      <c r="O9" s="135" t="n">
        <v>1</v>
      </c>
      <c r="P9" s="134" t="n"/>
      <c r="Q9" s="135" t="n">
        <v>1</v>
      </c>
      <c r="R9" s="134" t="n"/>
      <c r="S9" s="135" t="n">
        <v>2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Semana</t>
        </is>
      </c>
      <c r="C10" s="91" t="inlineStr">
        <is>
          <t>Meta semana</t>
        </is>
      </c>
      <c r="D10" s="91" t="inlineStr">
        <is>
          <t>Real</t>
        </is>
      </c>
      <c r="E10" s="91" t="inlineStr">
        <is>
          <t>Meta acum.</t>
        </is>
      </c>
      <c r="F10" s="91" t="inlineStr">
        <is>
          <t>Real acum.</t>
        </is>
      </c>
      <c r="G10" s="91" t="inlineStr">
        <is>
          <t>% avance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38" t="n">
        <v>46188</v>
      </c>
      <c r="C11" s="149" t="n">
        <v>652.1739130434783</v>
      </c>
      <c r="D11" s="140" t="n">
        <v>0</v>
      </c>
      <c r="E11" s="149" t="n">
        <v>652.1739130434783</v>
      </c>
      <c r="F11" s="149" t="n">
        <v>0</v>
      </c>
      <c r="G11" s="141" t="n">
        <v>0</v>
      </c>
      <c r="H11" s="100" t="inlineStr">
        <is>
          <t>Atrasado</t>
        </is>
      </c>
      <c r="I11" s="142" t="n">
        <v>3</v>
      </c>
      <c r="J11" s="143" t="n">
        <v>0.75</v>
      </c>
      <c r="K11" s="142" t="n">
        <v>2</v>
      </c>
      <c r="L11" s="143" t="n">
        <v>1</v>
      </c>
      <c r="M11" s="142" t="n">
        <v>1</v>
      </c>
      <c r="N11" s="143" t="n">
        <v>1</v>
      </c>
      <c r="O11" s="142" t="n">
        <v>1</v>
      </c>
      <c r="P11" s="143" t="n">
        <v>1</v>
      </c>
      <c r="Q11" s="142" t="n">
        <v>1</v>
      </c>
      <c r="R11" s="143" t="n">
        <v>1</v>
      </c>
      <c r="S11" s="142" t="n">
        <v>1</v>
      </c>
      <c r="T11" s="143" t="n">
        <v>0.5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45" t="n">
        <v>46195</v>
      </c>
      <c r="C12" s="150" t="n">
        <v>652.1739130434783</v>
      </c>
      <c r="D12" s="140" t="n">
        <v>0</v>
      </c>
      <c r="E12" s="150" t="n">
        <v>1304.347826086957</v>
      </c>
      <c r="F12" s="150" t="n">
        <v>0</v>
      </c>
      <c r="G12" s="147" t="n">
        <v>0</v>
      </c>
      <c r="H12" s="101" t="inlineStr">
        <is>
          <t>Atrasado</t>
        </is>
      </c>
      <c r="I12" s="142" t="n">
        <v>3</v>
      </c>
      <c r="J12" s="148" t="n">
        <v>0.75</v>
      </c>
      <c r="K12" s="142" t="n">
        <v>1</v>
      </c>
      <c r="L12" s="148" t="n">
        <v>0.5</v>
      </c>
      <c r="M12" s="142" t="n">
        <v>1</v>
      </c>
      <c r="N12" s="148" t="n">
        <v>1</v>
      </c>
      <c r="O12" s="142" t="n">
        <v>1</v>
      </c>
      <c r="P12" s="148" t="n">
        <v>1</v>
      </c>
      <c r="Q12" s="142" t="n">
        <v>1</v>
      </c>
      <c r="R12" s="148" t="n">
        <v>1</v>
      </c>
      <c r="S12" s="142" t="n">
        <v>2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38" t="n">
        <v>46202</v>
      </c>
      <c r="C13" s="149" t="n">
        <v>652.1739130434783</v>
      </c>
      <c r="D13" s="140" t="n">
        <v>2500</v>
      </c>
      <c r="E13" s="149" t="n">
        <v>1956.521739130435</v>
      </c>
      <c r="F13" s="149" t="n">
        <v>2500</v>
      </c>
      <c r="G13" s="141" t="n">
        <v>1.277777777777778</v>
      </c>
      <c r="H13" s="100" t="inlineStr">
        <is>
          <t>En meta</t>
        </is>
      </c>
      <c r="I13" s="142" t="n">
        <v>3</v>
      </c>
      <c r="J13" s="143" t="n">
        <v>0.75</v>
      </c>
      <c r="K13" s="142" t="n">
        <v>2</v>
      </c>
      <c r="L13" s="143" t="n">
        <v>1</v>
      </c>
      <c r="M13" s="142" t="n">
        <v>1</v>
      </c>
      <c r="N13" s="143" t="n">
        <v>1</v>
      </c>
      <c r="O13" s="142" t="n">
        <v>1</v>
      </c>
      <c r="P13" s="143" t="n">
        <v>1</v>
      </c>
      <c r="Q13" s="142" t="n">
        <v>1</v>
      </c>
      <c r="R13" s="143" t="n">
        <v>1</v>
      </c>
      <c r="S13" s="142" t="n">
        <v>1</v>
      </c>
      <c r="T13" s="143" t="n">
        <v>0.5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45" t="n">
        <v>46209</v>
      </c>
      <c r="C14" s="150" t="n">
        <v>652.1739130434783</v>
      </c>
      <c r="D14" s="140" t="n">
        <v>0</v>
      </c>
      <c r="E14" s="150" t="n">
        <v>2608.695652173913</v>
      </c>
      <c r="F14" s="150" t="n">
        <v>2500</v>
      </c>
      <c r="G14" s="147" t="n">
        <v>0.9583333333333334</v>
      </c>
      <c r="H14" s="101" t="inlineStr">
        <is>
          <t>En meta</t>
        </is>
      </c>
      <c r="I14" s="142" t="n">
        <v>5</v>
      </c>
      <c r="J14" s="148" t="n">
        <v>1.25</v>
      </c>
      <c r="K14" s="142" t="n">
        <v>1</v>
      </c>
      <c r="L14" s="148" t="n">
        <v>0.5</v>
      </c>
      <c r="M14" s="142" t="n">
        <v>1</v>
      </c>
      <c r="N14" s="148" t="n">
        <v>1</v>
      </c>
      <c r="O14" s="142" t="n">
        <v>1</v>
      </c>
      <c r="P14" s="148" t="n">
        <v>1</v>
      </c>
      <c r="Q14" s="142" t="n">
        <v>1</v>
      </c>
      <c r="R14" s="148" t="n">
        <v>1</v>
      </c>
      <c r="S14" s="142" t="n">
        <v>1</v>
      </c>
      <c r="T14" s="148" t="n">
        <v>0.5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38" t="n">
        <v>46216</v>
      </c>
      <c r="C15" s="149" t="n">
        <v>652.1739130434783</v>
      </c>
      <c r="D15" s="140" t="n">
        <v>0</v>
      </c>
      <c r="E15" s="149" t="n">
        <v>3260.869565217391</v>
      </c>
      <c r="F15" s="149" t="n">
        <v>2500</v>
      </c>
      <c r="G15" s="141" t="n">
        <v>0.7666666666666667</v>
      </c>
      <c r="H15" s="100" t="inlineStr">
        <is>
          <t>Atrasado</t>
        </is>
      </c>
      <c r="I15" s="142" t="n">
        <v>3</v>
      </c>
      <c r="J15" s="143" t="n">
        <v>0.75</v>
      </c>
      <c r="K15" s="142" t="n">
        <v>2</v>
      </c>
      <c r="L15" s="143" t="n">
        <v>1</v>
      </c>
      <c r="M15" s="142" t="n">
        <v>1</v>
      </c>
      <c r="N15" s="143" t="n">
        <v>1</v>
      </c>
      <c r="O15" s="142" t="n">
        <v>1</v>
      </c>
      <c r="P15" s="143" t="n">
        <v>1</v>
      </c>
      <c r="Q15" s="142" t="n">
        <v>1</v>
      </c>
      <c r="R15" s="143" t="n">
        <v>1</v>
      </c>
      <c r="S15" s="142" t="n">
        <v>2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45" t="n">
        <v>46223</v>
      </c>
      <c r="C16" s="150" t="n">
        <v>652.1739130434783</v>
      </c>
      <c r="D16" s="140" t="n">
        <v>1800</v>
      </c>
      <c r="E16" s="150" t="n">
        <v>3913.043478260869</v>
      </c>
      <c r="F16" s="150" t="n">
        <v>4300</v>
      </c>
      <c r="G16" s="147" t="n">
        <v>1.098888888888889</v>
      </c>
      <c r="H16" s="101" t="inlineStr">
        <is>
          <t>En meta</t>
        </is>
      </c>
      <c r="I16" s="142" t="n">
        <v>3</v>
      </c>
      <c r="J16" s="148" t="n">
        <v>0.75</v>
      </c>
      <c r="K16" s="142" t="n">
        <v>1</v>
      </c>
      <c r="L16" s="148" t="n">
        <v>0.5</v>
      </c>
      <c r="M16" s="142" t="n">
        <v>1</v>
      </c>
      <c r="N16" s="148" t="n">
        <v>1</v>
      </c>
      <c r="O16" s="142" t="n">
        <v>1</v>
      </c>
      <c r="P16" s="148" t="n">
        <v>1</v>
      </c>
      <c r="Q16" s="142" t="n">
        <v>1</v>
      </c>
      <c r="R16" s="148" t="n">
        <v>1</v>
      </c>
      <c r="S16" s="142" t="n">
        <v>1</v>
      </c>
      <c r="T16" s="148" t="n">
        <v>0.5</v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38" t="n">
        <v>46230</v>
      </c>
      <c r="C17" s="149" t="n">
        <v>652.1739130434783</v>
      </c>
      <c r="D17" s="140" t="n">
        <v>0</v>
      </c>
      <c r="E17" s="149" t="n">
        <v>4565.217391304347</v>
      </c>
      <c r="F17" s="149" t="n">
        <v>4300</v>
      </c>
      <c r="G17" s="141" t="n">
        <v>0.941904761904762</v>
      </c>
      <c r="H17" s="100" t="inlineStr">
        <is>
          <t>Riesgo</t>
        </is>
      </c>
      <c r="I17" s="142" t="n">
        <v>3</v>
      </c>
      <c r="J17" s="143" t="n">
        <v>0.75</v>
      </c>
      <c r="K17" s="142" t="n">
        <v>1</v>
      </c>
      <c r="L17" s="143" t="n">
        <v>0.5</v>
      </c>
      <c r="M17" s="142" t="n">
        <v>1</v>
      </c>
      <c r="N17" s="143" t="n">
        <v>1</v>
      </c>
      <c r="O17" s="142" t="n">
        <v>1</v>
      </c>
      <c r="P17" s="143" t="n">
        <v>1</v>
      </c>
      <c r="Q17" s="142" t="n">
        <v>1</v>
      </c>
      <c r="R17" s="143" t="n">
        <v>1</v>
      </c>
      <c r="S17" s="142" t="n">
        <v>2</v>
      </c>
      <c r="T17" s="143" t="n">
        <v>1</v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45" t="n">
        <v>46237</v>
      </c>
      <c r="C18" s="150" t="n">
        <v>652.1739130434783</v>
      </c>
      <c r="D18" s="140" t="n">
        <v>0</v>
      </c>
      <c r="E18" s="150" t="n">
        <v>5217.391304347825</v>
      </c>
      <c r="F18" s="150" t="n">
        <v>4300</v>
      </c>
      <c r="G18" s="147" t="n">
        <v>0.8241666666666668</v>
      </c>
      <c r="H18" s="101" t="inlineStr">
        <is>
          <t>Riesgo</t>
        </is>
      </c>
      <c r="I18" s="142" t="n">
        <v>3</v>
      </c>
      <c r="J18" s="148" t="n">
        <v>0.75</v>
      </c>
      <c r="K18" s="142" t="n">
        <v>1</v>
      </c>
      <c r="L18" s="148" t="n">
        <v>0.5</v>
      </c>
      <c r="M18" s="142" t="n">
        <v>1</v>
      </c>
      <c r="N18" s="148" t="n">
        <v>1</v>
      </c>
      <c r="O18" s="142" t="n">
        <v>1</v>
      </c>
      <c r="P18" s="148" t="n">
        <v>1</v>
      </c>
      <c r="Q18" s="142" t="n">
        <v>1</v>
      </c>
      <c r="R18" s="148" t="n">
        <v>1</v>
      </c>
      <c r="S18" s="142" t="n">
        <v>1</v>
      </c>
      <c r="T18" s="148" t="n">
        <v>0.5</v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38" t="n">
        <v>46244</v>
      </c>
      <c r="C19" s="149" t="n">
        <v>652.1739130434783</v>
      </c>
      <c r="D19" s="140" t="n">
        <v>2200</v>
      </c>
      <c r="E19" s="149" t="n">
        <v>5869.565217391303</v>
      </c>
      <c r="F19" s="149" t="n">
        <v>6500</v>
      </c>
      <c r="G19" s="141" t="n">
        <v>1.107407407407408</v>
      </c>
      <c r="H19" s="100" t="inlineStr">
        <is>
          <t>En meta</t>
        </is>
      </c>
      <c r="I19" s="142" t="n">
        <v>3</v>
      </c>
      <c r="J19" s="143" t="n">
        <v>0.75</v>
      </c>
      <c r="K19" s="142" t="n">
        <v>2</v>
      </c>
      <c r="L19" s="143" t="n">
        <v>1</v>
      </c>
      <c r="M19" s="142" t="n">
        <v>1</v>
      </c>
      <c r="N19" s="143" t="n">
        <v>1</v>
      </c>
      <c r="O19" s="142" t="n">
        <v>1</v>
      </c>
      <c r="P19" s="143" t="n">
        <v>1</v>
      </c>
      <c r="Q19" s="142" t="n">
        <v>1</v>
      </c>
      <c r="R19" s="143" t="n">
        <v>1</v>
      </c>
      <c r="S19" s="142" t="n">
        <v>2</v>
      </c>
      <c r="T19" s="143" t="n">
        <v>1</v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45" t="n">
        <v>46251</v>
      </c>
      <c r="C20" s="150" t="n">
        <v>652.1739130434783</v>
      </c>
      <c r="D20" s="140" t="n">
        <v>0</v>
      </c>
      <c r="E20" s="150" t="n">
        <v>6521.739130434781</v>
      </c>
      <c r="F20" s="150" t="n">
        <v>6500</v>
      </c>
      <c r="G20" s="147" t="n">
        <v>0.9966666666666669</v>
      </c>
      <c r="H20" s="101" t="inlineStr">
        <is>
          <t>En meta</t>
        </is>
      </c>
      <c r="I20" s="142" t="n">
        <v>3</v>
      </c>
      <c r="J20" s="148" t="n">
        <v>0.75</v>
      </c>
      <c r="K20" s="142" t="n">
        <v>2</v>
      </c>
      <c r="L20" s="148" t="n">
        <v>1</v>
      </c>
      <c r="M20" s="142" t="n">
        <v>1</v>
      </c>
      <c r="N20" s="148" t="n">
        <v>1</v>
      </c>
      <c r="O20" s="142" t="n">
        <v>1</v>
      </c>
      <c r="P20" s="148" t="n">
        <v>1</v>
      </c>
      <c r="Q20" s="142" t="n">
        <v>1</v>
      </c>
      <c r="R20" s="148" t="n">
        <v>1</v>
      </c>
      <c r="S20" s="142" t="n">
        <v>2</v>
      </c>
      <c r="T20" s="148" t="n">
        <v>1</v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38" t="n">
        <v>46258</v>
      </c>
      <c r="C21" s="149" t="n">
        <v>652.1739130434783</v>
      </c>
      <c r="D21" s="140" t="n">
        <v>0</v>
      </c>
      <c r="E21" s="149" t="n">
        <v>7173.913043478259</v>
      </c>
      <c r="F21" s="149" t="n">
        <v>6500</v>
      </c>
      <c r="G21" s="141" t="n">
        <v>0.9060606060606062</v>
      </c>
      <c r="H21" s="100" t="inlineStr">
        <is>
          <t>Riesgo</t>
        </is>
      </c>
      <c r="I21" s="142" t="n">
        <v>4</v>
      </c>
      <c r="J21" s="143" t="n">
        <v>1</v>
      </c>
      <c r="K21" s="142" t="n">
        <v>2</v>
      </c>
      <c r="L21" s="143" t="n">
        <v>1</v>
      </c>
      <c r="M21" s="142" t="n">
        <v>1</v>
      </c>
      <c r="N21" s="143" t="n">
        <v>1</v>
      </c>
      <c r="O21" s="142" t="n">
        <v>1</v>
      </c>
      <c r="P21" s="143" t="n">
        <v>1</v>
      </c>
      <c r="Q21" s="142" t="n">
        <v>1</v>
      </c>
      <c r="R21" s="143" t="n">
        <v>1</v>
      </c>
      <c r="S21" s="142" t="n">
        <v>1</v>
      </c>
      <c r="T21" s="143" t="n">
        <v>0.5</v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45" t="n">
        <v>46265</v>
      </c>
      <c r="C22" s="150" t="n">
        <v>652.1739130434783</v>
      </c>
      <c r="D22" s="140" t="n">
        <v>0</v>
      </c>
      <c r="E22" s="150" t="n">
        <v>7826.086956521737</v>
      </c>
      <c r="F22" s="150" t="n">
        <v>6500</v>
      </c>
      <c r="G22" s="147" t="n">
        <v>0.8305555555555557</v>
      </c>
      <c r="H22" s="101" t="inlineStr">
        <is>
          <t>Riesgo</t>
        </is>
      </c>
      <c r="I22" s="142" t="n">
        <v>5</v>
      </c>
      <c r="J22" s="148" t="n">
        <v>1.25</v>
      </c>
      <c r="K22" s="142" t="n">
        <v>2</v>
      </c>
      <c r="L22" s="148" t="n">
        <v>1</v>
      </c>
      <c r="M22" s="142" t="n">
        <v>1</v>
      </c>
      <c r="N22" s="148" t="n">
        <v>1</v>
      </c>
      <c r="O22" s="142" t="n">
        <v>1</v>
      </c>
      <c r="P22" s="148" t="n">
        <v>1</v>
      </c>
      <c r="Q22" s="142" t="n">
        <v>1</v>
      </c>
      <c r="R22" s="148" t="n">
        <v>1</v>
      </c>
      <c r="S22" s="142" t="n">
        <v>2</v>
      </c>
      <c r="T22" s="148" t="n">
        <v>1</v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38" t="n">
        <v>46272</v>
      </c>
      <c r="C23" s="149" t="n">
        <v>652.1739130434783</v>
      </c>
      <c r="D23" s="140" t="n"/>
      <c r="E23" s="149" t="n">
        <v>8478.260869565216</v>
      </c>
      <c r="F23" s="149" t="n">
        <v>6500</v>
      </c>
      <c r="G23" s="141" t="n">
        <v>0.7666666666666668</v>
      </c>
      <c r="H23" s="100" t="inlineStr">
        <is>
          <t>Atrasado</t>
        </is>
      </c>
      <c r="I23" s="142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45" t="n">
        <v>46279</v>
      </c>
      <c r="C24" s="150" t="n">
        <v>652.1739130434783</v>
      </c>
      <c r="D24" s="140" t="n"/>
      <c r="E24" s="150" t="n">
        <v>9130.434782608694</v>
      </c>
      <c r="F24" s="150" t="n">
        <v>6500</v>
      </c>
      <c r="G24" s="147" t="n">
        <v>0.711904761904762</v>
      </c>
      <c r="H24" s="101" t="inlineStr">
        <is>
          <t>Atrasado</t>
        </is>
      </c>
      <c r="I24" s="142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38" t="n">
        <v>46286</v>
      </c>
      <c r="C25" s="149" t="n">
        <v>652.1739130434783</v>
      </c>
      <c r="D25" s="140" t="n"/>
      <c r="E25" s="149" t="n">
        <v>9782.608695652172</v>
      </c>
      <c r="F25" s="149" t="n">
        <v>6500</v>
      </c>
      <c r="G25" s="141" t="n">
        <v>0.6644444444444446</v>
      </c>
      <c r="H25" s="100" t="inlineStr">
        <is>
          <t>Atrasado</t>
        </is>
      </c>
      <c r="I25" s="142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45" t="n">
        <v>46293</v>
      </c>
      <c r="C26" s="150" t="n">
        <v>652.1739130434783</v>
      </c>
      <c r="D26" s="140" t="n"/>
      <c r="E26" s="150" t="n">
        <v>10434.78260869565</v>
      </c>
      <c r="F26" s="150" t="n">
        <v>6500</v>
      </c>
      <c r="G26" s="147" t="n">
        <v>0.6229166666666668</v>
      </c>
      <c r="H26" s="101" t="inlineStr">
        <is>
          <t>Atrasado</t>
        </is>
      </c>
      <c r="I26" s="142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38" t="n">
        <v>46300</v>
      </c>
      <c r="C27" s="149" t="n">
        <v>652.1739130434783</v>
      </c>
      <c r="D27" s="140" t="n"/>
      <c r="E27" s="149" t="n">
        <v>11086.95652173913</v>
      </c>
      <c r="F27" s="149" t="n">
        <v>6500</v>
      </c>
      <c r="G27" s="141" t="n">
        <v>0.5862745098039217</v>
      </c>
      <c r="H27" s="100" t="inlineStr">
        <is>
          <t>Atrasado</t>
        </is>
      </c>
      <c r="I27" s="142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45" t="n">
        <v>46307</v>
      </c>
      <c r="C28" s="150" t="n">
        <v>652.1739130434783</v>
      </c>
      <c r="D28" s="140" t="n"/>
      <c r="E28" s="150" t="n">
        <v>11739.13043478261</v>
      </c>
      <c r="F28" s="150" t="n">
        <v>6500</v>
      </c>
      <c r="G28" s="147" t="n">
        <v>0.5537037037037038</v>
      </c>
      <c r="H28" s="101" t="inlineStr">
        <is>
          <t>Atrasado</t>
        </is>
      </c>
      <c r="I28" s="142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 ht="15" customHeight="1" s="87">
      <c r="A29" s="92" t="n">
        <v>19</v>
      </c>
      <c r="B29" s="138" t="n">
        <v>46314</v>
      </c>
      <c r="C29" s="149" t="n">
        <v>652.1739130434783</v>
      </c>
      <c r="D29" s="140" t="n"/>
      <c r="E29" s="149" t="n">
        <v>12391.30434782608</v>
      </c>
      <c r="F29" s="149" t="n">
        <v>6500</v>
      </c>
      <c r="G29" s="141" t="n">
        <v>0.524561403508772</v>
      </c>
      <c r="H29" s="100" t="inlineStr">
        <is>
          <t>Atrasado</t>
        </is>
      </c>
      <c r="I29" s="142" t="n"/>
      <c r="J29" s="143">
        <f>IF(I29="","",IF($I$9="","",IF($I$9=0,"",I29/$I$9)))</f>
        <v/>
      </c>
      <c r="K29" s="142" t="n"/>
      <c r="L29" s="143">
        <f>IF(K29="","",IF($K$9="","",IF($K$9=0,"",K29/$K$9)))</f>
        <v/>
      </c>
      <c r="M29" s="142" t="n"/>
      <c r="N29" s="143">
        <f>IF(M29="","",IF($M$9="","",IF($M$9=0,"",M29/$M$9)))</f>
        <v/>
      </c>
      <c r="O29" s="142" t="n"/>
      <c r="P29" s="143">
        <f>IF(O29="","",IF($O$9="","",IF($O$9=0,"",O29/$O$9)))</f>
        <v/>
      </c>
      <c r="Q29" s="142" t="n"/>
      <c r="R29" s="143">
        <f>IF(Q29="","",IF($Q$9="","",IF($Q$9=0,"",Q29/$Q$9)))</f>
        <v/>
      </c>
      <c r="S29" s="142" t="n"/>
      <c r="T29" s="143">
        <f>IF(S29="","",IF($S$9="","",IF($S$9=0,"",S29/$S$9)))</f>
        <v/>
      </c>
      <c r="U29" s="142" t="n"/>
      <c r="V29" s="143">
        <f>IF(U29="","",IF($U$9="","",IF($U$9=0,"",U29/$U$9)))</f>
        <v/>
      </c>
      <c r="W29" s="142" t="n"/>
      <c r="X29" s="143">
        <f>IF(W29="","",IF($W$9="","",IF($W$9=0,"",W29/$W$9)))</f>
        <v/>
      </c>
    </row>
    <row r="30" ht="15" customHeight="1" s="87">
      <c r="A30" s="115" t="n">
        <v>20</v>
      </c>
      <c r="B30" s="145" t="n">
        <v>46321</v>
      </c>
      <c r="C30" s="150" t="n">
        <v>652.1739130434783</v>
      </c>
      <c r="D30" s="140" t="n"/>
      <c r="E30" s="150" t="n">
        <v>13043.47826086956</v>
      </c>
      <c r="F30" s="150" t="n">
        <v>6500</v>
      </c>
      <c r="G30" s="147" t="n">
        <v>0.4983333333333335</v>
      </c>
      <c r="H30" s="101" t="inlineStr">
        <is>
          <t>Atrasado</t>
        </is>
      </c>
      <c r="I30" s="142" t="n"/>
      <c r="J30" s="148">
        <f>IF(I30="","",IF($I$9="","",IF($I$9=0,"",I30/$I$9)))</f>
        <v/>
      </c>
      <c r="K30" s="142" t="n"/>
      <c r="L30" s="148">
        <f>IF(K30="","",IF($K$9="","",IF($K$9=0,"",K30/$K$9)))</f>
        <v/>
      </c>
      <c r="M30" s="142" t="n"/>
      <c r="N30" s="148">
        <f>IF(M30="","",IF($M$9="","",IF($M$9=0,"",M30/$M$9)))</f>
        <v/>
      </c>
      <c r="O30" s="142" t="n"/>
      <c r="P30" s="148">
        <f>IF(O30="","",IF($O$9="","",IF($O$9=0,"",O30/$O$9)))</f>
        <v/>
      </c>
      <c r="Q30" s="142" t="n"/>
      <c r="R30" s="148">
        <f>IF(Q30="","",IF($Q$9="","",IF($Q$9=0,"",Q30/$Q$9)))</f>
        <v/>
      </c>
      <c r="S30" s="142" t="n"/>
      <c r="T30" s="148">
        <f>IF(S30="","",IF($S$9="","",IF($S$9=0,"",S30/$S$9)))</f>
        <v/>
      </c>
      <c r="U30" s="142" t="n"/>
      <c r="V30" s="148">
        <f>IF(U30="","",IF($U$9="","",IF($U$9=0,"",U30/$U$9)))</f>
        <v/>
      </c>
      <c r="W30" s="142" t="n"/>
      <c r="X30" s="148">
        <f>IF(W30="","",IF($W$9="","",IF($W$9=0,"",W30/$W$9)))</f>
        <v/>
      </c>
    </row>
    <row r="31" ht="15" customHeight="1" s="87">
      <c r="A31" s="92" t="n">
        <v>21</v>
      </c>
      <c r="B31" s="138" t="n">
        <v>46328</v>
      </c>
      <c r="C31" s="149" t="n">
        <v>652.1739130434783</v>
      </c>
      <c r="D31" s="140" t="n"/>
      <c r="E31" s="149" t="n">
        <v>13695.65217391304</v>
      </c>
      <c r="F31" s="149" t="n">
        <v>6500</v>
      </c>
      <c r="G31" s="141" t="n">
        <v>0.4746031746031747</v>
      </c>
      <c r="H31" s="100" t="inlineStr">
        <is>
          <t>Atrasado</t>
        </is>
      </c>
      <c r="I31" s="142" t="n"/>
      <c r="J31" s="143">
        <f>IF(I31="","",IF($I$9="","",IF($I$9=0,"",I31/$I$9)))</f>
        <v/>
      </c>
      <c r="K31" s="142" t="n"/>
      <c r="L31" s="143">
        <f>IF(K31="","",IF($K$9="","",IF($K$9=0,"",K31/$K$9)))</f>
        <v/>
      </c>
      <c r="M31" s="142" t="n"/>
      <c r="N31" s="143">
        <f>IF(M31="","",IF($M$9="","",IF($M$9=0,"",M31/$M$9)))</f>
        <v/>
      </c>
      <c r="O31" s="142" t="n"/>
      <c r="P31" s="143">
        <f>IF(O31="","",IF($O$9="","",IF($O$9=0,"",O31/$O$9)))</f>
        <v/>
      </c>
      <c r="Q31" s="142" t="n"/>
      <c r="R31" s="143">
        <f>IF(Q31="","",IF($Q$9="","",IF($Q$9=0,"",Q31/$Q$9)))</f>
        <v/>
      </c>
      <c r="S31" s="142" t="n"/>
      <c r="T31" s="143">
        <f>IF(S31="","",IF($S$9="","",IF($S$9=0,"",S31/$S$9)))</f>
        <v/>
      </c>
      <c r="U31" s="142" t="n"/>
      <c r="V31" s="143">
        <f>IF(U31="","",IF($U$9="","",IF($U$9=0,"",U31/$U$9)))</f>
        <v/>
      </c>
      <c r="W31" s="142" t="n"/>
      <c r="X31" s="143">
        <f>IF(W31="","",IF($W$9="","",IF($W$9=0,"",W31/$W$9)))</f>
        <v/>
      </c>
    </row>
    <row r="32" ht="15" customHeight="1" s="87">
      <c r="A32" s="115" t="n">
        <v>22</v>
      </c>
      <c r="B32" s="145" t="n">
        <v>46335</v>
      </c>
      <c r="C32" s="150" t="n">
        <v>652.1739130434783</v>
      </c>
      <c r="D32" s="140" t="n"/>
      <c r="E32" s="150" t="n">
        <v>14347.82608695652</v>
      </c>
      <c r="F32" s="150" t="n">
        <v>6500</v>
      </c>
      <c r="G32" s="147" t="n">
        <v>0.4530303030303031</v>
      </c>
      <c r="H32" s="101" t="inlineStr">
        <is>
          <t>Atrasado</t>
        </is>
      </c>
      <c r="I32" s="142" t="n"/>
      <c r="J32" s="148">
        <f>IF(I32="","",IF($I$9="","",IF($I$9=0,"",I32/$I$9)))</f>
        <v/>
      </c>
      <c r="K32" s="142" t="n"/>
      <c r="L32" s="148">
        <f>IF(K32="","",IF($K$9="","",IF($K$9=0,"",K32/$K$9)))</f>
        <v/>
      </c>
      <c r="M32" s="142" t="n"/>
      <c r="N32" s="148">
        <f>IF(M32="","",IF($M$9="","",IF($M$9=0,"",M32/$M$9)))</f>
        <v/>
      </c>
      <c r="O32" s="142" t="n"/>
      <c r="P32" s="148">
        <f>IF(O32="","",IF($O$9="","",IF($O$9=0,"",O32/$O$9)))</f>
        <v/>
      </c>
      <c r="Q32" s="142" t="n"/>
      <c r="R32" s="148">
        <f>IF(Q32="","",IF($Q$9="","",IF($Q$9=0,"",Q32/$Q$9)))</f>
        <v/>
      </c>
      <c r="S32" s="142" t="n"/>
      <c r="T32" s="148">
        <f>IF(S32="","",IF($S$9="","",IF($S$9=0,"",S32/$S$9)))</f>
        <v/>
      </c>
      <c r="U32" s="142" t="n"/>
      <c r="V32" s="148">
        <f>IF(U32="","",IF($U$9="","",IF($U$9=0,"",U32/$U$9)))</f>
        <v/>
      </c>
      <c r="W32" s="142" t="n"/>
      <c r="X32" s="148">
        <f>IF(W32="","",IF($W$9="","",IF($W$9=0,"",W32/$W$9)))</f>
        <v/>
      </c>
    </row>
    <row r="33" ht="15" customHeight="1" s="87">
      <c r="A33" s="92" t="n">
        <v>23</v>
      </c>
      <c r="B33" s="138" t="n">
        <v>46342</v>
      </c>
      <c r="C33" s="149" t="n">
        <v>652.1739130434783</v>
      </c>
      <c r="D33" s="140" t="n"/>
      <c r="E33" s="149" t="n">
        <v>15000</v>
      </c>
      <c r="F33" s="149" t="n">
        <v>6500</v>
      </c>
      <c r="G33" s="141" t="n">
        <v>0.4333333333333335</v>
      </c>
      <c r="H33" s="100" t="inlineStr">
        <is>
          <t>Atrasado</t>
        </is>
      </c>
      <c r="I33" s="142" t="n"/>
      <c r="J33" s="143">
        <f>IF(I33="","",IF($I$9="","",IF($I$9=0,"",I33/$I$9)))</f>
        <v/>
      </c>
      <c r="K33" s="142" t="n"/>
      <c r="L33" s="143">
        <f>IF(K33="","",IF($K$9="","",IF($K$9=0,"",K33/$K$9)))</f>
        <v/>
      </c>
      <c r="M33" s="142" t="n"/>
      <c r="N33" s="143">
        <f>IF(M33="","",IF($M$9="","",IF($M$9=0,"",M33/$M$9)))</f>
        <v/>
      </c>
      <c r="O33" s="142" t="n"/>
      <c r="P33" s="143">
        <f>IF(O33="","",IF($O$9="","",IF($O$9=0,"",O33/$O$9)))</f>
        <v/>
      </c>
      <c r="Q33" s="142" t="n"/>
      <c r="R33" s="143">
        <f>IF(Q33="","",IF($Q$9="","",IF($Q$9=0,"",Q33/$Q$9)))</f>
        <v/>
      </c>
      <c r="S33" s="142" t="n"/>
      <c r="T33" s="143">
        <f>IF(S33="","",IF($S$9="","",IF($S$9=0,"",S33/$S$9)))</f>
        <v/>
      </c>
      <c r="U33" s="142" t="n"/>
      <c r="V33" s="143">
        <f>IF(U33="","",IF($U$9="","",IF($U$9=0,"",U33/$U$9)))</f>
        <v/>
      </c>
      <c r="W33" s="142" t="n"/>
      <c r="X33" s="143">
        <f>IF(W33="","",IF($W$9="","",IF($W$9=0,"",W33/$W$9)))</f>
        <v/>
      </c>
    </row>
    <row r="34" ht="15" customHeight="1" s="87">
      <c r="A34" s="115" t="n">
        <v>24</v>
      </c>
      <c r="B34" s="145" t="n">
        <v>46349</v>
      </c>
      <c r="C34" s="150" t="n">
        <v>652.1739130434783</v>
      </c>
      <c r="D34" s="140" t="n"/>
      <c r="E34" s="150" t="n">
        <v>15652.17391304347</v>
      </c>
      <c r="F34" s="150" t="n">
        <v>6500</v>
      </c>
      <c r="G34" s="147" t="n">
        <v>0.4152777777777779</v>
      </c>
      <c r="H34" s="101" t="inlineStr">
        <is>
          <t>Atrasado</t>
        </is>
      </c>
      <c r="I34" s="142" t="n"/>
      <c r="J34" s="148">
        <f>IF(I34="","",IF($I$9="","",IF($I$9=0,"",I34/$I$9)))</f>
        <v/>
      </c>
      <c r="K34" s="142" t="n"/>
      <c r="L34" s="148">
        <f>IF(K34="","",IF($K$9="","",IF($K$9=0,"",K34/$K$9)))</f>
        <v/>
      </c>
      <c r="M34" s="142" t="n"/>
      <c r="N34" s="148">
        <f>IF(M34="","",IF($M$9="","",IF($M$9=0,"",M34/$M$9)))</f>
        <v/>
      </c>
      <c r="O34" s="142" t="n"/>
      <c r="P34" s="148">
        <f>IF(O34="","",IF($O$9="","",IF($O$9=0,"",O34/$O$9)))</f>
        <v/>
      </c>
      <c r="Q34" s="142" t="n"/>
      <c r="R34" s="148">
        <f>IF(Q34="","",IF($Q$9="","",IF($Q$9=0,"",Q34/$Q$9)))</f>
        <v/>
      </c>
      <c r="S34" s="142" t="n"/>
      <c r="T34" s="148">
        <f>IF(S34="","",IF($S$9="","",IF($S$9=0,"",S34/$S$9)))</f>
        <v/>
      </c>
      <c r="U34" s="142" t="n"/>
      <c r="V34" s="148">
        <f>IF(U34="","",IF($U$9="","",IF($U$9=0,"",U34/$U$9)))</f>
        <v/>
      </c>
      <c r="W34" s="142" t="n"/>
      <c r="X34" s="148">
        <f>IF(W34="","",IF($W$9="","",IF($W$9=0,"",W34/$W$9)))</f>
        <v/>
      </c>
    </row>
    <row r="35" ht="15" customHeight="1" s="87">
      <c r="A35" s="92" t="n">
        <v>25</v>
      </c>
      <c r="B35" s="138" t="n">
        <v>46356</v>
      </c>
      <c r="C35" s="149" t="n">
        <v>652.1739130434783</v>
      </c>
      <c r="D35" s="140" t="n"/>
      <c r="E35" s="149" t="n">
        <v>16304.34782608695</v>
      </c>
      <c r="F35" s="149" t="n">
        <v>6500</v>
      </c>
      <c r="G35" s="141" t="n">
        <v>0.3986666666666668</v>
      </c>
      <c r="H35" s="100" t="inlineStr">
        <is>
          <t>Atrasado</t>
        </is>
      </c>
      <c r="I35" s="142" t="n"/>
      <c r="J35" s="143">
        <f>IF(I35="","",IF($I$9="","",IF($I$9=0,"",I35/$I$9)))</f>
        <v/>
      </c>
      <c r="K35" s="142" t="n"/>
      <c r="L35" s="143">
        <f>IF(K35="","",IF($K$9="","",IF($K$9=0,"",K35/$K$9)))</f>
        <v/>
      </c>
      <c r="M35" s="142" t="n"/>
      <c r="N35" s="143">
        <f>IF(M35="","",IF($M$9="","",IF($M$9=0,"",M35/$M$9)))</f>
        <v/>
      </c>
      <c r="O35" s="142" t="n"/>
      <c r="P35" s="143">
        <f>IF(O35="","",IF($O$9="","",IF($O$9=0,"",O35/$O$9)))</f>
        <v/>
      </c>
      <c r="Q35" s="142" t="n"/>
      <c r="R35" s="143">
        <f>IF(Q35="","",IF($Q$9="","",IF($Q$9=0,"",Q35/$Q$9)))</f>
        <v/>
      </c>
      <c r="S35" s="142" t="n"/>
      <c r="T35" s="143">
        <f>IF(S35="","",IF($S$9="","",IF($S$9=0,"",S35/$S$9)))</f>
        <v/>
      </c>
      <c r="U35" s="142" t="n"/>
      <c r="V35" s="143">
        <f>IF(U35="","",IF($U$9="","",IF($U$9=0,"",U35/$U$9)))</f>
        <v/>
      </c>
      <c r="W35" s="142" t="n"/>
      <c r="X35" s="143">
        <f>IF(W35="","",IF($W$9="","",IF($W$9=0,"",W35/$W$9)))</f>
        <v/>
      </c>
    </row>
    <row r="36" ht="15" customHeight="1" s="87">
      <c r="A36" s="115" t="n">
        <v>26</v>
      </c>
      <c r="B36" s="145" t="n">
        <v>46363</v>
      </c>
      <c r="C36" s="150" t="n">
        <v>652.1739130434783</v>
      </c>
      <c r="D36" s="140" t="n"/>
      <c r="E36" s="150" t="n">
        <v>16956.52173913043</v>
      </c>
      <c r="F36" s="150" t="n">
        <v>6500</v>
      </c>
      <c r="G36" s="147" t="n">
        <v>0.3833333333333334</v>
      </c>
      <c r="H36" s="101" t="inlineStr">
        <is>
          <t>Atrasado</t>
        </is>
      </c>
      <c r="I36" s="142" t="n"/>
      <c r="J36" s="148">
        <f>IF(I36="","",IF($I$9="","",IF($I$9=0,"",I36/$I$9)))</f>
        <v/>
      </c>
      <c r="K36" s="142" t="n"/>
      <c r="L36" s="148">
        <f>IF(K36="","",IF($K$9="","",IF($K$9=0,"",K36/$K$9)))</f>
        <v/>
      </c>
      <c r="M36" s="142" t="n"/>
      <c r="N36" s="148">
        <f>IF(M36="","",IF($M$9="","",IF($M$9=0,"",M36/$M$9)))</f>
        <v/>
      </c>
      <c r="O36" s="142" t="n"/>
      <c r="P36" s="148">
        <f>IF(O36="","",IF($O$9="","",IF($O$9=0,"",O36/$O$9)))</f>
        <v/>
      </c>
      <c r="Q36" s="142" t="n"/>
      <c r="R36" s="148">
        <f>IF(Q36="","",IF($Q$9="","",IF($Q$9=0,"",Q36/$Q$9)))</f>
        <v/>
      </c>
      <c r="S36" s="142" t="n"/>
      <c r="T36" s="148">
        <f>IF(S36="","",IF($S$9="","",IF($S$9=0,"",S36/$S$9)))</f>
        <v/>
      </c>
      <c r="U36" s="142" t="n"/>
      <c r="V36" s="148">
        <f>IF(U36="","",IF($U$9="","",IF($U$9=0,"",U36/$U$9)))</f>
        <v/>
      </c>
      <c r="W36" s="142" t="n"/>
      <c r="X36" s="148">
        <f>IF(W36="","",IF($W$9="","",IF($W$9=0,"",W36/$W$9)))</f>
        <v/>
      </c>
    </row>
    <row r="37" ht="15" customHeight="1" s="87">
      <c r="A37" s="92" t="n">
        <v>27</v>
      </c>
      <c r="B37" s="138" t="n">
        <v>46370</v>
      </c>
      <c r="C37" s="149" t="n">
        <v>652.1739130434783</v>
      </c>
      <c r="D37" s="140" t="n"/>
      <c r="E37" s="149" t="n">
        <v>17608.69565217391</v>
      </c>
      <c r="F37" s="149" t="n">
        <v>6500</v>
      </c>
      <c r="G37" s="141" t="n">
        <v>0.3691358024691358</v>
      </c>
      <c r="H37" s="100" t="inlineStr">
        <is>
          <t>Atrasado</t>
        </is>
      </c>
      <c r="I37" s="142" t="n"/>
      <c r="J37" s="143">
        <f>IF(I37="","",IF($I$9="","",IF($I$9=0,"",I37/$I$9)))</f>
        <v/>
      </c>
      <c r="K37" s="142" t="n"/>
      <c r="L37" s="143">
        <f>IF(K37="","",IF($K$9="","",IF($K$9=0,"",K37/$K$9)))</f>
        <v/>
      </c>
      <c r="M37" s="142" t="n"/>
      <c r="N37" s="143">
        <f>IF(M37="","",IF($M$9="","",IF($M$9=0,"",M37/$M$9)))</f>
        <v/>
      </c>
      <c r="O37" s="142" t="n"/>
      <c r="P37" s="143">
        <f>IF(O37="","",IF($O$9="","",IF($O$9=0,"",O37/$O$9)))</f>
        <v/>
      </c>
      <c r="Q37" s="142" t="n"/>
      <c r="R37" s="143">
        <f>IF(Q37="","",IF($Q$9="","",IF($Q$9=0,"",Q37/$Q$9)))</f>
        <v/>
      </c>
      <c r="S37" s="142" t="n"/>
      <c r="T37" s="143">
        <f>IF(S37="","",IF($S$9="","",IF($S$9=0,"",S37/$S$9)))</f>
        <v/>
      </c>
      <c r="U37" s="142" t="n"/>
      <c r="V37" s="143">
        <f>IF(U37="","",IF($U$9="","",IF($U$9=0,"",U37/$U$9)))</f>
        <v/>
      </c>
      <c r="W37" s="142" t="n"/>
      <c r="X37" s="143">
        <f>IF(W37="","",IF($W$9="","",IF($W$9=0,"",W37/$W$9)))</f>
        <v/>
      </c>
    </row>
    <row r="38" ht="15" customHeight="1" s="87">
      <c r="A38" s="115" t="n">
        <v>28</v>
      </c>
      <c r="B38" s="145" t="n">
        <v>46377</v>
      </c>
      <c r="C38" s="150" t="n">
        <v>652.1739130434783</v>
      </c>
      <c r="D38" s="140" t="n"/>
      <c r="E38" s="150" t="n">
        <v>18260.86956521739</v>
      </c>
      <c r="F38" s="150" t="n">
        <v>6500</v>
      </c>
      <c r="G38" s="147" t="n">
        <v>0.355952380952381</v>
      </c>
      <c r="H38" s="101" t="inlineStr">
        <is>
          <t>Atrasado</t>
        </is>
      </c>
      <c r="I38" s="142" t="n"/>
      <c r="J38" s="148">
        <f>IF(I38="","",IF($I$9="","",IF($I$9=0,"",I38/$I$9)))</f>
        <v/>
      </c>
      <c r="K38" s="142" t="n"/>
      <c r="L38" s="148">
        <f>IF(K38="","",IF($K$9="","",IF($K$9=0,"",K38/$K$9)))</f>
        <v/>
      </c>
      <c r="M38" s="142" t="n"/>
      <c r="N38" s="148">
        <f>IF(M38="","",IF($M$9="","",IF($M$9=0,"",M38/$M$9)))</f>
        <v/>
      </c>
      <c r="O38" s="142" t="n"/>
      <c r="P38" s="148">
        <f>IF(O38="","",IF($O$9="","",IF($O$9=0,"",O38/$O$9)))</f>
        <v/>
      </c>
      <c r="Q38" s="142" t="n"/>
      <c r="R38" s="148">
        <f>IF(Q38="","",IF($Q$9="","",IF($Q$9=0,"",Q38/$Q$9)))</f>
        <v/>
      </c>
      <c r="S38" s="142" t="n"/>
      <c r="T38" s="148">
        <f>IF(S38="","",IF($S$9="","",IF($S$9=0,"",S38/$S$9)))</f>
        <v/>
      </c>
      <c r="U38" s="142" t="n"/>
      <c r="V38" s="148">
        <f>IF(U38="","",IF($U$9="","",IF($U$9=0,"",U38/$U$9)))</f>
        <v/>
      </c>
      <c r="W38" s="142" t="n"/>
      <c r="X38" s="148">
        <f>IF(W38="","",IF($W$9="","",IF($W$9=0,"",W38/$W$9)))</f>
        <v/>
      </c>
    </row>
    <row r="39" ht="15" customHeight="1" s="87">
      <c r="A39" s="92" t="n">
        <v>29</v>
      </c>
      <c r="B39" s="138" t="n">
        <v>46384</v>
      </c>
      <c r="C39" s="149" t="n">
        <v>652.1739130434783</v>
      </c>
      <c r="D39" s="140" t="n"/>
      <c r="E39" s="149" t="n">
        <v>18913.04347826087</v>
      </c>
      <c r="F39" s="149" t="n">
        <v>6500</v>
      </c>
      <c r="G39" s="141" t="n">
        <v>0.3436781609195402</v>
      </c>
      <c r="H39" s="100" t="inlineStr">
        <is>
          <t>Atrasado</t>
        </is>
      </c>
      <c r="I39" s="142" t="n"/>
      <c r="J39" s="143">
        <f>IF(I39="","",IF($I$9="","",IF($I$9=0,"",I39/$I$9)))</f>
        <v/>
      </c>
      <c r="K39" s="142" t="n"/>
      <c r="L39" s="143">
        <f>IF(K39="","",IF($K$9="","",IF($K$9=0,"",K39/$K$9)))</f>
        <v/>
      </c>
      <c r="M39" s="142" t="n"/>
      <c r="N39" s="143">
        <f>IF(M39="","",IF($M$9="","",IF($M$9=0,"",M39/$M$9)))</f>
        <v/>
      </c>
      <c r="O39" s="142" t="n"/>
      <c r="P39" s="143">
        <f>IF(O39="","",IF($O$9="","",IF($O$9=0,"",O39/$O$9)))</f>
        <v/>
      </c>
      <c r="Q39" s="142" t="n"/>
      <c r="R39" s="143">
        <f>IF(Q39="","",IF($Q$9="","",IF($Q$9=0,"",Q39/$Q$9)))</f>
        <v/>
      </c>
      <c r="S39" s="142" t="n"/>
      <c r="T39" s="143">
        <f>IF(S39="","",IF($S$9="","",IF($S$9=0,"",S39/$S$9)))</f>
        <v/>
      </c>
      <c r="U39" s="142" t="n"/>
      <c r="V39" s="143">
        <f>IF(U39="","",IF($U$9="","",IF($U$9=0,"",U39/$U$9)))</f>
        <v/>
      </c>
      <c r="W39" s="142" t="n"/>
      <c r="X39" s="143">
        <f>IF(W39="","",IF($W$9="","",IF($W$9=0,"",W39/$W$9)))</f>
        <v/>
      </c>
    </row>
    <row r="40" ht="15" customHeight="1" s="87">
      <c r="A40" s="115" t="n">
        <v>30</v>
      </c>
      <c r="B40" s="145" t="n">
        <v>46391</v>
      </c>
      <c r="C40" s="150" t="n">
        <v>652.1739130434783</v>
      </c>
      <c r="D40" s="140" t="n"/>
      <c r="E40" s="150" t="n">
        <v>19565.21739130435</v>
      </c>
      <c r="F40" s="150" t="n">
        <v>6500</v>
      </c>
      <c r="G40" s="147" t="n">
        <v>0.3322222222222221</v>
      </c>
      <c r="H40" s="101" t="inlineStr">
        <is>
          <t>Atrasado</t>
        </is>
      </c>
      <c r="I40" s="142" t="n"/>
      <c r="J40" s="148">
        <f>IF(I40="","",IF($I$9="","",IF($I$9=0,"",I40/$I$9)))</f>
        <v/>
      </c>
      <c r="K40" s="142" t="n"/>
      <c r="L40" s="148">
        <f>IF(K40="","",IF($K$9="","",IF($K$9=0,"",K40/$K$9)))</f>
        <v/>
      </c>
      <c r="M40" s="142" t="n"/>
      <c r="N40" s="148">
        <f>IF(M40="","",IF($M$9="","",IF($M$9=0,"",M40/$M$9)))</f>
        <v/>
      </c>
      <c r="O40" s="142" t="n"/>
      <c r="P40" s="148">
        <f>IF(O40="","",IF($O$9="","",IF($O$9=0,"",O40/$O$9)))</f>
        <v/>
      </c>
      <c r="Q40" s="142" t="n"/>
      <c r="R40" s="148">
        <f>IF(Q40="","",IF($Q$9="","",IF($Q$9=0,"",Q40/$Q$9)))</f>
        <v/>
      </c>
      <c r="S40" s="142" t="n"/>
      <c r="T40" s="148">
        <f>IF(S40="","",IF($S$9="","",IF($S$9=0,"",S40/$S$9)))</f>
        <v/>
      </c>
      <c r="U40" s="142" t="n"/>
      <c r="V40" s="148">
        <f>IF(U40="","",IF($U$9="","",IF($U$9=0,"",U40/$U$9)))</f>
        <v/>
      </c>
      <c r="W40" s="142" t="n"/>
      <c r="X40" s="148">
        <f>IF(W40="","",IF($W$9="","",IF($W$9=0,"",W40/$W$9)))</f>
        <v/>
      </c>
    </row>
    <row r="41" ht="15" customHeight="1" s="87">
      <c r="A41" s="92" t="n">
        <v>31</v>
      </c>
      <c r="B41" s="138" t="n">
        <v>46398</v>
      </c>
      <c r="C41" s="149" t="n">
        <v>652.1739130434783</v>
      </c>
      <c r="D41" s="140" t="n"/>
      <c r="E41" s="149" t="n">
        <v>20217.39130434783</v>
      </c>
      <c r="F41" s="149" t="n">
        <v>6500</v>
      </c>
      <c r="G41" s="141" t="n">
        <v>0.3215053763440859</v>
      </c>
      <c r="H41" s="100" t="inlineStr">
        <is>
          <t>Atrasado</t>
        </is>
      </c>
      <c r="I41" s="142" t="n"/>
      <c r="J41" s="143">
        <f>IF(I41="","",IF($I$9="","",IF($I$9=0,"",I41/$I$9)))</f>
        <v/>
      </c>
      <c r="K41" s="142" t="n"/>
      <c r="L41" s="143">
        <f>IF(K41="","",IF($K$9="","",IF($K$9=0,"",K41/$K$9)))</f>
        <v/>
      </c>
      <c r="M41" s="142" t="n"/>
      <c r="N41" s="143">
        <f>IF(M41="","",IF($M$9="","",IF($M$9=0,"",M41/$M$9)))</f>
        <v/>
      </c>
      <c r="O41" s="142" t="n"/>
      <c r="P41" s="143">
        <f>IF(O41="","",IF($O$9="","",IF($O$9=0,"",O41/$O$9)))</f>
        <v/>
      </c>
      <c r="Q41" s="142" t="n"/>
      <c r="R41" s="143">
        <f>IF(Q41="","",IF($Q$9="","",IF($Q$9=0,"",Q41/$Q$9)))</f>
        <v/>
      </c>
      <c r="S41" s="142" t="n"/>
      <c r="T41" s="143">
        <f>IF(S41="","",IF($S$9="","",IF($S$9=0,"",S41/$S$9)))</f>
        <v/>
      </c>
      <c r="U41" s="142" t="n"/>
      <c r="V41" s="143">
        <f>IF(U41="","",IF($U$9="","",IF($U$9=0,"",U41/$U$9)))</f>
        <v/>
      </c>
      <c r="W41" s="142" t="n"/>
      <c r="X41" s="143">
        <f>IF(W41="","",IF($W$9="","",IF($W$9=0,"",W41/$W$9)))</f>
        <v/>
      </c>
    </row>
    <row r="42" ht="15" customHeight="1" s="87">
      <c r="A42" s="115" t="n">
        <v>32</v>
      </c>
      <c r="B42" s="145" t="n">
        <v>46405</v>
      </c>
      <c r="C42" s="150" t="n">
        <v>652.1739130434783</v>
      </c>
      <c r="D42" s="140" t="n"/>
      <c r="E42" s="150" t="n">
        <v>20869.56521739131</v>
      </c>
      <c r="F42" s="150" t="n">
        <v>6500</v>
      </c>
      <c r="G42" s="147" t="n">
        <v>0.3114583333333332</v>
      </c>
      <c r="H42" s="101" t="inlineStr">
        <is>
          <t>Atrasado</t>
        </is>
      </c>
      <c r="I42" s="142" t="n"/>
      <c r="J42" s="148">
        <f>IF(I42="","",IF($I$9="","",IF($I$9=0,"",I42/$I$9)))</f>
        <v/>
      </c>
      <c r="K42" s="142" t="n"/>
      <c r="L42" s="148">
        <f>IF(K42="","",IF($K$9="","",IF($K$9=0,"",K42/$K$9)))</f>
        <v/>
      </c>
      <c r="M42" s="142" t="n"/>
      <c r="N42" s="148">
        <f>IF(M42="","",IF($M$9="","",IF($M$9=0,"",M42/$M$9)))</f>
        <v/>
      </c>
      <c r="O42" s="142" t="n"/>
      <c r="P42" s="148">
        <f>IF(O42="","",IF($O$9="","",IF($O$9=0,"",O42/$O$9)))</f>
        <v/>
      </c>
      <c r="Q42" s="142" t="n"/>
      <c r="R42" s="148">
        <f>IF(Q42="","",IF($Q$9="","",IF($Q$9=0,"",Q42/$Q$9)))</f>
        <v/>
      </c>
      <c r="S42" s="142" t="n"/>
      <c r="T42" s="148">
        <f>IF(S42="","",IF($S$9="","",IF($S$9=0,"",S42/$S$9)))</f>
        <v/>
      </c>
      <c r="U42" s="142" t="n"/>
      <c r="V42" s="148">
        <f>IF(U42="","",IF($U$9="","",IF($U$9=0,"",U42/$U$9)))</f>
        <v/>
      </c>
      <c r="W42" s="142" t="n"/>
      <c r="X42" s="148">
        <f>IF(W42="","",IF($W$9="","",IF($W$9=0,"",W42/$W$9)))</f>
        <v/>
      </c>
    </row>
    <row r="43" ht="15" customHeight="1" s="87">
      <c r="A43" s="92" t="n">
        <v>33</v>
      </c>
      <c r="B43" s="138" t="n">
        <v>46412</v>
      </c>
      <c r="C43" s="149" t="n">
        <v>652.1739130434783</v>
      </c>
      <c r="D43" s="140" t="n"/>
      <c r="E43" s="149" t="n">
        <v>21521.73913043479</v>
      </c>
      <c r="F43" s="149" t="n">
        <v>6500</v>
      </c>
      <c r="G43" s="141" t="n">
        <v>0.3020202020202019</v>
      </c>
      <c r="H43" s="100" t="inlineStr">
        <is>
          <t>Atrasado</t>
        </is>
      </c>
      <c r="I43" s="142" t="n"/>
      <c r="J43" s="143">
        <f>IF(I43="","",IF($I$9="","",IF($I$9=0,"",I43/$I$9)))</f>
        <v/>
      </c>
      <c r="K43" s="142" t="n"/>
      <c r="L43" s="143">
        <f>IF(K43="","",IF($K$9="","",IF($K$9=0,"",K43/$K$9)))</f>
        <v/>
      </c>
      <c r="M43" s="142" t="n"/>
      <c r="N43" s="143">
        <f>IF(M43="","",IF($M$9="","",IF($M$9=0,"",M43/$M$9)))</f>
        <v/>
      </c>
      <c r="O43" s="142" t="n"/>
      <c r="P43" s="143">
        <f>IF(O43="","",IF($O$9="","",IF($O$9=0,"",O43/$O$9)))</f>
        <v/>
      </c>
      <c r="Q43" s="142" t="n"/>
      <c r="R43" s="143">
        <f>IF(Q43="","",IF($Q$9="","",IF($Q$9=0,"",Q43/$Q$9)))</f>
        <v/>
      </c>
      <c r="S43" s="142" t="n"/>
      <c r="T43" s="143">
        <f>IF(S43="","",IF($S$9="","",IF($S$9=0,"",S43/$S$9)))</f>
        <v/>
      </c>
      <c r="U43" s="142" t="n"/>
      <c r="V43" s="143">
        <f>IF(U43="","",IF($U$9="","",IF($U$9=0,"",U43/$U$9)))</f>
        <v/>
      </c>
      <c r="W43" s="142" t="n"/>
      <c r="X43" s="143">
        <f>IF(W43="","",IF($W$9="","",IF($W$9=0,"",W43/$W$9)))</f>
        <v/>
      </c>
    </row>
    <row r="44" ht="15" customHeight="1" s="87">
      <c r="A44" s="115" t="n">
        <v>34</v>
      </c>
      <c r="B44" s="145" t="n">
        <v>46419</v>
      </c>
      <c r="C44" s="150" t="n">
        <v>652.1739130434783</v>
      </c>
      <c r="D44" s="140" t="n"/>
      <c r="E44" s="150" t="n">
        <v>22173.91304347827</v>
      </c>
      <c r="F44" s="150" t="n">
        <v>6500</v>
      </c>
      <c r="G44" s="147" t="n">
        <v>0.2931372549019606</v>
      </c>
      <c r="H44" s="101" t="inlineStr">
        <is>
          <t>Atrasado</t>
        </is>
      </c>
      <c r="I44" s="142" t="n"/>
      <c r="J44" s="148">
        <f>IF(I44="","",IF($I$9="","",IF($I$9=0,"",I44/$I$9)))</f>
        <v/>
      </c>
      <c r="K44" s="142" t="n"/>
      <c r="L44" s="148">
        <f>IF(K44="","",IF($K$9="","",IF($K$9=0,"",K44/$K$9)))</f>
        <v/>
      </c>
      <c r="M44" s="142" t="n"/>
      <c r="N44" s="148">
        <f>IF(M44="","",IF($M$9="","",IF($M$9=0,"",M44/$M$9)))</f>
        <v/>
      </c>
      <c r="O44" s="142" t="n"/>
      <c r="P44" s="148">
        <f>IF(O44="","",IF($O$9="","",IF($O$9=0,"",O44/$O$9)))</f>
        <v/>
      </c>
      <c r="Q44" s="142" t="n"/>
      <c r="R44" s="148">
        <f>IF(Q44="","",IF($Q$9="","",IF($Q$9=0,"",Q44/$Q$9)))</f>
        <v/>
      </c>
      <c r="S44" s="142" t="n"/>
      <c r="T44" s="148">
        <f>IF(S44="","",IF($S$9="","",IF($S$9=0,"",S44/$S$9)))</f>
        <v/>
      </c>
      <c r="U44" s="142" t="n"/>
      <c r="V44" s="148">
        <f>IF(U44="","",IF($U$9="","",IF($U$9=0,"",U44/$U$9)))</f>
        <v/>
      </c>
      <c r="W44" s="142" t="n"/>
      <c r="X44" s="148">
        <f>IF(W44="","",IF($W$9="","",IF($W$9=0,"",W44/$W$9)))</f>
        <v/>
      </c>
    </row>
    <row r="45" ht="15" customHeight="1" s="87">
      <c r="A45" s="92" t="n">
        <v>35</v>
      </c>
      <c r="B45" s="138" t="n">
        <v>46426</v>
      </c>
      <c r="C45" s="149" t="n">
        <v>652.1739130434783</v>
      </c>
      <c r="D45" s="140" t="n"/>
      <c r="E45" s="149" t="n">
        <v>22826.08695652175</v>
      </c>
      <c r="F45" s="149" t="n">
        <v>6500</v>
      </c>
      <c r="G45" s="141" t="n">
        <v>0.2847619047619046</v>
      </c>
      <c r="H45" s="100" t="inlineStr">
        <is>
          <t>Atrasado</t>
        </is>
      </c>
      <c r="I45" s="142" t="n"/>
      <c r="J45" s="143">
        <f>IF(I45="","",IF($I$9="","",IF($I$9=0,"",I45/$I$9)))</f>
        <v/>
      </c>
      <c r="K45" s="142" t="n"/>
      <c r="L45" s="143">
        <f>IF(K45="","",IF($K$9="","",IF($K$9=0,"",K45/$K$9)))</f>
        <v/>
      </c>
      <c r="M45" s="142" t="n"/>
      <c r="N45" s="143">
        <f>IF(M45="","",IF($M$9="","",IF($M$9=0,"",M45/$M$9)))</f>
        <v/>
      </c>
      <c r="O45" s="142" t="n"/>
      <c r="P45" s="143">
        <f>IF(O45="","",IF($O$9="","",IF($O$9=0,"",O45/$O$9)))</f>
        <v/>
      </c>
      <c r="Q45" s="142" t="n"/>
      <c r="R45" s="143">
        <f>IF(Q45="","",IF($Q$9="","",IF($Q$9=0,"",Q45/$Q$9)))</f>
        <v/>
      </c>
      <c r="S45" s="142" t="n"/>
      <c r="T45" s="143">
        <f>IF(S45="","",IF($S$9="","",IF($S$9=0,"",S45/$S$9)))</f>
        <v/>
      </c>
      <c r="U45" s="142" t="n"/>
      <c r="V45" s="143">
        <f>IF(U45="","",IF($U$9="","",IF($U$9=0,"",U45/$U$9)))</f>
        <v/>
      </c>
      <c r="W45" s="142" t="n"/>
      <c r="X45" s="143">
        <f>IF(W45="","",IF($W$9="","",IF($W$9=0,"",W45/$W$9)))</f>
        <v/>
      </c>
    </row>
    <row r="46" ht="15" customHeight="1" s="87">
      <c r="A46" s="115" t="n">
        <v>36</v>
      </c>
      <c r="B46" s="145" t="n">
        <v>46433</v>
      </c>
      <c r="C46" s="150" t="n">
        <v>652.1739130434783</v>
      </c>
      <c r="D46" s="140" t="n"/>
      <c r="E46" s="150" t="n">
        <v>23478.26086956523</v>
      </c>
      <c r="F46" s="150" t="n">
        <v>6500</v>
      </c>
      <c r="G46" s="147" t="n">
        <v>0.2768518518518517</v>
      </c>
      <c r="H46" s="101" t="inlineStr">
        <is>
          <t>Atrasado</t>
        </is>
      </c>
      <c r="I46" s="142" t="n"/>
      <c r="J46" s="148">
        <f>IF(I46="","",IF($I$9="","",IF($I$9=0,"",I46/$I$9)))</f>
        <v/>
      </c>
      <c r="K46" s="142" t="n"/>
      <c r="L46" s="148">
        <f>IF(K46="","",IF($K$9="","",IF($K$9=0,"",K46/$K$9)))</f>
        <v/>
      </c>
      <c r="M46" s="142" t="n"/>
      <c r="N46" s="148">
        <f>IF(M46="","",IF($M$9="","",IF($M$9=0,"",M46/$M$9)))</f>
        <v/>
      </c>
      <c r="O46" s="142" t="n"/>
      <c r="P46" s="148">
        <f>IF(O46="","",IF($O$9="","",IF($O$9=0,"",O46/$O$9)))</f>
        <v/>
      </c>
      <c r="Q46" s="142" t="n"/>
      <c r="R46" s="148">
        <f>IF(Q46="","",IF($Q$9="","",IF($Q$9=0,"",Q46/$Q$9)))</f>
        <v/>
      </c>
      <c r="S46" s="142" t="n"/>
      <c r="T46" s="148">
        <f>IF(S46="","",IF($S$9="","",IF($S$9=0,"",S46/$S$9)))</f>
        <v/>
      </c>
      <c r="U46" s="142" t="n"/>
      <c r="V46" s="148">
        <f>IF(U46="","",IF($U$9="","",IF($U$9=0,"",U46/$U$9)))</f>
        <v/>
      </c>
      <c r="W46" s="142" t="n"/>
      <c r="X46" s="148">
        <f>IF(W46="","",IF($W$9="","",IF($W$9=0,"",W46/$W$9)))</f>
        <v/>
      </c>
    </row>
    <row r="47" ht="15" customHeight="1" s="87">
      <c r="A47" s="92" t="n">
        <v>37</v>
      </c>
      <c r="B47" s="138" t="n">
        <v>46440</v>
      </c>
      <c r="C47" s="149" t="n">
        <v>652.1739130434783</v>
      </c>
      <c r="D47" s="140" t="n"/>
      <c r="E47" s="149" t="n">
        <v>24130.43478260871</v>
      </c>
      <c r="F47" s="149" t="n">
        <v>6500</v>
      </c>
      <c r="G47" s="141" t="n">
        <v>0.2693693693693692</v>
      </c>
      <c r="H47" s="100" t="inlineStr">
        <is>
          <t>Atrasado</t>
        </is>
      </c>
      <c r="I47" s="142" t="n"/>
      <c r="J47" s="143">
        <f>IF(I47="","",IF($I$9="","",IF($I$9=0,"",I47/$I$9)))</f>
        <v/>
      </c>
      <c r="K47" s="142" t="n"/>
      <c r="L47" s="143">
        <f>IF(K47="","",IF($K$9="","",IF($K$9=0,"",K47/$K$9)))</f>
        <v/>
      </c>
      <c r="M47" s="142" t="n"/>
      <c r="N47" s="143">
        <f>IF(M47="","",IF($M$9="","",IF($M$9=0,"",M47/$M$9)))</f>
        <v/>
      </c>
      <c r="O47" s="142" t="n"/>
      <c r="P47" s="143">
        <f>IF(O47="","",IF($O$9="","",IF($O$9=0,"",O47/$O$9)))</f>
        <v/>
      </c>
      <c r="Q47" s="142" t="n"/>
      <c r="R47" s="143">
        <f>IF(Q47="","",IF($Q$9="","",IF($Q$9=0,"",Q47/$Q$9)))</f>
        <v/>
      </c>
      <c r="S47" s="142" t="n"/>
      <c r="T47" s="143">
        <f>IF(S47="","",IF($S$9="","",IF($S$9=0,"",S47/$S$9)))</f>
        <v/>
      </c>
      <c r="U47" s="142" t="n"/>
      <c r="V47" s="143">
        <f>IF(U47="","",IF($U$9="","",IF($U$9=0,"",U47/$U$9)))</f>
        <v/>
      </c>
      <c r="W47" s="142" t="n"/>
      <c r="X47" s="143">
        <f>IF(W47="","",IF($W$9="","",IF($W$9=0,"",W47/$W$9)))</f>
        <v/>
      </c>
    </row>
    <row r="48" ht="15" customHeight="1" s="87">
      <c r="A48" s="115" t="n">
        <v>38</v>
      </c>
      <c r="B48" s="145" t="n">
        <v>46447</v>
      </c>
      <c r="C48" s="150" t="n">
        <v>652.1739130434783</v>
      </c>
      <c r="D48" s="140" t="n"/>
      <c r="E48" s="150" t="n">
        <v>24782.60869565219</v>
      </c>
      <c r="F48" s="150" t="n">
        <v>6500</v>
      </c>
      <c r="G48" s="147" t="n">
        <v>0.2622807017543858</v>
      </c>
      <c r="H48" s="101" t="inlineStr">
        <is>
          <t>Atrasado</t>
        </is>
      </c>
      <c r="I48" s="142" t="n"/>
      <c r="J48" s="148">
        <f>IF(I48="","",IF($I$9="","",IF($I$9=0,"",I48/$I$9)))</f>
        <v/>
      </c>
      <c r="K48" s="142" t="n"/>
      <c r="L48" s="148">
        <f>IF(K48="","",IF($K$9="","",IF($K$9=0,"",K48/$K$9)))</f>
        <v/>
      </c>
      <c r="M48" s="142" t="n"/>
      <c r="N48" s="148">
        <f>IF(M48="","",IF($M$9="","",IF($M$9=0,"",M48/$M$9)))</f>
        <v/>
      </c>
      <c r="O48" s="142" t="n"/>
      <c r="P48" s="148">
        <f>IF(O48="","",IF($O$9="","",IF($O$9=0,"",O48/$O$9)))</f>
        <v/>
      </c>
      <c r="Q48" s="142" t="n"/>
      <c r="R48" s="148">
        <f>IF(Q48="","",IF($Q$9="","",IF($Q$9=0,"",Q48/$Q$9)))</f>
        <v/>
      </c>
      <c r="S48" s="142" t="n"/>
      <c r="T48" s="148">
        <f>IF(S48="","",IF($S$9="","",IF($S$9=0,"",S48/$S$9)))</f>
        <v/>
      </c>
      <c r="U48" s="142" t="n"/>
      <c r="V48" s="148">
        <f>IF(U48="","",IF($U$9="","",IF($U$9=0,"",U48/$U$9)))</f>
        <v/>
      </c>
      <c r="W48" s="142" t="n"/>
      <c r="X48" s="148">
        <f>IF(W48="","",IF($W$9="","",IF($W$9=0,"",W48/$W$9)))</f>
        <v/>
      </c>
    </row>
    <row r="49" ht="15" customHeight="1" s="87">
      <c r="A49" s="92" t="n">
        <v>39</v>
      </c>
      <c r="B49" s="138" t="n">
        <v>46454</v>
      </c>
      <c r="C49" s="149" t="n">
        <v>652.1739130434783</v>
      </c>
      <c r="D49" s="140" t="n"/>
      <c r="E49" s="149" t="n">
        <v>25434.78260869567</v>
      </c>
      <c r="F49" s="149" t="n">
        <v>6500</v>
      </c>
      <c r="G49" s="141" t="n">
        <v>0.2555555555555554</v>
      </c>
      <c r="H49" s="100" t="inlineStr">
        <is>
          <t>Atrasado</t>
        </is>
      </c>
      <c r="I49" s="142" t="n"/>
      <c r="J49" s="143">
        <f>IF(I49="","",IF($I$9="","",IF($I$9=0,"",I49/$I$9)))</f>
        <v/>
      </c>
      <c r="K49" s="142" t="n"/>
      <c r="L49" s="143">
        <f>IF(K49="","",IF($K$9="","",IF($K$9=0,"",K49/$K$9)))</f>
        <v/>
      </c>
      <c r="M49" s="142" t="n"/>
      <c r="N49" s="143">
        <f>IF(M49="","",IF($M$9="","",IF($M$9=0,"",M49/$M$9)))</f>
        <v/>
      </c>
      <c r="O49" s="142" t="n"/>
      <c r="P49" s="143">
        <f>IF(O49="","",IF($O$9="","",IF($O$9=0,"",O49/$O$9)))</f>
        <v/>
      </c>
      <c r="Q49" s="142" t="n"/>
      <c r="R49" s="143">
        <f>IF(Q49="","",IF($Q$9="","",IF($Q$9=0,"",Q49/$Q$9)))</f>
        <v/>
      </c>
      <c r="S49" s="142" t="n"/>
      <c r="T49" s="143">
        <f>IF(S49="","",IF($S$9="","",IF($S$9=0,"",S49/$S$9)))</f>
        <v/>
      </c>
      <c r="U49" s="142" t="n"/>
      <c r="V49" s="143">
        <f>IF(U49="","",IF($U$9="","",IF($U$9=0,"",U49/$U$9)))</f>
        <v/>
      </c>
      <c r="W49" s="142" t="n"/>
      <c r="X49" s="143">
        <f>IF(W49="","",IF($W$9="","",IF($W$9=0,"",W49/$W$9)))</f>
        <v/>
      </c>
    </row>
    <row r="50" ht="15" customHeight="1" s="87">
      <c r="A50" s="115" t="n">
        <v>40</v>
      </c>
      <c r="B50" s="145" t="n">
        <v>46461</v>
      </c>
      <c r="C50" s="150" t="n">
        <v>652.1739130434783</v>
      </c>
      <c r="D50" s="140" t="n"/>
      <c r="E50" s="150" t="n">
        <v>26086.95652173915</v>
      </c>
      <c r="F50" s="150" t="n">
        <v>6500</v>
      </c>
      <c r="G50" s="147" t="n">
        <v>0.2491666666666665</v>
      </c>
      <c r="H50" s="101" t="inlineStr">
        <is>
          <t>Atrasado</t>
        </is>
      </c>
      <c r="I50" s="142" t="n"/>
      <c r="J50" s="148">
        <f>IF(I50="","",IF($I$9="","",IF($I$9=0,"",I50/$I$9)))</f>
        <v/>
      </c>
      <c r="K50" s="142" t="n"/>
      <c r="L50" s="148">
        <f>IF(K50="","",IF($K$9="","",IF($K$9=0,"",K50/$K$9)))</f>
        <v/>
      </c>
      <c r="M50" s="142" t="n"/>
      <c r="N50" s="148">
        <f>IF(M50="","",IF($M$9="","",IF($M$9=0,"",M50/$M$9)))</f>
        <v/>
      </c>
      <c r="O50" s="142" t="n"/>
      <c r="P50" s="148">
        <f>IF(O50="","",IF($O$9="","",IF($O$9=0,"",O50/$O$9)))</f>
        <v/>
      </c>
      <c r="Q50" s="142" t="n"/>
      <c r="R50" s="148">
        <f>IF(Q50="","",IF($Q$9="","",IF($Q$9=0,"",Q50/$Q$9)))</f>
        <v/>
      </c>
      <c r="S50" s="142" t="n"/>
      <c r="T50" s="148">
        <f>IF(S50="","",IF($S$9="","",IF($S$9=0,"",S50/$S$9)))</f>
        <v/>
      </c>
      <c r="U50" s="142" t="n"/>
      <c r="V50" s="148">
        <f>IF(U50="","",IF($U$9="","",IF($U$9=0,"",U50/$U$9)))</f>
        <v/>
      </c>
      <c r="W50" s="142" t="n"/>
      <c r="X50" s="148">
        <f>IF(W50="","",IF($W$9="","",IF($W$9=0,"",W50/$W$9)))</f>
        <v/>
      </c>
    </row>
    <row r="51" ht="15" customHeight="1" s="87">
      <c r="A51" s="92" t="n">
        <v>41</v>
      </c>
      <c r="B51" s="138" t="n">
        <v>46468</v>
      </c>
      <c r="C51" s="149" t="n">
        <v>652.1739130434783</v>
      </c>
      <c r="D51" s="140" t="n"/>
      <c r="E51" s="149" t="n">
        <v>26739.13043478263</v>
      </c>
      <c r="F51" s="149" t="n">
        <v>6500</v>
      </c>
      <c r="G51" s="141" t="n">
        <v>0.2430894308943088</v>
      </c>
      <c r="H51" s="100" t="inlineStr">
        <is>
          <t>Atrasado</t>
        </is>
      </c>
      <c r="I51" s="142" t="n"/>
      <c r="J51" s="143">
        <f>IF(I51="","",IF($I$9="","",IF($I$9=0,"",I51/$I$9)))</f>
        <v/>
      </c>
      <c r="K51" s="142" t="n"/>
      <c r="L51" s="143">
        <f>IF(K51="","",IF($K$9="","",IF($K$9=0,"",K51/$K$9)))</f>
        <v/>
      </c>
      <c r="M51" s="142" t="n"/>
      <c r="N51" s="143">
        <f>IF(M51="","",IF($M$9="","",IF($M$9=0,"",M51/$M$9)))</f>
        <v/>
      </c>
      <c r="O51" s="142" t="n"/>
      <c r="P51" s="143">
        <f>IF(O51="","",IF($O$9="","",IF($O$9=0,"",O51/$O$9)))</f>
        <v/>
      </c>
      <c r="Q51" s="142" t="n"/>
      <c r="R51" s="143">
        <f>IF(Q51="","",IF($Q$9="","",IF($Q$9=0,"",Q51/$Q$9)))</f>
        <v/>
      </c>
      <c r="S51" s="142" t="n"/>
      <c r="T51" s="143">
        <f>IF(S51="","",IF($S$9="","",IF($S$9=0,"",S51/$S$9)))</f>
        <v/>
      </c>
      <c r="U51" s="142" t="n"/>
      <c r="V51" s="143">
        <f>IF(U51="","",IF($U$9="","",IF($U$9=0,"",U51/$U$9)))</f>
        <v/>
      </c>
      <c r="W51" s="142" t="n"/>
      <c r="X51" s="143">
        <f>IF(W51="","",IF($W$9="","",IF($W$9=0,"",W51/$W$9)))</f>
        <v/>
      </c>
    </row>
    <row r="52" ht="15" customHeight="1" s="87">
      <c r="A52" s="115" t="n">
        <v>42</v>
      </c>
      <c r="B52" s="145" t="n">
        <v>46475</v>
      </c>
      <c r="C52" s="150" t="n">
        <v>652.1739130434783</v>
      </c>
      <c r="D52" s="140" t="n"/>
      <c r="E52" s="150" t="n">
        <v>27391.30434782611</v>
      </c>
      <c r="F52" s="150" t="n">
        <v>6500</v>
      </c>
      <c r="G52" s="147" t="n">
        <v>0.2373015873015871</v>
      </c>
      <c r="H52" s="101" t="inlineStr">
        <is>
          <t>Atrasado</t>
        </is>
      </c>
      <c r="I52" s="142" t="n"/>
      <c r="J52" s="148">
        <f>IF(I52="","",IF($I$9="","",IF($I$9=0,"",I52/$I$9)))</f>
        <v/>
      </c>
      <c r="K52" s="142" t="n"/>
      <c r="L52" s="148">
        <f>IF(K52="","",IF($K$9="","",IF($K$9=0,"",K52/$K$9)))</f>
        <v/>
      </c>
      <c r="M52" s="142" t="n"/>
      <c r="N52" s="148">
        <f>IF(M52="","",IF($M$9="","",IF($M$9=0,"",M52/$M$9)))</f>
        <v/>
      </c>
      <c r="O52" s="142" t="n"/>
      <c r="P52" s="148">
        <f>IF(O52="","",IF($O$9="","",IF($O$9=0,"",O52/$O$9)))</f>
        <v/>
      </c>
      <c r="Q52" s="142" t="n"/>
      <c r="R52" s="148">
        <f>IF(Q52="","",IF($Q$9="","",IF($Q$9=0,"",Q52/$Q$9)))</f>
        <v/>
      </c>
      <c r="S52" s="142" t="n"/>
      <c r="T52" s="148">
        <f>IF(S52="","",IF($S$9="","",IF($S$9=0,"",S52/$S$9)))</f>
        <v/>
      </c>
      <c r="U52" s="142" t="n"/>
      <c r="V52" s="148">
        <f>IF(U52="","",IF($U$9="","",IF($U$9=0,"",U52/$U$9)))</f>
        <v/>
      </c>
      <c r="W52" s="142" t="n"/>
      <c r="X52" s="148">
        <f>IF(W52="","",IF($W$9="","",IF($W$9=0,"",W52/$W$9)))</f>
        <v/>
      </c>
    </row>
    <row r="53" ht="15" customHeight="1" s="87">
      <c r="A53" s="92" t="n">
        <v>43</v>
      </c>
      <c r="B53" s="138" t="n">
        <v>46482</v>
      </c>
      <c r="C53" s="149" t="n">
        <v>652.1739130434783</v>
      </c>
      <c r="D53" s="140" t="n"/>
      <c r="E53" s="149" t="n">
        <v>28043.47826086959</v>
      </c>
      <c r="F53" s="149" t="n">
        <v>6500</v>
      </c>
      <c r="G53" s="141" t="n">
        <v>0.2317829457364339</v>
      </c>
      <c r="H53" s="100" t="inlineStr">
        <is>
          <t>Atrasado</t>
        </is>
      </c>
      <c r="I53" s="142" t="n"/>
      <c r="J53" s="143">
        <f>IF(I53="","",IF($I$9="","",IF($I$9=0,"",I53/$I$9)))</f>
        <v/>
      </c>
      <c r="K53" s="142" t="n"/>
      <c r="L53" s="143">
        <f>IF(K53="","",IF($K$9="","",IF($K$9=0,"",K53/$K$9)))</f>
        <v/>
      </c>
      <c r="M53" s="142" t="n"/>
      <c r="N53" s="143">
        <f>IF(M53="","",IF($M$9="","",IF($M$9=0,"",M53/$M$9)))</f>
        <v/>
      </c>
      <c r="O53" s="142" t="n"/>
      <c r="P53" s="143">
        <f>IF(O53="","",IF($O$9="","",IF($O$9=0,"",O53/$O$9)))</f>
        <v/>
      </c>
      <c r="Q53" s="142" t="n"/>
      <c r="R53" s="143">
        <f>IF(Q53="","",IF($Q$9="","",IF($Q$9=0,"",Q53/$Q$9)))</f>
        <v/>
      </c>
      <c r="S53" s="142" t="n"/>
      <c r="T53" s="143">
        <f>IF(S53="","",IF($S$9="","",IF($S$9=0,"",S53/$S$9)))</f>
        <v/>
      </c>
      <c r="U53" s="142" t="n"/>
      <c r="V53" s="143">
        <f>IF(U53="","",IF($U$9="","",IF($U$9=0,"",U53/$U$9)))</f>
        <v/>
      </c>
      <c r="W53" s="142" t="n"/>
      <c r="X53" s="143">
        <f>IF(W53="","",IF($W$9="","",IF($W$9=0,"",W53/$W$9)))</f>
        <v/>
      </c>
    </row>
    <row r="54" ht="15" customHeight="1" s="87">
      <c r="A54" s="115" t="n">
        <v>44</v>
      </c>
      <c r="B54" s="145" t="n">
        <v>46489</v>
      </c>
      <c r="C54" s="150" t="n">
        <v>652.1739130434783</v>
      </c>
      <c r="D54" s="140" t="n"/>
      <c r="E54" s="150" t="n">
        <v>28695.65217391307</v>
      </c>
      <c r="F54" s="150" t="n">
        <v>6500</v>
      </c>
      <c r="G54" s="147" t="n">
        <v>0.2265151515151513</v>
      </c>
      <c r="H54" s="101" t="inlineStr">
        <is>
          <t>Atrasado</t>
        </is>
      </c>
      <c r="I54" s="142" t="n"/>
      <c r="J54" s="148">
        <f>IF(I54="","",IF($I$9="","",IF($I$9=0,"",I54/$I$9)))</f>
        <v/>
      </c>
      <c r="K54" s="142" t="n"/>
      <c r="L54" s="148">
        <f>IF(K54="","",IF($K$9="","",IF($K$9=0,"",K54/$K$9)))</f>
        <v/>
      </c>
      <c r="M54" s="142" t="n"/>
      <c r="N54" s="148">
        <f>IF(M54="","",IF($M$9="","",IF($M$9=0,"",M54/$M$9)))</f>
        <v/>
      </c>
      <c r="O54" s="142" t="n"/>
      <c r="P54" s="148">
        <f>IF(O54="","",IF($O$9="","",IF($O$9=0,"",O54/$O$9)))</f>
        <v/>
      </c>
      <c r="Q54" s="142" t="n"/>
      <c r="R54" s="148">
        <f>IF(Q54="","",IF($Q$9="","",IF($Q$9=0,"",Q54/$Q$9)))</f>
        <v/>
      </c>
      <c r="S54" s="142" t="n"/>
      <c r="T54" s="148">
        <f>IF(S54="","",IF($S$9="","",IF($S$9=0,"",S54/$S$9)))</f>
        <v/>
      </c>
      <c r="U54" s="142" t="n"/>
      <c r="V54" s="148">
        <f>IF(U54="","",IF($U$9="","",IF($U$9=0,"",U54/$U$9)))</f>
        <v/>
      </c>
      <c r="W54" s="142" t="n"/>
      <c r="X54" s="148">
        <f>IF(W54="","",IF($W$9="","",IF($W$9=0,"",W54/$W$9)))</f>
        <v/>
      </c>
    </row>
    <row r="55" ht="15" customHeight="1" s="87">
      <c r="A55" s="92" t="n">
        <v>45</v>
      </c>
      <c r="B55" s="138" t="n">
        <v>46496</v>
      </c>
      <c r="C55" s="149" t="n">
        <v>652.1739130434783</v>
      </c>
      <c r="D55" s="140" t="n"/>
      <c r="E55" s="149" t="n">
        <v>29347.82608695655</v>
      </c>
      <c r="F55" s="149" t="n">
        <v>6500</v>
      </c>
      <c r="G55" s="141" t="n">
        <v>0.2214814814814813</v>
      </c>
      <c r="H55" s="100" t="inlineStr">
        <is>
          <t>Atrasado</t>
        </is>
      </c>
      <c r="I55" s="142" t="n"/>
      <c r="J55" s="143">
        <f>IF(I55="","",IF($I$9="","",IF($I$9=0,"",I55/$I$9)))</f>
        <v/>
      </c>
      <c r="K55" s="142" t="n"/>
      <c r="L55" s="143">
        <f>IF(K55="","",IF($K$9="","",IF($K$9=0,"",K55/$K$9)))</f>
        <v/>
      </c>
      <c r="M55" s="142" t="n"/>
      <c r="N55" s="143">
        <f>IF(M55="","",IF($M$9="","",IF($M$9=0,"",M55/$M$9)))</f>
        <v/>
      </c>
      <c r="O55" s="142" t="n"/>
      <c r="P55" s="143">
        <f>IF(O55="","",IF($O$9="","",IF($O$9=0,"",O55/$O$9)))</f>
        <v/>
      </c>
      <c r="Q55" s="142" t="n"/>
      <c r="R55" s="143">
        <f>IF(Q55="","",IF($Q$9="","",IF($Q$9=0,"",Q55/$Q$9)))</f>
        <v/>
      </c>
      <c r="S55" s="142" t="n"/>
      <c r="T55" s="143">
        <f>IF(S55="","",IF($S$9="","",IF($S$9=0,"",S55/$S$9)))</f>
        <v/>
      </c>
      <c r="U55" s="142" t="n"/>
      <c r="V55" s="143">
        <f>IF(U55="","",IF($U$9="","",IF($U$9=0,"",U55/$U$9)))</f>
        <v/>
      </c>
      <c r="W55" s="142" t="n"/>
      <c r="X55" s="143">
        <f>IF(W55="","",IF($W$9="","",IF($W$9=0,"",W55/$W$9)))</f>
        <v/>
      </c>
    </row>
    <row r="56" ht="15" customHeight="1" s="87">
      <c r="A56" s="115" t="n">
        <v>46</v>
      </c>
      <c r="B56" s="145" t="n">
        <v>46503</v>
      </c>
      <c r="C56" s="150" t="n">
        <v>652.1739130434783</v>
      </c>
      <c r="D56" s="140" t="n"/>
      <c r="E56" s="150" t="n">
        <v>30000.00000000003</v>
      </c>
      <c r="F56" s="150" t="n">
        <v>6500</v>
      </c>
      <c r="G56" s="147" t="n">
        <v>0.2166666666666665</v>
      </c>
      <c r="H56" s="101" t="inlineStr">
        <is>
          <t>Atrasado</t>
        </is>
      </c>
      <c r="I56" s="142" t="n"/>
      <c r="J56" s="148">
        <f>IF(I56="","",IF($I$9="","",IF($I$9=0,"",I56/$I$9)))</f>
        <v/>
      </c>
      <c r="K56" s="142" t="n"/>
      <c r="L56" s="148">
        <f>IF(K56="","",IF($K$9="","",IF($K$9=0,"",K56/$K$9)))</f>
        <v/>
      </c>
      <c r="M56" s="142" t="n"/>
      <c r="N56" s="148">
        <f>IF(M56="","",IF($M$9="","",IF($M$9=0,"",M56/$M$9)))</f>
        <v/>
      </c>
      <c r="O56" s="142" t="n"/>
      <c r="P56" s="148">
        <f>IF(O56="","",IF($O$9="","",IF($O$9=0,"",O56/$O$9)))</f>
        <v/>
      </c>
      <c r="Q56" s="142" t="n"/>
      <c r="R56" s="148">
        <f>IF(Q56="","",IF($Q$9="","",IF($Q$9=0,"",Q56/$Q$9)))</f>
        <v/>
      </c>
      <c r="S56" s="142" t="n"/>
      <c r="T56" s="148">
        <f>IF(S56="","",IF($S$9="","",IF($S$9=0,"",S56/$S$9)))</f>
        <v/>
      </c>
      <c r="U56" s="142" t="n"/>
      <c r="V56" s="148">
        <f>IF(U56="","",IF($U$9="","",IF($U$9=0,"",U56/$U$9)))</f>
        <v/>
      </c>
      <c r="W56" s="142" t="n"/>
      <c r="X56" s="148">
        <f>IF(W56="","",IF($W$9="","",IF($W$9=0,"",W56/$W$9)))</f>
        <v/>
      </c>
    </row>
    <row r="57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56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X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8 — Lograr un GP consolidado de 16% en el 2027</t>
        </is>
      </c>
    </row>
    <row r="2" ht="15" customHeight="1" s="87">
      <c r="A2" s="104" t="inlineStr">
        <is>
          <t>Indicador lag:</t>
        </is>
      </c>
      <c r="B2" s="127" t="inlineStr">
        <is>
          <t>GP consolidado del mes (%).</t>
        </is>
      </c>
    </row>
    <row r="3" ht="15" customHeight="1" s="87">
      <c r="A3" s="104" t="inlineStr">
        <is>
          <t>De X a Y:</t>
        </is>
      </c>
      <c r="B3" s="127" t="inlineStr">
        <is>
          <t>De GP actual a 16% consolidado sostenido en 2027.</t>
        </is>
      </c>
    </row>
    <row r="4" ht="15" customHeight="1" s="87">
      <c r="A4" s="104" t="inlineStr">
        <is>
          <t>Dueño:</t>
        </is>
      </c>
      <c r="B4" s="128" t="inlineStr">
        <is>
          <t>F. Tellez</t>
        </is>
      </c>
      <c r="D4" s="104" t="inlineStr">
        <is>
          <t>Equipo:</t>
        </is>
      </c>
      <c r="E4" s="127" t="inlineStr">
        <is>
          <t>Finanzas (todas las áreas aportan)</t>
        </is>
      </c>
    </row>
    <row r="5" ht="15" customHeight="1" s="87">
      <c r="A5" s="104" t="inlineStr">
        <is>
          <t>Meta:</t>
        </is>
      </c>
      <c r="B5" s="151" t="n">
        <v>0.16</v>
      </c>
      <c r="D5" s="104" t="inlineStr">
        <is>
          <t>Inicio:</t>
        </is>
      </c>
      <c r="E5" s="130" t="n">
        <v>46204</v>
      </c>
      <c r="G5" s="104" t="inlineStr">
        <is>
          <t>Fin:</t>
        </is>
      </c>
      <c r="H5" s="130" t="n">
        <v>46722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 s="87">
      <c r="A8" s="104" t="inlineStr">
        <is>
          <t>Periodos:</t>
        </is>
      </c>
      <c r="B8" s="131">
        <f>COUNT(A11:A28)</f>
        <v/>
      </c>
      <c r="H8" s="132" t="inlineStr">
        <is>
          <t>Lead →</t>
        </is>
      </c>
      <c r="I8" s="133" t="inlineStr">
        <is>
          <t>L1. % distribuciones del mes vs plan de baja distribución</t>
        </is>
      </c>
      <c r="J8" s="134" t="n"/>
      <c r="K8" s="133" t="inlineStr">
        <is>
          <t>L2. % reservas (inventario + ITA + IR) bajo el tope del plan</t>
        </is>
      </c>
      <c r="L8" s="134" t="n"/>
      <c r="M8" s="133" t="inlineStr">
        <is>
          <t>L3. % negocios cotizados con GP ≥ margen mínimo</t>
        </is>
      </c>
      <c r="N8" s="134" t="n"/>
      <c r="O8" s="133" t="inlineStr">
        <is>
          <t>L4. Acciones de recuperación de margen ejecutadas</t>
        </is>
      </c>
      <c r="P8" s="134" t="n"/>
      <c r="Q8" s="133" t="inlineStr">
        <is>
          <t>L5. Revisiones de pricing realizadas en el mes</t>
        </is>
      </c>
      <c r="R8" s="134" t="n"/>
      <c r="S8" s="133" t="inlineStr">
        <is>
          <t>L6. % proyectos con revisión de rentabilidad mensual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6" t="n">
        <v>1</v>
      </c>
      <c r="L9" s="134" t="n"/>
      <c r="M9" s="136" t="n">
        <v>1</v>
      </c>
      <c r="N9" s="134" t="n"/>
      <c r="O9" s="135" t="n">
        <v>2</v>
      </c>
      <c r="P9" s="134" t="n"/>
      <c r="Q9" s="135" t="n">
        <v>4</v>
      </c>
      <c r="R9" s="134" t="n"/>
      <c r="S9" s="136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Mes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06" t="n">
        <v>46204</v>
      </c>
      <c r="C11" s="152" t="n">
        <v>0.16</v>
      </c>
      <c r="D11" s="140" t="n">
        <v>0.148</v>
      </c>
      <c r="E11" s="92" t="n"/>
      <c r="F11" s="92" t="n"/>
      <c r="G11" s="141" t="n">
        <v>-0.01200000000000001</v>
      </c>
      <c r="H11" s="100" t="inlineStr">
        <is>
          <t>Atrasado</t>
        </is>
      </c>
      <c r="I11" s="144" t="n">
        <v>1</v>
      </c>
      <c r="J11" s="143" t="n">
        <v>1</v>
      </c>
      <c r="K11" s="144" t="n">
        <v>1</v>
      </c>
      <c r="L11" s="143" t="n">
        <v>1</v>
      </c>
      <c r="M11" s="144" t="n">
        <v>1</v>
      </c>
      <c r="N11" s="143" t="n">
        <v>1</v>
      </c>
      <c r="O11" s="142" t="n">
        <v>2</v>
      </c>
      <c r="P11" s="143" t="n">
        <v>1</v>
      </c>
      <c r="Q11" s="142" t="n">
        <v>3</v>
      </c>
      <c r="R11" s="143" t="n">
        <v>0.75</v>
      </c>
      <c r="S11" s="144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07" t="n">
        <v>46235</v>
      </c>
      <c r="C12" s="153" t="n">
        <v>0.16</v>
      </c>
      <c r="D12" s="140" t="n">
        <v>0.152</v>
      </c>
      <c r="E12" s="115" t="n"/>
      <c r="F12" s="115" t="n"/>
      <c r="G12" s="147" t="n">
        <v>-0.008000000000000007</v>
      </c>
      <c r="H12" s="101" t="inlineStr">
        <is>
          <t>Riesgo</t>
        </is>
      </c>
      <c r="I12" s="144" t="n">
        <v>1</v>
      </c>
      <c r="J12" s="148" t="n">
        <v>1</v>
      </c>
      <c r="K12" s="144" t="n">
        <v>1</v>
      </c>
      <c r="L12" s="148" t="n">
        <v>1</v>
      </c>
      <c r="M12" s="144" t="n">
        <v>1</v>
      </c>
      <c r="N12" s="148" t="n">
        <v>1</v>
      </c>
      <c r="O12" s="142" t="n">
        <v>2</v>
      </c>
      <c r="P12" s="148" t="n">
        <v>1</v>
      </c>
      <c r="Q12" s="142" t="n">
        <v>4</v>
      </c>
      <c r="R12" s="148" t="n">
        <v>1</v>
      </c>
      <c r="S12" s="144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06" t="n">
        <v>46266</v>
      </c>
      <c r="C13" s="152" t="n">
        <v>0.16</v>
      </c>
      <c r="D13" s="140" t="n">
        <v>0.156</v>
      </c>
      <c r="E13" s="92" t="n"/>
      <c r="F13" s="92" t="n"/>
      <c r="G13" s="141" t="n">
        <v>-0.004000000000000004</v>
      </c>
      <c r="H13" s="100" t="inlineStr">
        <is>
          <t>Riesgo</t>
        </is>
      </c>
      <c r="I13" s="144" t="n">
        <v>1</v>
      </c>
      <c r="J13" s="143" t="n">
        <v>1</v>
      </c>
      <c r="K13" s="144" t="n">
        <v>1</v>
      </c>
      <c r="L13" s="143" t="n">
        <v>1</v>
      </c>
      <c r="M13" s="144" t="n">
        <v>1</v>
      </c>
      <c r="N13" s="143" t="n">
        <v>1</v>
      </c>
      <c r="O13" s="142" t="n">
        <v>2</v>
      </c>
      <c r="P13" s="143" t="n">
        <v>1</v>
      </c>
      <c r="Q13" s="142" t="n">
        <v>5</v>
      </c>
      <c r="R13" s="143" t="n">
        <v>1.25</v>
      </c>
      <c r="S13" s="144" t="n">
        <v>1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07" t="n">
        <v>46296</v>
      </c>
      <c r="C14" s="153" t="n">
        <v>0.16</v>
      </c>
      <c r="D14" s="140" t="n">
        <v>0.161</v>
      </c>
      <c r="E14" s="115" t="n"/>
      <c r="F14" s="115" t="n"/>
      <c r="G14" s="147" t="n">
        <v>0.001000000000000001</v>
      </c>
      <c r="H14" s="101" t="inlineStr">
        <is>
          <t>En meta</t>
        </is>
      </c>
      <c r="I14" s="144" t="n">
        <v>1</v>
      </c>
      <c r="J14" s="148" t="n">
        <v>1</v>
      </c>
      <c r="K14" s="144" t="n">
        <v>1</v>
      </c>
      <c r="L14" s="148" t="n">
        <v>1</v>
      </c>
      <c r="M14" s="144" t="n">
        <v>1</v>
      </c>
      <c r="N14" s="148" t="n">
        <v>1</v>
      </c>
      <c r="O14" s="142" t="n">
        <v>2</v>
      </c>
      <c r="P14" s="148" t="n">
        <v>1</v>
      </c>
      <c r="Q14" s="142" t="n">
        <v>6</v>
      </c>
      <c r="R14" s="148" t="n">
        <v>1.5</v>
      </c>
      <c r="S14" s="144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06" t="n">
        <v>46327</v>
      </c>
      <c r="C15" s="152" t="n">
        <v>0.16</v>
      </c>
      <c r="D15" s="140" t="n">
        <v>0.163</v>
      </c>
      <c r="E15" s="92" t="n"/>
      <c r="F15" s="92" t="n"/>
      <c r="G15" s="141" t="n">
        <v>0.003000000000000003</v>
      </c>
      <c r="H15" s="100" t="inlineStr">
        <is>
          <t>En meta</t>
        </is>
      </c>
      <c r="I15" s="144" t="n">
        <v>1</v>
      </c>
      <c r="J15" s="143" t="n">
        <v>1</v>
      </c>
      <c r="K15" s="144" t="n">
        <v>1</v>
      </c>
      <c r="L15" s="143" t="n">
        <v>1</v>
      </c>
      <c r="M15" s="144" t="n">
        <v>1</v>
      </c>
      <c r="N15" s="143" t="n">
        <v>1</v>
      </c>
      <c r="O15" s="142" t="n">
        <v>2</v>
      </c>
      <c r="P15" s="143" t="n">
        <v>1</v>
      </c>
      <c r="Q15" s="142" t="n">
        <v>5</v>
      </c>
      <c r="R15" s="143" t="n">
        <v>1.25</v>
      </c>
      <c r="S15" s="144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07" t="n">
        <v>46357</v>
      </c>
      <c r="C16" s="153" t="n">
        <v>0.16</v>
      </c>
      <c r="D16" s="140" t="n"/>
      <c r="E16" s="115" t="n"/>
      <c r="F16" s="115" t="n"/>
      <c r="G16" s="147">
        <f>IF(D16="","",D16-C16)</f>
        <v/>
      </c>
      <c r="H16" s="101">
        <f>IF(D16="","",IF(D16&gt;=C16,"En meta",IF(D16&gt;=C16-0.01,"Riesgo","Atrasado")))</f>
        <v/>
      </c>
      <c r="I16" s="144" t="n"/>
      <c r="J16" s="148">
        <f>IF(I16="","",IF($I$9="","",IF($I$9=0,"",I16/$I$9)))</f>
        <v/>
      </c>
      <c r="K16" s="144" t="n"/>
      <c r="L16" s="148">
        <f>IF(K16="","",IF($K$9="","",IF($K$9=0,"",K16/$K$9)))</f>
        <v/>
      </c>
      <c r="M16" s="144" t="n"/>
      <c r="N16" s="148">
        <f>IF(M16="","",IF($M$9="","",IF($M$9=0,"",M16/$M$9)))</f>
        <v/>
      </c>
      <c r="O16" s="142" t="n"/>
      <c r="P16" s="148">
        <f>IF(O16="","",IF($O$9="","",IF($O$9=0,"",O16/$O$9)))</f>
        <v/>
      </c>
      <c r="Q16" s="142" t="n"/>
      <c r="R16" s="148">
        <f>IF(Q16="","",IF($Q$9="","",IF($Q$9=0,"",Q16/$Q$9)))</f>
        <v/>
      </c>
      <c r="S16" s="144" t="n"/>
      <c r="T16" s="148">
        <f>IF(S16="","",IF($S$9="","",IF($S$9=0,"",S16/$S$9)))</f>
        <v/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06" t="n">
        <v>46388</v>
      </c>
      <c r="C17" s="152" t="n">
        <v>0.16</v>
      </c>
      <c r="D17" s="140" t="n"/>
      <c r="E17" s="92" t="n"/>
      <c r="F17" s="92" t="n"/>
      <c r="G17" s="141">
        <f>IF(D17="","",D17-C17)</f>
        <v/>
      </c>
      <c r="H17" s="100">
        <f>IF(D17="","",IF(D17&gt;=C17,"En meta",IF(D17&gt;=C17-0.01,"Riesgo","Atrasado")))</f>
        <v/>
      </c>
      <c r="I17" s="144" t="n"/>
      <c r="J17" s="143">
        <f>IF(I17="","",IF($I$9="","",IF($I$9=0,"",I17/$I$9)))</f>
        <v/>
      </c>
      <c r="K17" s="144" t="n"/>
      <c r="L17" s="143">
        <f>IF(K17="","",IF($K$9="","",IF($K$9=0,"",K17/$K$9)))</f>
        <v/>
      </c>
      <c r="M17" s="144" t="n"/>
      <c r="N17" s="143">
        <f>IF(M17="","",IF($M$9="","",IF($M$9=0,"",M17/$M$9)))</f>
        <v/>
      </c>
      <c r="O17" s="142" t="n"/>
      <c r="P17" s="143">
        <f>IF(O17="","",IF($O$9="","",IF($O$9=0,"",O17/$O$9)))</f>
        <v/>
      </c>
      <c r="Q17" s="142" t="n"/>
      <c r="R17" s="143">
        <f>IF(Q17="","",IF($Q$9="","",IF($Q$9=0,"",Q17/$Q$9)))</f>
        <v/>
      </c>
      <c r="S17" s="144" t="n"/>
      <c r="T17" s="143">
        <f>IF(S17="","",IF($S$9="","",IF($S$9=0,"",S17/$S$9)))</f>
        <v/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07" t="n">
        <v>46419</v>
      </c>
      <c r="C18" s="153" t="n">
        <v>0.16</v>
      </c>
      <c r="D18" s="140" t="n"/>
      <c r="E18" s="115" t="n"/>
      <c r="F18" s="115" t="n"/>
      <c r="G18" s="147">
        <f>IF(D18="","",D18-C18)</f>
        <v/>
      </c>
      <c r="H18" s="101">
        <f>IF(D18="","",IF(D18&gt;=C18,"En meta",IF(D18&gt;=C18-0.01,"Riesgo","Atrasado")))</f>
        <v/>
      </c>
      <c r="I18" s="144" t="n"/>
      <c r="J18" s="148">
        <f>IF(I18="","",IF($I$9="","",IF($I$9=0,"",I18/$I$9)))</f>
        <v/>
      </c>
      <c r="K18" s="144" t="n"/>
      <c r="L18" s="148">
        <f>IF(K18="","",IF($K$9="","",IF($K$9=0,"",K18/$K$9)))</f>
        <v/>
      </c>
      <c r="M18" s="144" t="n"/>
      <c r="N18" s="148">
        <f>IF(M18="","",IF($M$9="","",IF($M$9=0,"",M18/$M$9)))</f>
        <v/>
      </c>
      <c r="O18" s="142" t="n"/>
      <c r="P18" s="148">
        <f>IF(O18="","",IF($O$9="","",IF($O$9=0,"",O18/$O$9)))</f>
        <v/>
      </c>
      <c r="Q18" s="142" t="n"/>
      <c r="R18" s="148">
        <f>IF(Q18="","",IF($Q$9="","",IF($Q$9=0,"",Q18/$Q$9)))</f>
        <v/>
      </c>
      <c r="S18" s="144" t="n"/>
      <c r="T18" s="148">
        <f>IF(S18="","",IF($S$9="","",IF($S$9=0,"",S18/$S$9)))</f>
        <v/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06" t="n">
        <v>46447</v>
      </c>
      <c r="C19" s="152" t="n">
        <v>0.16</v>
      </c>
      <c r="D19" s="140" t="n"/>
      <c r="E19" s="92" t="n"/>
      <c r="F19" s="92" t="n"/>
      <c r="G19" s="141">
        <f>IF(D19="","",D19-C19)</f>
        <v/>
      </c>
      <c r="H19" s="100">
        <f>IF(D19="","",IF(D19&gt;=C19,"En meta",IF(D19&gt;=C19-0.01,"Riesgo","Atrasado")))</f>
        <v/>
      </c>
      <c r="I19" s="144" t="n"/>
      <c r="J19" s="143">
        <f>IF(I19="","",IF($I$9="","",IF($I$9=0,"",I19/$I$9)))</f>
        <v/>
      </c>
      <c r="K19" s="144" t="n"/>
      <c r="L19" s="143">
        <f>IF(K19="","",IF($K$9="","",IF($K$9=0,"",K19/$K$9)))</f>
        <v/>
      </c>
      <c r="M19" s="144" t="n"/>
      <c r="N19" s="143">
        <f>IF(M19="","",IF($M$9="","",IF($M$9=0,"",M19/$M$9)))</f>
        <v/>
      </c>
      <c r="O19" s="142" t="n"/>
      <c r="P19" s="143">
        <f>IF(O19="","",IF($O$9="","",IF($O$9=0,"",O19/$O$9)))</f>
        <v/>
      </c>
      <c r="Q19" s="142" t="n"/>
      <c r="R19" s="143">
        <f>IF(Q19="","",IF($Q$9="","",IF($Q$9=0,"",Q19/$Q$9)))</f>
        <v/>
      </c>
      <c r="S19" s="144" t="n"/>
      <c r="T19" s="143">
        <f>IF(S19="","",IF($S$9="","",IF($S$9=0,"",S19/$S$9)))</f>
        <v/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07" t="n">
        <v>46478</v>
      </c>
      <c r="C20" s="153" t="n">
        <v>0.16</v>
      </c>
      <c r="D20" s="140" t="n"/>
      <c r="E20" s="115" t="n"/>
      <c r="F20" s="115" t="n"/>
      <c r="G20" s="147">
        <f>IF(D20="","",D20-C20)</f>
        <v/>
      </c>
      <c r="H20" s="101">
        <f>IF(D20="","",IF(D20&gt;=C20,"En meta",IF(D20&gt;=C20-0.01,"Riesgo","Atrasado")))</f>
        <v/>
      </c>
      <c r="I20" s="144" t="n"/>
      <c r="J20" s="148">
        <f>IF(I20="","",IF($I$9="","",IF($I$9=0,"",I20/$I$9)))</f>
        <v/>
      </c>
      <c r="K20" s="144" t="n"/>
      <c r="L20" s="148">
        <f>IF(K20="","",IF($K$9="","",IF($K$9=0,"",K20/$K$9)))</f>
        <v/>
      </c>
      <c r="M20" s="144" t="n"/>
      <c r="N20" s="148">
        <f>IF(M20="","",IF($M$9="","",IF($M$9=0,"",M20/$M$9)))</f>
        <v/>
      </c>
      <c r="O20" s="142" t="n"/>
      <c r="P20" s="148">
        <f>IF(O20="","",IF($O$9="","",IF($O$9=0,"",O20/$O$9)))</f>
        <v/>
      </c>
      <c r="Q20" s="142" t="n"/>
      <c r="R20" s="148">
        <f>IF(Q20="","",IF($Q$9="","",IF($Q$9=0,"",Q20/$Q$9)))</f>
        <v/>
      </c>
      <c r="S20" s="144" t="n"/>
      <c r="T20" s="148">
        <f>IF(S20="","",IF($S$9="","",IF($S$9=0,"",S20/$S$9)))</f>
        <v/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06" t="n">
        <v>46508</v>
      </c>
      <c r="C21" s="152" t="n">
        <v>0.16</v>
      </c>
      <c r="D21" s="140" t="n"/>
      <c r="E21" s="92" t="n"/>
      <c r="F21" s="92" t="n"/>
      <c r="G21" s="141">
        <f>IF(D21="","",D21-C21)</f>
        <v/>
      </c>
      <c r="H21" s="100">
        <f>IF(D21="","",IF(D21&gt;=C21,"En meta",IF(D21&gt;=C21-0.01,"Riesgo","Atrasado")))</f>
        <v/>
      </c>
      <c r="I21" s="144" t="n"/>
      <c r="J21" s="143">
        <f>IF(I21="","",IF($I$9="","",IF($I$9=0,"",I21/$I$9)))</f>
        <v/>
      </c>
      <c r="K21" s="144" t="n"/>
      <c r="L21" s="143">
        <f>IF(K21="","",IF($K$9="","",IF($K$9=0,"",K21/$K$9)))</f>
        <v/>
      </c>
      <c r="M21" s="144" t="n"/>
      <c r="N21" s="143">
        <f>IF(M21="","",IF($M$9="","",IF($M$9=0,"",M21/$M$9)))</f>
        <v/>
      </c>
      <c r="O21" s="142" t="n"/>
      <c r="P21" s="143">
        <f>IF(O21="","",IF($O$9="","",IF($O$9=0,"",O21/$O$9)))</f>
        <v/>
      </c>
      <c r="Q21" s="142" t="n"/>
      <c r="R21" s="143">
        <f>IF(Q21="","",IF($Q$9="","",IF($Q$9=0,"",Q21/$Q$9)))</f>
        <v/>
      </c>
      <c r="S21" s="144" t="n"/>
      <c r="T21" s="143">
        <f>IF(S21="","",IF($S$9="","",IF($S$9=0,"",S21/$S$9)))</f>
        <v/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07" t="n">
        <v>46539</v>
      </c>
      <c r="C22" s="153" t="n">
        <v>0.16</v>
      </c>
      <c r="D22" s="140" t="n"/>
      <c r="E22" s="115" t="n"/>
      <c r="F22" s="115" t="n"/>
      <c r="G22" s="147">
        <f>IF(D22="","",D22-C22)</f>
        <v/>
      </c>
      <c r="H22" s="101">
        <f>IF(D22="","",IF(D22&gt;=C22,"En meta",IF(D22&gt;=C22-0.01,"Riesgo","Atrasado")))</f>
        <v/>
      </c>
      <c r="I22" s="144" t="n"/>
      <c r="J22" s="148">
        <f>IF(I22="","",IF($I$9="","",IF($I$9=0,"",I22/$I$9)))</f>
        <v/>
      </c>
      <c r="K22" s="144" t="n"/>
      <c r="L22" s="148">
        <f>IF(K22="","",IF($K$9="","",IF($K$9=0,"",K22/$K$9)))</f>
        <v/>
      </c>
      <c r="M22" s="144" t="n"/>
      <c r="N22" s="148">
        <f>IF(M22="","",IF($M$9="","",IF($M$9=0,"",M22/$M$9)))</f>
        <v/>
      </c>
      <c r="O22" s="142" t="n"/>
      <c r="P22" s="148">
        <f>IF(O22="","",IF($O$9="","",IF($O$9=0,"",O22/$O$9)))</f>
        <v/>
      </c>
      <c r="Q22" s="142" t="n"/>
      <c r="R22" s="148">
        <f>IF(Q22="","",IF($Q$9="","",IF($Q$9=0,"",Q22/$Q$9)))</f>
        <v/>
      </c>
      <c r="S22" s="144" t="n"/>
      <c r="T22" s="148">
        <f>IF(S22="","",IF($S$9="","",IF($S$9=0,"",S22/$S$9)))</f>
        <v/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06" t="n">
        <v>46569</v>
      </c>
      <c r="C23" s="152" t="n">
        <v>0.16</v>
      </c>
      <c r="D23" s="140" t="n"/>
      <c r="E23" s="92" t="n"/>
      <c r="F23" s="92" t="n"/>
      <c r="G23" s="141">
        <f>IF(D23="","",D23-C23)</f>
        <v/>
      </c>
      <c r="H23" s="100">
        <f>IF(D23="","",IF(D23&gt;=C23,"En meta",IF(D23&gt;=C23-0.01,"Riesgo","Atrasado")))</f>
        <v/>
      </c>
      <c r="I23" s="144" t="n"/>
      <c r="J23" s="143">
        <f>IF(I23="","",IF($I$9="","",IF($I$9=0,"",I23/$I$9)))</f>
        <v/>
      </c>
      <c r="K23" s="144" t="n"/>
      <c r="L23" s="143">
        <f>IF(K23="","",IF($K$9="","",IF($K$9=0,"",K23/$K$9)))</f>
        <v/>
      </c>
      <c r="M23" s="144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4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07" t="n">
        <v>46600</v>
      </c>
      <c r="C24" s="153" t="n">
        <v>0.16</v>
      </c>
      <c r="D24" s="140" t="n"/>
      <c r="E24" s="115" t="n"/>
      <c r="F24" s="115" t="n"/>
      <c r="G24" s="147">
        <f>IF(D24="","",D24-C24)</f>
        <v/>
      </c>
      <c r="H24" s="101">
        <f>IF(D24="","",IF(D24&gt;=C24,"En meta",IF(D24&gt;=C24-0.01,"Riesgo","Atrasado")))</f>
        <v/>
      </c>
      <c r="I24" s="144" t="n"/>
      <c r="J24" s="148">
        <f>IF(I24="","",IF($I$9="","",IF($I$9=0,"",I24/$I$9)))</f>
        <v/>
      </c>
      <c r="K24" s="144" t="n"/>
      <c r="L24" s="148">
        <f>IF(K24="","",IF($K$9="","",IF($K$9=0,"",K24/$K$9)))</f>
        <v/>
      </c>
      <c r="M24" s="144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4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06" t="n">
        <v>46631</v>
      </c>
      <c r="C25" s="152" t="n">
        <v>0.16</v>
      </c>
      <c r="D25" s="140" t="n"/>
      <c r="E25" s="92" t="n"/>
      <c r="F25" s="92" t="n"/>
      <c r="G25" s="141">
        <f>IF(D25="","",D25-C25)</f>
        <v/>
      </c>
      <c r="H25" s="100">
        <f>IF(D25="","",IF(D25&gt;=C25,"En meta",IF(D25&gt;=C25-0.01,"Riesgo","Atrasado")))</f>
        <v/>
      </c>
      <c r="I25" s="144" t="n"/>
      <c r="J25" s="143">
        <f>IF(I25="","",IF($I$9="","",IF($I$9=0,"",I25/$I$9)))</f>
        <v/>
      </c>
      <c r="K25" s="144" t="n"/>
      <c r="L25" s="143">
        <f>IF(K25="","",IF($K$9="","",IF($K$9=0,"",K25/$K$9)))</f>
        <v/>
      </c>
      <c r="M25" s="144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4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07" t="n">
        <v>46661</v>
      </c>
      <c r="C26" s="153" t="n">
        <v>0.16</v>
      </c>
      <c r="D26" s="140" t="n"/>
      <c r="E26" s="115" t="n"/>
      <c r="F26" s="115" t="n"/>
      <c r="G26" s="147">
        <f>IF(D26="","",D26-C26)</f>
        <v/>
      </c>
      <c r="H26" s="101">
        <f>IF(D26="","",IF(D26&gt;=C26,"En meta",IF(D26&gt;=C26-0.01,"Riesgo","Atrasado")))</f>
        <v/>
      </c>
      <c r="I26" s="144" t="n"/>
      <c r="J26" s="148">
        <f>IF(I26="","",IF($I$9="","",IF($I$9=0,"",I26/$I$9)))</f>
        <v/>
      </c>
      <c r="K26" s="144" t="n"/>
      <c r="L26" s="148">
        <f>IF(K26="","",IF($K$9="","",IF($K$9=0,"",K26/$K$9)))</f>
        <v/>
      </c>
      <c r="M26" s="144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4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06" t="n">
        <v>46692</v>
      </c>
      <c r="C27" s="152" t="n">
        <v>0.16</v>
      </c>
      <c r="D27" s="140" t="n"/>
      <c r="E27" s="92" t="n"/>
      <c r="F27" s="92" t="n"/>
      <c r="G27" s="141">
        <f>IF(D27="","",D27-C27)</f>
        <v/>
      </c>
      <c r="H27" s="100">
        <f>IF(D27="","",IF(D27&gt;=C27,"En meta",IF(D27&gt;=C27-0.01,"Riesgo","Atrasado")))</f>
        <v/>
      </c>
      <c r="I27" s="144" t="n"/>
      <c r="J27" s="143">
        <f>IF(I27="","",IF($I$9="","",IF($I$9=0,"",I27/$I$9)))</f>
        <v/>
      </c>
      <c r="K27" s="144" t="n"/>
      <c r="L27" s="143">
        <f>IF(K27="","",IF($K$9="","",IF($K$9=0,"",K27/$K$9)))</f>
        <v/>
      </c>
      <c r="M27" s="144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4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07" t="n">
        <v>46722</v>
      </c>
      <c r="C28" s="153" t="n">
        <v>0.16</v>
      </c>
      <c r="D28" s="140" t="n"/>
      <c r="E28" s="115" t="n"/>
      <c r="F28" s="115" t="n"/>
      <c r="G28" s="147">
        <f>IF(D28="","",D28-C28)</f>
        <v/>
      </c>
      <c r="H28" s="101">
        <f>IF(D28="","",IF(D28&gt;=C28,"En meta",IF(D28&gt;=C28-0.01,"Riesgo","Atrasado")))</f>
        <v/>
      </c>
      <c r="I28" s="144" t="n"/>
      <c r="J28" s="148">
        <f>IF(I28="","",IF($I$9="","",IF($I$9=0,"",I28/$I$9)))</f>
        <v/>
      </c>
      <c r="K28" s="144" t="n"/>
      <c r="L28" s="148">
        <f>IF(K28="","",IF($K$9="","",IF($K$9=0,"",K28/$K$9)))</f>
        <v/>
      </c>
      <c r="M28" s="144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4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28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X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9 — Incrementar el CSAT de X a Y, sosteniéndolo 4 meses consecutivos</t>
        </is>
      </c>
    </row>
    <row r="2" ht="15" customHeight="1" s="87">
      <c r="A2" s="104" t="inlineStr">
        <is>
          <t>Indicador lag:</t>
        </is>
      </c>
      <c r="B2" s="127" t="inlineStr">
        <is>
          <t>CSAT del mes (puntaje de encuestas de satisfacción).</t>
        </is>
      </c>
    </row>
    <row r="3" ht="15" customHeight="1" s="87">
      <c r="A3" s="104" t="inlineStr">
        <is>
          <t>De X a Y:</t>
        </is>
      </c>
      <c r="B3" s="127" t="inlineStr">
        <is>
          <t>De X a Y, con 4 meses consecutivos en la meta. (Definir X y Y en la celda Meta)</t>
        </is>
      </c>
    </row>
    <row r="4" ht="15" customHeight="1" s="87">
      <c r="A4" s="104" t="inlineStr">
        <is>
          <t>Dueño:</t>
        </is>
      </c>
      <c r="B4" s="128" t="inlineStr">
        <is>
          <t>L. Espinoza</t>
        </is>
      </c>
      <c r="D4" s="104" t="inlineStr">
        <is>
          <t>Equipo:</t>
        </is>
      </c>
      <c r="E4" s="127" t="inlineStr">
        <is>
          <t>Customer Success (todas las áreas de entrega aportan)</t>
        </is>
      </c>
    </row>
    <row r="5" ht="15" customHeight="1" s="87">
      <c r="A5" s="104" t="inlineStr">
        <is>
          <t>Meta:</t>
        </is>
      </c>
      <c r="B5" s="157" t="n">
        <v>4.5</v>
      </c>
      <c r="D5" s="104" t="inlineStr">
        <is>
          <t>Inicio:</t>
        </is>
      </c>
      <c r="E5" s="130" t="n">
        <v>46204</v>
      </c>
      <c r="G5" s="104" t="inlineStr">
        <is>
          <t>Fin:</t>
        </is>
      </c>
      <c r="H5" s="130" t="n">
        <v>46722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 s="87">
      <c r="A8" s="104" t="inlineStr">
        <is>
          <t>Periodos:</t>
        </is>
      </c>
      <c r="B8" s="131">
        <f>COUNT(A11:A28)</f>
        <v/>
      </c>
      <c r="H8" s="132" t="inlineStr">
        <is>
          <t>Lead →</t>
        </is>
      </c>
      <c r="I8" s="133" t="inlineStr">
        <is>
          <t>L1. % encuestas CSAT enviadas y respondidas</t>
        </is>
      </c>
      <c r="J8" s="134" t="n"/>
      <c r="K8" s="133" t="inlineStr">
        <is>
          <t>L2. QBRs / touchpoints de CS ejecutados</t>
        </is>
      </c>
      <c r="L8" s="134" t="n"/>
      <c r="M8" s="133" t="inlineStr">
        <is>
          <t>L3. % detractores con plan de acción en ≤5 días</t>
        </is>
      </c>
      <c r="N8" s="134" t="n"/>
      <c r="O8" s="133" t="inlineStr">
        <is>
          <t>L4. % casos críticos resueltos dentro del SLA</t>
        </is>
      </c>
      <c r="P8" s="134" t="n"/>
      <c r="Q8" s="133" t="inlineStr">
        <is>
          <t>L5. Llamadas proactivas de CSM en el mes</t>
        </is>
      </c>
      <c r="R8" s="134" t="n"/>
      <c r="S8" s="133" t="inlineStr">
        <is>
          <t>L6. Promotores contactados para referencia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0.6</v>
      </c>
      <c r="J9" s="134" t="n"/>
      <c r="K9" s="135" t="n">
        <v>8</v>
      </c>
      <c r="L9" s="134" t="n"/>
      <c r="M9" s="136" t="n">
        <v>1</v>
      </c>
      <c r="N9" s="134" t="n"/>
      <c r="O9" s="136" t="n">
        <v>0.95</v>
      </c>
      <c r="P9" s="134" t="n"/>
      <c r="Q9" s="135" t="n">
        <v>12</v>
      </c>
      <c r="R9" s="134" t="n"/>
      <c r="S9" s="135" t="n">
        <v>3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Mes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06" t="n">
        <v>46204</v>
      </c>
      <c r="C11" s="158" t="n">
        <v>4.5</v>
      </c>
      <c r="D11" s="140" t="n">
        <v>4.1</v>
      </c>
      <c r="E11" s="92" t="n"/>
      <c r="F11" s="92" t="n"/>
      <c r="G11" s="159" t="n">
        <v>-0.4000000000000004</v>
      </c>
      <c r="H11" s="100" t="inlineStr">
        <is>
          <t>Atrasado</t>
        </is>
      </c>
      <c r="I11" s="144" t="n">
        <v>0.29</v>
      </c>
      <c r="J11" s="143" t="n">
        <v>0.4833333333333333</v>
      </c>
      <c r="K11" s="142" t="n">
        <v>7</v>
      </c>
      <c r="L11" s="143" t="n">
        <v>0.875</v>
      </c>
      <c r="M11" s="144" t="n">
        <v>1</v>
      </c>
      <c r="N11" s="143" t="n">
        <v>1</v>
      </c>
      <c r="O11" s="144" t="n">
        <v>0.67</v>
      </c>
      <c r="P11" s="143" t="n">
        <v>0.7052631578947369</v>
      </c>
      <c r="Q11" s="142" t="n">
        <v>15</v>
      </c>
      <c r="R11" s="143" t="n">
        <v>1.25</v>
      </c>
      <c r="S11" s="142" t="n">
        <v>3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07" t="n">
        <v>46235</v>
      </c>
      <c r="C12" s="160" t="n">
        <v>4.5</v>
      </c>
      <c r="D12" s="140" t="n">
        <v>4.2</v>
      </c>
      <c r="E12" s="115" t="n"/>
      <c r="F12" s="115" t="n"/>
      <c r="G12" s="161" t="n">
        <v>-0.2999999999999998</v>
      </c>
      <c r="H12" s="101" t="inlineStr">
        <is>
          <t>Atrasado</t>
        </is>
      </c>
      <c r="I12" s="144" t="n">
        <v>0.5</v>
      </c>
      <c r="J12" s="148" t="n">
        <v>0.8333333333333334</v>
      </c>
      <c r="K12" s="142" t="n">
        <v>7</v>
      </c>
      <c r="L12" s="148" t="n">
        <v>0.875</v>
      </c>
      <c r="M12" s="144" t="n">
        <v>1</v>
      </c>
      <c r="N12" s="148" t="n">
        <v>1</v>
      </c>
      <c r="O12" s="144" t="n">
        <v>0.72</v>
      </c>
      <c r="P12" s="148" t="n">
        <v>0.7578947368421053</v>
      </c>
      <c r="Q12" s="142" t="n">
        <v>11</v>
      </c>
      <c r="R12" s="148" t="n">
        <v>0.9166666666666666</v>
      </c>
      <c r="S12" s="142" t="n">
        <v>3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06" t="n">
        <v>46266</v>
      </c>
      <c r="C13" s="158" t="n">
        <v>4.5</v>
      </c>
      <c r="D13" s="140" t="n">
        <v>4.3</v>
      </c>
      <c r="E13" s="92" t="n"/>
      <c r="F13" s="92" t="n"/>
      <c r="G13" s="159" t="n">
        <v>-0.2000000000000002</v>
      </c>
      <c r="H13" s="100" t="inlineStr">
        <is>
          <t>Riesgo</t>
        </is>
      </c>
      <c r="I13" s="144" t="n">
        <v>0.49</v>
      </c>
      <c r="J13" s="143" t="n">
        <v>0.8166666666666667</v>
      </c>
      <c r="K13" s="142" t="n">
        <v>7</v>
      </c>
      <c r="L13" s="143" t="n">
        <v>0.875</v>
      </c>
      <c r="M13" s="144" t="n">
        <v>1</v>
      </c>
      <c r="N13" s="143" t="n">
        <v>1</v>
      </c>
      <c r="O13" s="144" t="n">
        <v>0.9399999999999999</v>
      </c>
      <c r="P13" s="143" t="n">
        <v>0.9894736842105263</v>
      </c>
      <c r="Q13" s="142" t="n">
        <v>9</v>
      </c>
      <c r="R13" s="143" t="n">
        <v>0.75</v>
      </c>
      <c r="S13" s="142" t="n">
        <v>3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07" t="n">
        <v>46296</v>
      </c>
      <c r="C14" s="160" t="n">
        <v>4.5</v>
      </c>
      <c r="D14" s="140" t="n">
        <v>4.4</v>
      </c>
      <c r="E14" s="115" t="n"/>
      <c r="F14" s="115" t="n"/>
      <c r="G14" s="161" t="n">
        <v>-0.09999999999999964</v>
      </c>
      <c r="H14" s="101" t="inlineStr">
        <is>
          <t>Riesgo</t>
        </is>
      </c>
      <c r="I14" s="144" t="n">
        <v>0.44</v>
      </c>
      <c r="J14" s="148" t="n">
        <v>0.7333333333333334</v>
      </c>
      <c r="K14" s="142" t="n">
        <v>6</v>
      </c>
      <c r="L14" s="148" t="n">
        <v>0.75</v>
      </c>
      <c r="M14" s="144" t="n">
        <v>1</v>
      </c>
      <c r="N14" s="148" t="n">
        <v>1</v>
      </c>
      <c r="O14" s="144" t="n">
        <v>0.65</v>
      </c>
      <c r="P14" s="148" t="n">
        <v>0.6842105263157895</v>
      </c>
      <c r="Q14" s="142" t="n">
        <v>16</v>
      </c>
      <c r="R14" s="148" t="n">
        <v>1.333333333333333</v>
      </c>
      <c r="S14" s="142" t="n">
        <v>3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06" t="n">
        <v>46327</v>
      </c>
      <c r="C15" s="158" t="n">
        <v>4.5</v>
      </c>
      <c r="D15" s="140" t="n">
        <v>4.5</v>
      </c>
      <c r="E15" s="92" t="n"/>
      <c r="F15" s="92" t="n"/>
      <c r="G15" s="159" t="n">
        <v>0</v>
      </c>
      <c r="H15" s="100" t="inlineStr">
        <is>
          <t>En meta</t>
        </is>
      </c>
      <c r="I15" s="144" t="n">
        <v>0.53</v>
      </c>
      <c r="J15" s="143" t="n">
        <v>0.8833333333333334</v>
      </c>
      <c r="K15" s="142" t="n">
        <v>6</v>
      </c>
      <c r="L15" s="143" t="n">
        <v>0.75</v>
      </c>
      <c r="M15" s="144" t="n">
        <v>1</v>
      </c>
      <c r="N15" s="143" t="n">
        <v>1</v>
      </c>
      <c r="O15" s="144" t="n">
        <v>1.09</v>
      </c>
      <c r="P15" s="143" t="n">
        <v>1.147368421052632</v>
      </c>
      <c r="Q15" s="142" t="n">
        <v>11</v>
      </c>
      <c r="R15" s="143" t="n">
        <v>0.9166666666666666</v>
      </c>
      <c r="S15" s="142" t="n">
        <v>2</v>
      </c>
      <c r="T15" s="143" t="n">
        <v>0.6666666666666666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07" t="n">
        <v>46357</v>
      </c>
      <c r="C16" s="160" t="n">
        <v>4.5</v>
      </c>
      <c r="D16" s="140" t="n"/>
      <c r="E16" s="115" t="n"/>
      <c r="F16" s="115" t="n"/>
      <c r="G16" s="161">
        <f>IF(D16="","",D16-C16)</f>
        <v/>
      </c>
      <c r="H16" s="101">
        <f>IF(D16="","",IF(D16&gt;=C16,"En meta",IF(D16&gt;=C16-0.3,"Riesgo","Atrasado")))</f>
        <v/>
      </c>
      <c r="I16" s="144" t="n"/>
      <c r="J16" s="148">
        <f>IF(I16="","",IF($I$9="","",IF($I$9=0,"",I16/$I$9)))</f>
        <v/>
      </c>
      <c r="K16" s="142" t="n"/>
      <c r="L16" s="148">
        <f>IF(K16="","",IF($K$9="","",IF($K$9=0,"",K16/$K$9)))</f>
        <v/>
      </c>
      <c r="M16" s="144" t="n"/>
      <c r="N16" s="148">
        <f>IF(M16="","",IF($M$9="","",IF($M$9=0,"",M16/$M$9)))</f>
        <v/>
      </c>
      <c r="O16" s="144" t="n"/>
      <c r="P16" s="148">
        <f>IF(O16="","",IF($O$9="","",IF($O$9=0,"",O16/$O$9)))</f>
        <v/>
      </c>
      <c r="Q16" s="142" t="n"/>
      <c r="R16" s="148">
        <f>IF(Q16="","",IF($Q$9="","",IF($Q$9=0,"",Q16/$Q$9)))</f>
        <v/>
      </c>
      <c r="S16" s="142" t="n"/>
      <c r="T16" s="148">
        <f>IF(S16="","",IF($S$9="","",IF($S$9=0,"",S16/$S$9)))</f>
        <v/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06" t="n">
        <v>46388</v>
      </c>
      <c r="C17" s="158" t="n">
        <v>4.5</v>
      </c>
      <c r="D17" s="140" t="n"/>
      <c r="E17" s="92" t="n"/>
      <c r="F17" s="92" t="n"/>
      <c r="G17" s="159">
        <f>IF(D17="","",D17-C17)</f>
        <v/>
      </c>
      <c r="H17" s="100">
        <f>IF(D17="","",IF(D17&gt;=C17,"En meta",IF(D17&gt;=C17-0.3,"Riesgo","Atrasado")))</f>
        <v/>
      </c>
      <c r="I17" s="144" t="n"/>
      <c r="J17" s="143">
        <f>IF(I17="","",IF($I$9="","",IF($I$9=0,"",I17/$I$9)))</f>
        <v/>
      </c>
      <c r="K17" s="142" t="n"/>
      <c r="L17" s="143">
        <f>IF(K17="","",IF($K$9="","",IF($K$9=0,"",K17/$K$9)))</f>
        <v/>
      </c>
      <c r="M17" s="144" t="n"/>
      <c r="N17" s="143">
        <f>IF(M17="","",IF($M$9="","",IF($M$9=0,"",M17/$M$9)))</f>
        <v/>
      </c>
      <c r="O17" s="144" t="n"/>
      <c r="P17" s="143">
        <f>IF(O17="","",IF($O$9="","",IF($O$9=0,"",O17/$O$9)))</f>
        <v/>
      </c>
      <c r="Q17" s="142" t="n"/>
      <c r="R17" s="143">
        <f>IF(Q17="","",IF($Q$9="","",IF($Q$9=0,"",Q17/$Q$9)))</f>
        <v/>
      </c>
      <c r="S17" s="142" t="n"/>
      <c r="T17" s="143">
        <f>IF(S17="","",IF($S$9="","",IF($S$9=0,"",S17/$S$9)))</f>
        <v/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07" t="n">
        <v>46419</v>
      </c>
      <c r="C18" s="160" t="n">
        <v>4.5</v>
      </c>
      <c r="D18" s="140" t="n"/>
      <c r="E18" s="115" t="n"/>
      <c r="F18" s="115" t="n"/>
      <c r="G18" s="161">
        <f>IF(D18="","",D18-C18)</f>
        <v/>
      </c>
      <c r="H18" s="101">
        <f>IF(D18="","",IF(D18&gt;=C18,"En meta",IF(D18&gt;=C18-0.3,"Riesgo","Atrasado")))</f>
        <v/>
      </c>
      <c r="I18" s="144" t="n"/>
      <c r="J18" s="148">
        <f>IF(I18="","",IF($I$9="","",IF($I$9=0,"",I18/$I$9)))</f>
        <v/>
      </c>
      <c r="K18" s="142" t="n"/>
      <c r="L18" s="148">
        <f>IF(K18="","",IF($K$9="","",IF($K$9=0,"",K18/$K$9)))</f>
        <v/>
      </c>
      <c r="M18" s="144" t="n"/>
      <c r="N18" s="148">
        <f>IF(M18="","",IF($M$9="","",IF($M$9=0,"",M18/$M$9)))</f>
        <v/>
      </c>
      <c r="O18" s="144" t="n"/>
      <c r="P18" s="148">
        <f>IF(O18="","",IF($O$9="","",IF($O$9=0,"",O18/$O$9)))</f>
        <v/>
      </c>
      <c r="Q18" s="142" t="n"/>
      <c r="R18" s="148">
        <f>IF(Q18="","",IF($Q$9="","",IF($Q$9=0,"",Q18/$Q$9)))</f>
        <v/>
      </c>
      <c r="S18" s="142" t="n"/>
      <c r="T18" s="148">
        <f>IF(S18="","",IF($S$9="","",IF($S$9=0,"",S18/$S$9)))</f>
        <v/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06" t="n">
        <v>46447</v>
      </c>
      <c r="C19" s="158" t="n">
        <v>4.5</v>
      </c>
      <c r="D19" s="140" t="n"/>
      <c r="E19" s="92" t="n"/>
      <c r="F19" s="92" t="n"/>
      <c r="G19" s="159">
        <f>IF(D19="","",D19-C19)</f>
        <v/>
      </c>
      <c r="H19" s="100">
        <f>IF(D19="","",IF(D19&gt;=C19,"En meta",IF(D19&gt;=C19-0.3,"Riesgo","Atrasado")))</f>
        <v/>
      </c>
      <c r="I19" s="144" t="n"/>
      <c r="J19" s="143">
        <f>IF(I19="","",IF($I$9="","",IF($I$9=0,"",I19/$I$9)))</f>
        <v/>
      </c>
      <c r="K19" s="142" t="n"/>
      <c r="L19" s="143">
        <f>IF(K19="","",IF($K$9="","",IF($K$9=0,"",K19/$K$9)))</f>
        <v/>
      </c>
      <c r="M19" s="144" t="n"/>
      <c r="N19" s="143">
        <f>IF(M19="","",IF($M$9="","",IF($M$9=0,"",M19/$M$9)))</f>
        <v/>
      </c>
      <c r="O19" s="144" t="n"/>
      <c r="P19" s="143">
        <f>IF(O19="","",IF($O$9="","",IF($O$9=0,"",O19/$O$9)))</f>
        <v/>
      </c>
      <c r="Q19" s="142" t="n"/>
      <c r="R19" s="143">
        <f>IF(Q19="","",IF($Q$9="","",IF($Q$9=0,"",Q19/$Q$9)))</f>
        <v/>
      </c>
      <c r="S19" s="142" t="n"/>
      <c r="T19" s="143">
        <f>IF(S19="","",IF($S$9="","",IF($S$9=0,"",S19/$S$9)))</f>
        <v/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07" t="n">
        <v>46478</v>
      </c>
      <c r="C20" s="160" t="n">
        <v>4.5</v>
      </c>
      <c r="D20" s="140" t="n"/>
      <c r="E20" s="115" t="n"/>
      <c r="F20" s="115" t="n"/>
      <c r="G20" s="161">
        <f>IF(D20="","",D20-C20)</f>
        <v/>
      </c>
      <c r="H20" s="101">
        <f>IF(D20="","",IF(D20&gt;=C20,"En meta",IF(D20&gt;=C20-0.3,"Riesgo","Atrasado")))</f>
        <v/>
      </c>
      <c r="I20" s="144" t="n"/>
      <c r="J20" s="148">
        <f>IF(I20="","",IF($I$9="","",IF($I$9=0,"",I20/$I$9)))</f>
        <v/>
      </c>
      <c r="K20" s="142" t="n"/>
      <c r="L20" s="148">
        <f>IF(K20="","",IF($K$9="","",IF($K$9=0,"",K20/$K$9)))</f>
        <v/>
      </c>
      <c r="M20" s="144" t="n"/>
      <c r="N20" s="148">
        <f>IF(M20="","",IF($M$9="","",IF($M$9=0,"",M20/$M$9)))</f>
        <v/>
      </c>
      <c r="O20" s="144" t="n"/>
      <c r="P20" s="148">
        <f>IF(O20="","",IF($O$9="","",IF($O$9=0,"",O20/$O$9)))</f>
        <v/>
      </c>
      <c r="Q20" s="142" t="n"/>
      <c r="R20" s="148">
        <f>IF(Q20="","",IF($Q$9="","",IF($Q$9=0,"",Q20/$Q$9)))</f>
        <v/>
      </c>
      <c r="S20" s="142" t="n"/>
      <c r="T20" s="148">
        <f>IF(S20="","",IF($S$9="","",IF($S$9=0,"",S20/$S$9)))</f>
        <v/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06" t="n">
        <v>46508</v>
      </c>
      <c r="C21" s="158" t="n">
        <v>4.5</v>
      </c>
      <c r="D21" s="140" t="n"/>
      <c r="E21" s="92" t="n"/>
      <c r="F21" s="92" t="n"/>
      <c r="G21" s="159">
        <f>IF(D21="","",D21-C21)</f>
        <v/>
      </c>
      <c r="H21" s="100">
        <f>IF(D21="","",IF(D21&gt;=C21,"En meta",IF(D21&gt;=C21-0.3,"Riesgo","Atrasado")))</f>
        <v/>
      </c>
      <c r="I21" s="144" t="n"/>
      <c r="J21" s="143">
        <f>IF(I21="","",IF($I$9="","",IF($I$9=0,"",I21/$I$9)))</f>
        <v/>
      </c>
      <c r="K21" s="142" t="n"/>
      <c r="L21" s="143">
        <f>IF(K21="","",IF($K$9="","",IF($K$9=0,"",K21/$K$9)))</f>
        <v/>
      </c>
      <c r="M21" s="144" t="n"/>
      <c r="N21" s="143">
        <f>IF(M21="","",IF($M$9="","",IF($M$9=0,"",M21/$M$9)))</f>
        <v/>
      </c>
      <c r="O21" s="144" t="n"/>
      <c r="P21" s="143">
        <f>IF(O21="","",IF($O$9="","",IF($O$9=0,"",O21/$O$9)))</f>
        <v/>
      </c>
      <c r="Q21" s="142" t="n"/>
      <c r="R21" s="143">
        <f>IF(Q21="","",IF($Q$9="","",IF($Q$9=0,"",Q21/$Q$9)))</f>
        <v/>
      </c>
      <c r="S21" s="142" t="n"/>
      <c r="T21" s="143">
        <f>IF(S21="","",IF($S$9="","",IF($S$9=0,"",S21/$S$9)))</f>
        <v/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07" t="n">
        <v>46539</v>
      </c>
      <c r="C22" s="160" t="n">
        <v>4.5</v>
      </c>
      <c r="D22" s="140" t="n"/>
      <c r="E22" s="115" t="n"/>
      <c r="F22" s="115" t="n"/>
      <c r="G22" s="161">
        <f>IF(D22="","",D22-C22)</f>
        <v/>
      </c>
      <c r="H22" s="101">
        <f>IF(D22="","",IF(D22&gt;=C22,"En meta",IF(D22&gt;=C22-0.3,"Riesgo","Atrasado")))</f>
        <v/>
      </c>
      <c r="I22" s="144" t="n"/>
      <c r="J22" s="148">
        <f>IF(I22="","",IF($I$9="","",IF($I$9=0,"",I22/$I$9)))</f>
        <v/>
      </c>
      <c r="K22" s="142" t="n"/>
      <c r="L22" s="148">
        <f>IF(K22="","",IF($K$9="","",IF($K$9=0,"",K22/$K$9)))</f>
        <v/>
      </c>
      <c r="M22" s="144" t="n"/>
      <c r="N22" s="148">
        <f>IF(M22="","",IF($M$9="","",IF($M$9=0,"",M22/$M$9)))</f>
        <v/>
      </c>
      <c r="O22" s="144" t="n"/>
      <c r="P22" s="148">
        <f>IF(O22="","",IF($O$9="","",IF($O$9=0,"",O22/$O$9)))</f>
        <v/>
      </c>
      <c r="Q22" s="142" t="n"/>
      <c r="R22" s="148">
        <f>IF(Q22="","",IF($Q$9="","",IF($Q$9=0,"",Q22/$Q$9)))</f>
        <v/>
      </c>
      <c r="S22" s="142" t="n"/>
      <c r="T22" s="148">
        <f>IF(S22="","",IF($S$9="","",IF($S$9=0,"",S22/$S$9)))</f>
        <v/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06" t="n">
        <v>46569</v>
      </c>
      <c r="C23" s="158" t="n">
        <v>4.5</v>
      </c>
      <c r="D23" s="140" t="n"/>
      <c r="E23" s="92" t="n"/>
      <c r="F23" s="92" t="n"/>
      <c r="G23" s="159">
        <f>IF(D23="","",D23-C23)</f>
        <v/>
      </c>
      <c r="H23" s="100">
        <f>IF(D23="","",IF(D23&gt;=C23,"En meta",IF(D23&gt;=C23-0.3,"Riesgo","Atrasado")))</f>
        <v/>
      </c>
      <c r="I23" s="144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4" t="n"/>
      <c r="N23" s="143">
        <f>IF(M23="","",IF($M$9="","",IF($M$9=0,"",M23/$M$9)))</f>
        <v/>
      </c>
      <c r="O23" s="144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07" t="n">
        <v>46600</v>
      </c>
      <c r="C24" s="160" t="n">
        <v>4.5</v>
      </c>
      <c r="D24" s="140" t="n"/>
      <c r="E24" s="115" t="n"/>
      <c r="F24" s="115" t="n"/>
      <c r="G24" s="161">
        <f>IF(D24="","",D24-C24)</f>
        <v/>
      </c>
      <c r="H24" s="101">
        <f>IF(D24="","",IF(D24&gt;=C24,"En meta",IF(D24&gt;=C24-0.3,"Riesgo","Atrasado")))</f>
        <v/>
      </c>
      <c r="I24" s="144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4" t="n"/>
      <c r="N24" s="148">
        <f>IF(M24="","",IF($M$9="","",IF($M$9=0,"",M24/$M$9)))</f>
        <v/>
      </c>
      <c r="O24" s="144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06" t="n">
        <v>46631</v>
      </c>
      <c r="C25" s="158" t="n">
        <v>4.5</v>
      </c>
      <c r="D25" s="140" t="n"/>
      <c r="E25" s="92" t="n"/>
      <c r="F25" s="92" t="n"/>
      <c r="G25" s="159">
        <f>IF(D25="","",D25-C25)</f>
        <v/>
      </c>
      <c r="H25" s="100">
        <f>IF(D25="","",IF(D25&gt;=C25,"En meta",IF(D25&gt;=C25-0.3,"Riesgo","Atrasado")))</f>
        <v/>
      </c>
      <c r="I25" s="144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4" t="n"/>
      <c r="N25" s="143">
        <f>IF(M25="","",IF($M$9="","",IF($M$9=0,"",M25/$M$9)))</f>
        <v/>
      </c>
      <c r="O25" s="144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07" t="n">
        <v>46661</v>
      </c>
      <c r="C26" s="160" t="n">
        <v>4.5</v>
      </c>
      <c r="D26" s="140" t="n"/>
      <c r="E26" s="115" t="n"/>
      <c r="F26" s="115" t="n"/>
      <c r="G26" s="161">
        <f>IF(D26="","",D26-C26)</f>
        <v/>
      </c>
      <c r="H26" s="101">
        <f>IF(D26="","",IF(D26&gt;=C26,"En meta",IF(D26&gt;=C26-0.3,"Riesgo","Atrasado")))</f>
        <v/>
      </c>
      <c r="I26" s="144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4" t="n"/>
      <c r="N26" s="148">
        <f>IF(M26="","",IF($M$9="","",IF($M$9=0,"",M26/$M$9)))</f>
        <v/>
      </c>
      <c r="O26" s="144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06" t="n">
        <v>46692</v>
      </c>
      <c r="C27" s="158" t="n">
        <v>4.5</v>
      </c>
      <c r="D27" s="140" t="n"/>
      <c r="E27" s="92" t="n"/>
      <c r="F27" s="92" t="n"/>
      <c r="G27" s="159">
        <f>IF(D27="","",D27-C27)</f>
        <v/>
      </c>
      <c r="H27" s="100">
        <f>IF(D27="","",IF(D27&gt;=C27,"En meta",IF(D27&gt;=C27-0.3,"Riesgo","Atrasado")))</f>
        <v/>
      </c>
      <c r="I27" s="144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4" t="n"/>
      <c r="N27" s="143">
        <f>IF(M27="","",IF($M$9="","",IF($M$9=0,"",M27/$M$9)))</f>
        <v/>
      </c>
      <c r="O27" s="144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07" t="n">
        <v>46722</v>
      </c>
      <c r="C28" s="160" t="n">
        <v>4.5</v>
      </c>
      <c r="D28" s="140" t="n"/>
      <c r="E28" s="115" t="n"/>
      <c r="F28" s="115" t="n"/>
      <c r="G28" s="161">
        <f>IF(D28="","",D28-C28)</f>
        <v/>
      </c>
      <c r="H28" s="101">
        <f>IF(D28="","",IF(D28&gt;=C28,"En meta",IF(D28&gt;=C28-0.3,"Riesgo","Atrasado")))</f>
        <v/>
      </c>
      <c r="I28" s="144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4" t="n"/>
      <c r="N28" s="148">
        <f>IF(M28="","",IF($M$9="","",IF($M$9=0,"",M28/$M$9)))</f>
        <v/>
      </c>
      <c r="O28" s="144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28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X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10 — Sostener costos locales planos mientras crece el ingreso (apalancamiento operativo)</t>
        </is>
      </c>
    </row>
    <row r="2" ht="15" customHeight="1" s="87">
      <c r="A2" s="104" t="inlineStr">
        <is>
          <t>Indicador lag:</t>
        </is>
      </c>
      <c r="B2" s="127" t="inlineStr">
        <is>
          <t>Costo indirecto local + OREX del mes como % del ingreso del mes (objetivo: que BAJE al crecer ventas).</t>
        </is>
      </c>
    </row>
    <row r="3" ht="15" customHeight="1" s="87">
      <c r="A3" s="104" t="inlineStr">
        <is>
          <t>De X a Y:</t>
        </is>
      </c>
      <c r="B3" s="127" t="inlineStr">
        <is>
          <t>De ~13% (local+OREX / ingreso) hacia ≤9% sostenido, manteniendo el costo local en valor absoluto plano mientras el ingreso crece.</t>
        </is>
      </c>
    </row>
    <row r="4" ht="15" customHeight="1" s="87">
      <c r="A4" s="104" t="inlineStr">
        <is>
          <t>Dueño:</t>
        </is>
      </c>
      <c r="B4" s="128" t="inlineStr">
        <is>
          <t>F. Tellez</t>
        </is>
      </c>
      <c r="D4" s="104" t="inlineStr">
        <is>
          <t>Equipo:</t>
        </is>
      </c>
      <c r="E4" s="127" t="inlineStr">
        <is>
          <t>Finanzas, Customer Success, todas las áreas locales</t>
        </is>
      </c>
    </row>
    <row r="5" ht="15" customHeight="1" s="87">
      <c r="A5" s="104" t="inlineStr">
        <is>
          <t>Meta:</t>
        </is>
      </c>
      <c r="B5" s="151" t="n">
        <v>0.09</v>
      </c>
      <c r="D5" s="104" t="inlineStr">
        <is>
          <t>Inicio:</t>
        </is>
      </c>
      <c r="E5" s="130" t="n">
        <v>46204</v>
      </c>
      <c r="G5" s="104" t="inlineStr">
        <is>
          <t>Fin:</t>
        </is>
      </c>
      <c r="H5" s="130" t="n">
        <v>46722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 s="87">
      <c r="A8" s="104" t="inlineStr">
        <is>
          <t>Periodos:</t>
        </is>
      </c>
      <c r="B8" s="131">
        <f>COUNT(A11:A28)</f>
        <v/>
      </c>
      <c r="H8" s="132" t="inlineStr">
        <is>
          <t>Lead →</t>
        </is>
      </c>
      <c r="I8" s="133" t="inlineStr">
        <is>
          <t>L1. Costo local absoluto del mes vs. mes base (≤100%)</t>
        </is>
      </c>
      <c r="J8" s="134" t="n"/>
      <c r="K8" s="133" t="inlineStr">
        <is>
          <t>L2. Headcount local de apoyo vs. plan plano (≤100%)</t>
        </is>
      </c>
      <c r="L8" s="134" t="n"/>
      <c r="M8" s="133" t="inlineStr">
        <is>
          <t>L3. Vacantes de apoyo cubiertas con productividad, no contratación</t>
        </is>
      </c>
      <c r="N8" s="134" t="n"/>
      <c r="O8" s="133" t="inlineStr">
        <is>
          <t>L4. % de crecimiento de ingreso absorbido sin nuevo costo local</t>
        </is>
      </c>
      <c r="P8" s="134" t="n"/>
      <c r="Q8" s="133" t="inlineStr">
        <is>
          <t>L5. Iniciativas de automatización/eficiencia en marcha</t>
        </is>
      </c>
      <c r="R8" s="134" t="n"/>
      <c r="S8" s="133" t="inlineStr">
        <is>
          <t>L6. Revisión mensual de costo local por área ejecutada (1 = sí)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6" t="n">
        <v>1</v>
      </c>
      <c r="L9" s="134" t="n"/>
      <c r="M9" s="135" t="n">
        <v>1</v>
      </c>
      <c r="N9" s="134" t="n"/>
      <c r="O9" s="136" t="n">
        <v>1</v>
      </c>
      <c r="P9" s="134" t="n"/>
      <c r="Q9" s="135" t="n">
        <v>1</v>
      </c>
      <c r="R9" s="134" t="n"/>
      <c r="S9" s="135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Mes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06" t="n">
        <v>46204</v>
      </c>
      <c r="C11" s="152" t="n">
        <v>0.09</v>
      </c>
      <c r="D11" s="140" t="n">
        <v>0.13</v>
      </c>
      <c r="E11" s="92" t="n"/>
      <c r="F11" s="92" t="n"/>
      <c r="G11" s="141" t="n">
        <v>0.04000000000000001</v>
      </c>
      <c r="H11" s="100" t="inlineStr">
        <is>
          <t>Riesgo</t>
        </is>
      </c>
      <c r="I11" s="144" t="n">
        <v>1</v>
      </c>
      <c r="J11" s="143" t="n">
        <v>1</v>
      </c>
      <c r="K11" s="144" t="n">
        <v>1</v>
      </c>
      <c r="L11" s="143" t="n">
        <v>1</v>
      </c>
      <c r="M11" s="142" t="n">
        <v>1</v>
      </c>
      <c r="N11" s="143" t="n">
        <v>1</v>
      </c>
      <c r="O11" s="144" t="n">
        <v>1</v>
      </c>
      <c r="P11" s="143" t="n">
        <v>1</v>
      </c>
      <c r="Q11" s="142" t="n">
        <v>1</v>
      </c>
      <c r="R11" s="143" t="n">
        <v>1</v>
      </c>
      <c r="S11" s="142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07" t="n">
        <v>46235</v>
      </c>
      <c r="C12" s="153" t="n">
        <v>0.09</v>
      </c>
      <c r="D12" s="140" t="n">
        <v>0.125</v>
      </c>
      <c r="E12" s="115" t="n"/>
      <c r="F12" s="115" t="n"/>
      <c r="G12" s="147" t="n">
        <v>0.035</v>
      </c>
      <c r="H12" s="101" t="inlineStr">
        <is>
          <t>Riesgo</t>
        </is>
      </c>
      <c r="I12" s="144" t="n">
        <v>1</v>
      </c>
      <c r="J12" s="148" t="n">
        <v>1</v>
      </c>
      <c r="K12" s="144" t="n">
        <v>1</v>
      </c>
      <c r="L12" s="148" t="n">
        <v>1</v>
      </c>
      <c r="M12" s="142" t="n">
        <v>1</v>
      </c>
      <c r="N12" s="148" t="n">
        <v>1</v>
      </c>
      <c r="O12" s="144" t="n">
        <v>1</v>
      </c>
      <c r="P12" s="148" t="n">
        <v>1</v>
      </c>
      <c r="Q12" s="142" t="n">
        <v>1</v>
      </c>
      <c r="R12" s="148" t="n">
        <v>1</v>
      </c>
      <c r="S12" s="142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06" t="n">
        <v>46266</v>
      </c>
      <c r="C13" s="152" t="n">
        <v>0.09</v>
      </c>
      <c r="D13" s="140" t="n">
        <v>0.118</v>
      </c>
      <c r="E13" s="92" t="n"/>
      <c r="F13" s="92" t="n"/>
      <c r="G13" s="141" t="n">
        <v>0.028</v>
      </c>
      <c r="H13" s="100" t="inlineStr">
        <is>
          <t>Riesgo</t>
        </is>
      </c>
      <c r="I13" s="144" t="n">
        <v>1</v>
      </c>
      <c r="J13" s="143" t="n">
        <v>1</v>
      </c>
      <c r="K13" s="144" t="n">
        <v>1</v>
      </c>
      <c r="L13" s="143" t="n">
        <v>1</v>
      </c>
      <c r="M13" s="142" t="n">
        <v>1</v>
      </c>
      <c r="N13" s="143" t="n">
        <v>1</v>
      </c>
      <c r="O13" s="144" t="n">
        <v>1</v>
      </c>
      <c r="P13" s="143" t="n">
        <v>1</v>
      </c>
      <c r="Q13" s="142" t="n">
        <v>1</v>
      </c>
      <c r="R13" s="143" t="n">
        <v>1</v>
      </c>
      <c r="S13" s="142" t="n">
        <v>1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07" t="n">
        <v>46296</v>
      </c>
      <c r="C14" s="153" t="n">
        <v>0.09</v>
      </c>
      <c r="D14" s="140" t="n">
        <v>0.11</v>
      </c>
      <c r="E14" s="115" t="n"/>
      <c r="F14" s="115" t="n"/>
      <c r="G14" s="147" t="n">
        <v>0.02</v>
      </c>
      <c r="H14" s="101" t="inlineStr">
        <is>
          <t>Riesgo</t>
        </is>
      </c>
      <c r="I14" s="144" t="n">
        <v>1</v>
      </c>
      <c r="J14" s="148" t="n">
        <v>1</v>
      </c>
      <c r="K14" s="144" t="n">
        <v>1</v>
      </c>
      <c r="L14" s="148" t="n">
        <v>1</v>
      </c>
      <c r="M14" s="142" t="n">
        <v>1</v>
      </c>
      <c r="N14" s="148" t="n">
        <v>1</v>
      </c>
      <c r="O14" s="144" t="n">
        <v>1</v>
      </c>
      <c r="P14" s="148" t="n">
        <v>1</v>
      </c>
      <c r="Q14" s="142" t="n">
        <v>1</v>
      </c>
      <c r="R14" s="148" t="n">
        <v>1</v>
      </c>
      <c r="S14" s="142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06" t="n">
        <v>46327</v>
      </c>
      <c r="C15" s="152" t="n">
        <v>0.09</v>
      </c>
      <c r="D15" s="140" t="n">
        <v>0.1</v>
      </c>
      <c r="E15" s="92" t="n"/>
      <c r="F15" s="92" t="n"/>
      <c r="G15" s="141" t="n">
        <v>0.01000000000000001</v>
      </c>
      <c r="H15" s="100" t="inlineStr">
        <is>
          <t>Riesgo</t>
        </is>
      </c>
      <c r="I15" s="144" t="n">
        <v>1</v>
      </c>
      <c r="J15" s="143" t="n">
        <v>1</v>
      </c>
      <c r="K15" s="144" t="n">
        <v>1</v>
      </c>
      <c r="L15" s="143" t="n">
        <v>1</v>
      </c>
      <c r="M15" s="142" t="n">
        <v>1</v>
      </c>
      <c r="N15" s="143" t="n">
        <v>1</v>
      </c>
      <c r="O15" s="144" t="n">
        <v>1</v>
      </c>
      <c r="P15" s="143" t="n">
        <v>1</v>
      </c>
      <c r="Q15" s="142" t="n">
        <v>1</v>
      </c>
      <c r="R15" s="143" t="n">
        <v>1</v>
      </c>
      <c r="S15" s="142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07" t="n">
        <v>46357</v>
      </c>
      <c r="C16" s="153" t="n">
        <v>0.09</v>
      </c>
      <c r="D16" s="140" t="n"/>
      <c r="E16" s="115" t="n"/>
      <c r="F16" s="115" t="n"/>
      <c r="G16" s="147">
        <f>IF(D16="","",D16-C16)</f>
        <v/>
      </c>
      <c r="H16" s="101">
        <f>IF(D16="","",IF(D16&lt;=C16,"En meta",IF(D16&lt;=C16+0.01,"Riesgo","Atrasado")))</f>
        <v/>
      </c>
      <c r="I16" s="144" t="n"/>
      <c r="J16" s="148">
        <f>IF(I16="","",IF($I$9="","",IF($I$9=0,"",I16/$I$9)))</f>
        <v/>
      </c>
      <c r="K16" s="144" t="n"/>
      <c r="L16" s="148">
        <f>IF(K16="","",IF($K$9="","",IF($K$9=0,"",K16/$K$9)))</f>
        <v/>
      </c>
      <c r="M16" s="142" t="n"/>
      <c r="N16" s="148">
        <f>IF(M16="","",IF($M$9="","",IF($M$9=0,"",M16/$M$9)))</f>
        <v/>
      </c>
      <c r="O16" s="144" t="n"/>
      <c r="P16" s="148">
        <f>IF(O16="","",IF($O$9="","",IF($O$9=0,"",O16/$O$9)))</f>
        <v/>
      </c>
      <c r="Q16" s="142" t="n"/>
      <c r="R16" s="148">
        <f>IF(Q16="","",IF($Q$9="","",IF($Q$9=0,"",Q16/$Q$9)))</f>
        <v/>
      </c>
      <c r="S16" s="142" t="n"/>
      <c r="T16" s="148">
        <f>IF(S16="","",IF($S$9="","",IF($S$9=0,"",S16/$S$9)))</f>
        <v/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06" t="n">
        <v>46388</v>
      </c>
      <c r="C17" s="152" t="n">
        <v>0.09</v>
      </c>
      <c r="D17" s="140" t="n"/>
      <c r="E17" s="92" t="n"/>
      <c r="F17" s="92" t="n"/>
      <c r="G17" s="141">
        <f>IF(D17="","",D17-C17)</f>
        <v/>
      </c>
      <c r="H17" s="100">
        <f>IF(D17="","",IF(D17&lt;=C17,"En meta",IF(D17&lt;=C17+0.01,"Riesgo","Atrasado")))</f>
        <v/>
      </c>
      <c r="I17" s="144" t="n"/>
      <c r="J17" s="143">
        <f>IF(I17="","",IF($I$9="","",IF($I$9=0,"",I17/$I$9)))</f>
        <v/>
      </c>
      <c r="K17" s="144" t="n"/>
      <c r="L17" s="143">
        <f>IF(K17="","",IF($K$9="","",IF($K$9=0,"",K17/$K$9)))</f>
        <v/>
      </c>
      <c r="M17" s="142" t="n"/>
      <c r="N17" s="143">
        <f>IF(M17="","",IF($M$9="","",IF($M$9=0,"",M17/$M$9)))</f>
        <v/>
      </c>
      <c r="O17" s="144" t="n"/>
      <c r="P17" s="143">
        <f>IF(O17="","",IF($O$9="","",IF($O$9=0,"",O17/$O$9)))</f>
        <v/>
      </c>
      <c r="Q17" s="142" t="n"/>
      <c r="R17" s="143">
        <f>IF(Q17="","",IF($Q$9="","",IF($Q$9=0,"",Q17/$Q$9)))</f>
        <v/>
      </c>
      <c r="S17" s="142" t="n"/>
      <c r="T17" s="143">
        <f>IF(S17="","",IF($S$9="","",IF($S$9=0,"",S17/$S$9)))</f>
        <v/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07" t="n">
        <v>46419</v>
      </c>
      <c r="C18" s="153" t="n">
        <v>0.09</v>
      </c>
      <c r="D18" s="140" t="n"/>
      <c r="E18" s="115" t="n"/>
      <c r="F18" s="115" t="n"/>
      <c r="G18" s="147">
        <f>IF(D18="","",D18-C18)</f>
        <v/>
      </c>
      <c r="H18" s="101">
        <f>IF(D18="","",IF(D18&lt;=C18,"En meta",IF(D18&lt;=C18+0.01,"Riesgo","Atrasado")))</f>
        <v/>
      </c>
      <c r="I18" s="144" t="n"/>
      <c r="J18" s="148">
        <f>IF(I18="","",IF($I$9="","",IF($I$9=0,"",I18/$I$9)))</f>
        <v/>
      </c>
      <c r="K18" s="144" t="n"/>
      <c r="L18" s="148">
        <f>IF(K18="","",IF($K$9="","",IF($K$9=0,"",K18/$K$9)))</f>
        <v/>
      </c>
      <c r="M18" s="142" t="n"/>
      <c r="N18" s="148">
        <f>IF(M18="","",IF($M$9="","",IF($M$9=0,"",M18/$M$9)))</f>
        <v/>
      </c>
      <c r="O18" s="144" t="n"/>
      <c r="P18" s="148">
        <f>IF(O18="","",IF($O$9="","",IF($O$9=0,"",O18/$O$9)))</f>
        <v/>
      </c>
      <c r="Q18" s="142" t="n"/>
      <c r="R18" s="148">
        <f>IF(Q18="","",IF($Q$9="","",IF($Q$9=0,"",Q18/$Q$9)))</f>
        <v/>
      </c>
      <c r="S18" s="142" t="n"/>
      <c r="T18" s="148">
        <f>IF(S18="","",IF($S$9="","",IF($S$9=0,"",S18/$S$9)))</f>
        <v/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06" t="n">
        <v>46447</v>
      </c>
      <c r="C19" s="152" t="n">
        <v>0.09</v>
      </c>
      <c r="D19" s="140" t="n"/>
      <c r="E19" s="92" t="n"/>
      <c r="F19" s="92" t="n"/>
      <c r="G19" s="141">
        <f>IF(D19="","",D19-C19)</f>
        <v/>
      </c>
      <c r="H19" s="100">
        <f>IF(D19="","",IF(D19&lt;=C19,"En meta",IF(D19&lt;=C19+0.01,"Riesgo","Atrasado")))</f>
        <v/>
      </c>
      <c r="I19" s="144" t="n"/>
      <c r="J19" s="143">
        <f>IF(I19="","",IF($I$9="","",IF($I$9=0,"",I19/$I$9)))</f>
        <v/>
      </c>
      <c r="K19" s="144" t="n"/>
      <c r="L19" s="143">
        <f>IF(K19="","",IF($K$9="","",IF($K$9=0,"",K19/$K$9)))</f>
        <v/>
      </c>
      <c r="M19" s="142" t="n"/>
      <c r="N19" s="143">
        <f>IF(M19="","",IF($M$9="","",IF($M$9=0,"",M19/$M$9)))</f>
        <v/>
      </c>
      <c r="O19" s="144" t="n"/>
      <c r="P19" s="143">
        <f>IF(O19="","",IF($O$9="","",IF($O$9=0,"",O19/$O$9)))</f>
        <v/>
      </c>
      <c r="Q19" s="142" t="n"/>
      <c r="R19" s="143">
        <f>IF(Q19="","",IF($Q$9="","",IF($Q$9=0,"",Q19/$Q$9)))</f>
        <v/>
      </c>
      <c r="S19" s="142" t="n"/>
      <c r="T19" s="143">
        <f>IF(S19="","",IF($S$9="","",IF($S$9=0,"",S19/$S$9)))</f>
        <v/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07" t="n">
        <v>46478</v>
      </c>
      <c r="C20" s="153" t="n">
        <v>0.09</v>
      </c>
      <c r="D20" s="140" t="n"/>
      <c r="E20" s="115" t="n"/>
      <c r="F20" s="115" t="n"/>
      <c r="G20" s="147">
        <f>IF(D20="","",D20-C20)</f>
        <v/>
      </c>
      <c r="H20" s="101">
        <f>IF(D20="","",IF(D20&lt;=C20,"En meta",IF(D20&lt;=C20+0.01,"Riesgo","Atrasado")))</f>
        <v/>
      </c>
      <c r="I20" s="144" t="n"/>
      <c r="J20" s="148">
        <f>IF(I20="","",IF($I$9="","",IF($I$9=0,"",I20/$I$9)))</f>
        <v/>
      </c>
      <c r="K20" s="144" t="n"/>
      <c r="L20" s="148">
        <f>IF(K20="","",IF($K$9="","",IF($K$9=0,"",K20/$K$9)))</f>
        <v/>
      </c>
      <c r="M20" s="142" t="n"/>
      <c r="N20" s="148">
        <f>IF(M20="","",IF($M$9="","",IF($M$9=0,"",M20/$M$9)))</f>
        <v/>
      </c>
      <c r="O20" s="144" t="n"/>
      <c r="P20" s="148">
        <f>IF(O20="","",IF($O$9="","",IF($O$9=0,"",O20/$O$9)))</f>
        <v/>
      </c>
      <c r="Q20" s="142" t="n"/>
      <c r="R20" s="148">
        <f>IF(Q20="","",IF($Q$9="","",IF($Q$9=0,"",Q20/$Q$9)))</f>
        <v/>
      </c>
      <c r="S20" s="142" t="n"/>
      <c r="T20" s="148">
        <f>IF(S20="","",IF($S$9="","",IF($S$9=0,"",S20/$S$9)))</f>
        <v/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06" t="n">
        <v>46508</v>
      </c>
      <c r="C21" s="152" t="n">
        <v>0.09</v>
      </c>
      <c r="D21" s="140" t="n"/>
      <c r="E21" s="92" t="n"/>
      <c r="F21" s="92" t="n"/>
      <c r="G21" s="141">
        <f>IF(D21="","",D21-C21)</f>
        <v/>
      </c>
      <c r="H21" s="100">
        <f>IF(D21="","",IF(D21&lt;=C21,"En meta",IF(D21&lt;=C21+0.01,"Riesgo","Atrasado")))</f>
        <v/>
      </c>
      <c r="I21" s="144" t="n"/>
      <c r="J21" s="143">
        <f>IF(I21="","",IF($I$9="","",IF($I$9=0,"",I21/$I$9)))</f>
        <v/>
      </c>
      <c r="K21" s="144" t="n"/>
      <c r="L21" s="143">
        <f>IF(K21="","",IF($K$9="","",IF($K$9=0,"",K21/$K$9)))</f>
        <v/>
      </c>
      <c r="M21" s="142" t="n"/>
      <c r="N21" s="143">
        <f>IF(M21="","",IF($M$9="","",IF($M$9=0,"",M21/$M$9)))</f>
        <v/>
      </c>
      <c r="O21" s="144" t="n"/>
      <c r="P21" s="143">
        <f>IF(O21="","",IF($O$9="","",IF($O$9=0,"",O21/$O$9)))</f>
        <v/>
      </c>
      <c r="Q21" s="142" t="n"/>
      <c r="R21" s="143">
        <f>IF(Q21="","",IF($Q$9="","",IF($Q$9=0,"",Q21/$Q$9)))</f>
        <v/>
      </c>
      <c r="S21" s="142" t="n"/>
      <c r="T21" s="143">
        <f>IF(S21="","",IF($S$9="","",IF($S$9=0,"",S21/$S$9)))</f>
        <v/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07" t="n">
        <v>46539</v>
      </c>
      <c r="C22" s="153" t="n">
        <v>0.09</v>
      </c>
      <c r="D22" s="140" t="n"/>
      <c r="E22" s="115" t="n"/>
      <c r="F22" s="115" t="n"/>
      <c r="G22" s="147">
        <f>IF(D22="","",D22-C22)</f>
        <v/>
      </c>
      <c r="H22" s="101">
        <f>IF(D22="","",IF(D22&lt;=C22,"En meta",IF(D22&lt;=C22+0.01,"Riesgo","Atrasado")))</f>
        <v/>
      </c>
      <c r="I22" s="144" t="n"/>
      <c r="J22" s="148">
        <f>IF(I22="","",IF($I$9="","",IF($I$9=0,"",I22/$I$9)))</f>
        <v/>
      </c>
      <c r="K22" s="144" t="n"/>
      <c r="L22" s="148">
        <f>IF(K22="","",IF($K$9="","",IF($K$9=0,"",K22/$K$9)))</f>
        <v/>
      </c>
      <c r="M22" s="142" t="n"/>
      <c r="N22" s="148">
        <f>IF(M22="","",IF($M$9="","",IF($M$9=0,"",M22/$M$9)))</f>
        <v/>
      </c>
      <c r="O22" s="144" t="n"/>
      <c r="P22" s="148">
        <f>IF(O22="","",IF($O$9="","",IF($O$9=0,"",O22/$O$9)))</f>
        <v/>
      </c>
      <c r="Q22" s="142" t="n"/>
      <c r="R22" s="148">
        <f>IF(Q22="","",IF($Q$9="","",IF($Q$9=0,"",Q22/$Q$9)))</f>
        <v/>
      </c>
      <c r="S22" s="142" t="n"/>
      <c r="T22" s="148">
        <f>IF(S22="","",IF($S$9="","",IF($S$9=0,"",S22/$S$9)))</f>
        <v/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06" t="n">
        <v>46569</v>
      </c>
      <c r="C23" s="152" t="n">
        <v>0.09</v>
      </c>
      <c r="D23" s="140" t="n"/>
      <c r="E23" s="92" t="n"/>
      <c r="F23" s="92" t="n"/>
      <c r="G23" s="141">
        <f>IF(D23="","",D23-C23)</f>
        <v/>
      </c>
      <c r="H23" s="100">
        <f>IF(D23="","",IF(D23&lt;=C23,"En meta",IF(D23&lt;=C23+0.01,"Riesgo","Atrasado")))</f>
        <v/>
      </c>
      <c r="I23" s="144" t="n"/>
      <c r="J23" s="143">
        <f>IF(I23="","",IF($I$9="","",IF($I$9=0,"",I23/$I$9)))</f>
        <v/>
      </c>
      <c r="K23" s="144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4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07" t="n">
        <v>46600</v>
      </c>
      <c r="C24" s="153" t="n">
        <v>0.09</v>
      </c>
      <c r="D24" s="140" t="n"/>
      <c r="E24" s="115" t="n"/>
      <c r="F24" s="115" t="n"/>
      <c r="G24" s="147">
        <f>IF(D24="","",D24-C24)</f>
        <v/>
      </c>
      <c r="H24" s="101">
        <f>IF(D24="","",IF(D24&lt;=C24,"En meta",IF(D24&lt;=C24+0.01,"Riesgo","Atrasado")))</f>
        <v/>
      </c>
      <c r="I24" s="144" t="n"/>
      <c r="J24" s="148">
        <f>IF(I24="","",IF($I$9="","",IF($I$9=0,"",I24/$I$9)))</f>
        <v/>
      </c>
      <c r="K24" s="144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4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06" t="n">
        <v>46631</v>
      </c>
      <c r="C25" s="152" t="n">
        <v>0.09</v>
      </c>
      <c r="D25" s="140" t="n"/>
      <c r="E25" s="92" t="n"/>
      <c r="F25" s="92" t="n"/>
      <c r="G25" s="141">
        <f>IF(D25="","",D25-C25)</f>
        <v/>
      </c>
      <c r="H25" s="100">
        <f>IF(D25="","",IF(D25&lt;=C25,"En meta",IF(D25&lt;=C25+0.01,"Riesgo","Atrasado")))</f>
        <v/>
      </c>
      <c r="I25" s="144" t="n"/>
      <c r="J25" s="143">
        <f>IF(I25="","",IF($I$9="","",IF($I$9=0,"",I25/$I$9)))</f>
        <v/>
      </c>
      <c r="K25" s="144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4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07" t="n">
        <v>46661</v>
      </c>
      <c r="C26" s="153" t="n">
        <v>0.09</v>
      </c>
      <c r="D26" s="140" t="n"/>
      <c r="E26" s="115" t="n"/>
      <c r="F26" s="115" t="n"/>
      <c r="G26" s="147">
        <f>IF(D26="","",D26-C26)</f>
        <v/>
      </c>
      <c r="H26" s="101">
        <f>IF(D26="","",IF(D26&lt;=C26,"En meta",IF(D26&lt;=C26+0.01,"Riesgo","Atrasado")))</f>
        <v/>
      </c>
      <c r="I26" s="144" t="n"/>
      <c r="J26" s="148">
        <f>IF(I26="","",IF($I$9="","",IF($I$9=0,"",I26/$I$9)))</f>
        <v/>
      </c>
      <c r="K26" s="144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4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06" t="n">
        <v>46692</v>
      </c>
      <c r="C27" s="152" t="n">
        <v>0.09</v>
      </c>
      <c r="D27" s="140" t="n"/>
      <c r="E27" s="92" t="n"/>
      <c r="F27" s="92" t="n"/>
      <c r="G27" s="141">
        <f>IF(D27="","",D27-C27)</f>
        <v/>
      </c>
      <c r="H27" s="100">
        <f>IF(D27="","",IF(D27&lt;=C27,"En meta",IF(D27&lt;=C27+0.01,"Riesgo","Atrasado")))</f>
        <v/>
      </c>
      <c r="I27" s="144" t="n"/>
      <c r="J27" s="143">
        <f>IF(I27="","",IF($I$9="","",IF($I$9=0,"",I27/$I$9)))</f>
        <v/>
      </c>
      <c r="K27" s="144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4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07" t="n">
        <v>46722</v>
      </c>
      <c r="C28" s="153" t="n">
        <v>0.09</v>
      </c>
      <c r="D28" s="140" t="n"/>
      <c r="E28" s="115" t="n"/>
      <c r="F28" s="115" t="n"/>
      <c r="G28" s="147">
        <f>IF(D28="","",D28-C28)</f>
        <v/>
      </c>
      <c r="H28" s="101">
        <f>IF(D28="","",IF(D28&lt;=C28,"En meta",IF(D28&lt;=C28+0.01,"Riesgo","Atrasado")))</f>
        <v/>
      </c>
      <c r="I28" s="144" t="n"/>
      <c r="J28" s="148">
        <f>IF(I28="","",IF($I$9="","",IF($I$9=0,"",I28/$I$9)))</f>
        <v/>
      </c>
      <c r="K28" s="144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4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28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X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11 — Recuperar el margen de Digital Solutions y eliminar líneas con GP negativo</t>
        </is>
      </c>
    </row>
    <row r="2" ht="15" customHeight="1" s="87">
      <c r="A2" s="104" t="inlineStr">
        <is>
          <t>Indicador lag:</t>
        </is>
      </c>
      <c r="B2" s="127" t="inlineStr">
        <is>
          <t>GP del mes de las líneas hoy negativas (Digital Solutions + service-attach): de negativo a positivo (USD).</t>
        </is>
      </c>
    </row>
    <row r="3" ht="15" customHeight="1" s="87">
      <c r="A3" s="104" t="inlineStr">
        <is>
          <t>De X a Y:</t>
        </is>
      </c>
      <c r="B3" s="127" t="inlineStr">
        <is>
          <t>De ~-$78K/mes de arrastre (DS + líneas negativas) a GP ≥ $0 y luego positivo, antes de dic 2027.</t>
        </is>
      </c>
    </row>
    <row r="4" ht="15" customHeight="1" s="87">
      <c r="A4" s="104" t="inlineStr">
        <is>
          <t>Dueño:</t>
        </is>
      </c>
      <c r="B4" s="128" t="inlineStr">
        <is>
          <t>S. Morales</t>
        </is>
      </c>
      <c r="D4" s="104" t="inlineStr">
        <is>
          <t>Equipo:</t>
        </is>
      </c>
      <c r="E4" s="127" t="inlineStr">
        <is>
          <t>Ventas, Pre-Sales, Del - DS, Finanzas</t>
        </is>
      </c>
    </row>
    <row r="5" ht="15" customHeight="1" s="87">
      <c r="A5" s="104" t="inlineStr">
        <is>
          <t>Meta:</t>
        </is>
      </c>
      <c r="B5" s="154" t="n">
        <v>0</v>
      </c>
      <c r="D5" s="104" t="inlineStr">
        <is>
          <t>Inicio:</t>
        </is>
      </c>
      <c r="E5" s="130" t="n">
        <v>46204</v>
      </c>
      <c r="G5" s="104" t="inlineStr">
        <is>
          <t>Fin:</t>
        </is>
      </c>
      <c r="H5" s="130" t="n">
        <v>46722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 s="87">
      <c r="A8" s="104" t="inlineStr">
        <is>
          <t>Periodos:</t>
        </is>
      </c>
      <c r="B8" s="131">
        <f>COUNT(A11:A28)</f>
        <v/>
      </c>
      <c r="H8" s="132" t="inlineStr">
        <is>
          <t>Lead →</t>
        </is>
      </c>
      <c r="I8" s="133" t="inlineStr">
        <is>
          <t>L1. % negocios DS cotizados con GP ≥ piso de margen</t>
        </is>
      </c>
      <c r="J8" s="134" t="n"/>
      <c r="K8" s="133" t="inlineStr">
        <is>
          <t>L2. Líneas con GP negativo re-precificadas o cerradas (acum.)</t>
        </is>
      </c>
      <c r="L8" s="134" t="n"/>
      <c r="M8" s="133" t="inlineStr">
        <is>
          <t>L3. Contratos DS renegociados al alza en el mes</t>
        </is>
      </c>
      <c r="N8" s="134" t="n"/>
      <c r="O8" s="133" t="inlineStr">
        <is>
          <t>L4. % utilización de la célula / SOC</t>
        </is>
      </c>
      <c r="P8" s="134" t="n"/>
      <c r="Q8" s="133" t="inlineStr">
        <is>
          <t>L5. Revisión de rentabilidad por línea DS ejecutada (1 = sí)</t>
        </is>
      </c>
      <c r="R8" s="134" t="n"/>
      <c r="S8" s="133" t="inlineStr">
        <is>
          <t>L6. Casos de service-attach negativo investigados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5" t="n">
        <v>1</v>
      </c>
      <c r="L9" s="134" t="n"/>
      <c r="M9" s="135" t="n">
        <v>1</v>
      </c>
      <c r="N9" s="134" t="n"/>
      <c r="O9" s="136" t="n">
        <v>0.7</v>
      </c>
      <c r="P9" s="134" t="n"/>
      <c r="Q9" s="135" t="n">
        <v>1</v>
      </c>
      <c r="R9" s="134" t="n"/>
      <c r="S9" s="135" t="n">
        <v>2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Mes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06" t="n">
        <v>46204</v>
      </c>
      <c r="C11" s="149" t="n">
        <v>0</v>
      </c>
      <c r="D11" s="140" t="n">
        <v>-78000</v>
      </c>
      <c r="E11" s="92" t="n"/>
      <c r="F11" s="92" t="n"/>
      <c r="G11" s="162" t="n">
        <v>-78000</v>
      </c>
      <c r="H11" s="100" t="inlineStr">
        <is>
          <t>Atrasado</t>
        </is>
      </c>
      <c r="I11" s="144" t="n">
        <v>1</v>
      </c>
      <c r="J11" s="143" t="n">
        <v>1</v>
      </c>
      <c r="K11" s="142" t="n">
        <v>1</v>
      </c>
      <c r="L11" s="143" t="n">
        <v>1</v>
      </c>
      <c r="M11" s="142" t="n">
        <v>1</v>
      </c>
      <c r="N11" s="143" t="n">
        <v>1</v>
      </c>
      <c r="O11" s="144" t="n">
        <v>0.47</v>
      </c>
      <c r="P11" s="143" t="n">
        <v>0.6714285714285715</v>
      </c>
      <c r="Q11" s="142" t="n">
        <v>1</v>
      </c>
      <c r="R11" s="143" t="n">
        <v>1</v>
      </c>
      <c r="S11" s="142" t="n">
        <v>2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07" t="n">
        <v>46235</v>
      </c>
      <c r="C12" s="150" t="n">
        <v>0</v>
      </c>
      <c r="D12" s="140" t="n">
        <v>-62000</v>
      </c>
      <c r="E12" s="115" t="n"/>
      <c r="F12" s="115" t="n"/>
      <c r="G12" s="163" t="n">
        <v>-62000</v>
      </c>
      <c r="H12" s="101" t="inlineStr">
        <is>
          <t>Atrasado</t>
        </is>
      </c>
      <c r="I12" s="144" t="n">
        <v>1</v>
      </c>
      <c r="J12" s="148" t="n">
        <v>1</v>
      </c>
      <c r="K12" s="142" t="n">
        <v>1</v>
      </c>
      <c r="L12" s="148" t="n">
        <v>1</v>
      </c>
      <c r="M12" s="142" t="n">
        <v>1</v>
      </c>
      <c r="N12" s="148" t="n">
        <v>1</v>
      </c>
      <c r="O12" s="144" t="n">
        <v>0.52</v>
      </c>
      <c r="P12" s="148" t="n">
        <v>0.7428571428571429</v>
      </c>
      <c r="Q12" s="142" t="n">
        <v>1</v>
      </c>
      <c r="R12" s="148" t="n">
        <v>1</v>
      </c>
      <c r="S12" s="142" t="n">
        <v>1</v>
      </c>
      <c r="T12" s="148" t="n">
        <v>0.5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06" t="n">
        <v>46266</v>
      </c>
      <c r="C13" s="149" t="n">
        <v>0</v>
      </c>
      <c r="D13" s="140" t="n">
        <v>-45000</v>
      </c>
      <c r="E13" s="92" t="n"/>
      <c r="F13" s="92" t="n"/>
      <c r="G13" s="162" t="n">
        <v>-45000</v>
      </c>
      <c r="H13" s="100" t="inlineStr">
        <is>
          <t>Atrasado</t>
        </is>
      </c>
      <c r="I13" s="144" t="n">
        <v>1</v>
      </c>
      <c r="J13" s="143" t="n">
        <v>1</v>
      </c>
      <c r="K13" s="142" t="n">
        <v>1</v>
      </c>
      <c r="L13" s="143" t="n">
        <v>1</v>
      </c>
      <c r="M13" s="142" t="n">
        <v>1</v>
      </c>
      <c r="N13" s="143" t="n">
        <v>1</v>
      </c>
      <c r="O13" s="144" t="n">
        <v>0.35</v>
      </c>
      <c r="P13" s="143" t="n">
        <v>0.5</v>
      </c>
      <c r="Q13" s="142" t="n">
        <v>1</v>
      </c>
      <c r="R13" s="143" t="n">
        <v>1</v>
      </c>
      <c r="S13" s="142" t="n">
        <v>2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07" t="n">
        <v>46296</v>
      </c>
      <c r="C14" s="150" t="n">
        <v>0</v>
      </c>
      <c r="D14" s="140" t="n">
        <v>-28000</v>
      </c>
      <c r="E14" s="115" t="n"/>
      <c r="F14" s="115" t="n"/>
      <c r="G14" s="163" t="n">
        <v>-28000</v>
      </c>
      <c r="H14" s="101" t="inlineStr">
        <is>
          <t>Atrasado</t>
        </is>
      </c>
      <c r="I14" s="144" t="n">
        <v>1</v>
      </c>
      <c r="J14" s="148" t="n">
        <v>1</v>
      </c>
      <c r="K14" s="142" t="n">
        <v>1</v>
      </c>
      <c r="L14" s="148" t="n">
        <v>1</v>
      </c>
      <c r="M14" s="142" t="n">
        <v>1</v>
      </c>
      <c r="N14" s="148" t="n">
        <v>1</v>
      </c>
      <c r="O14" s="144" t="n">
        <v>0.65</v>
      </c>
      <c r="P14" s="148" t="n">
        <v>0.9285714285714287</v>
      </c>
      <c r="Q14" s="142" t="n">
        <v>1</v>
      </c>
      <c r="R14" s="148" t="n">
        <v>1</v>
      </c>
      <c r="S14" s="142" t="n">
        <v>2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06" t="n">
        <v>46327</v>
      </c>
      <c r="C15" s="149" t="n">
        <v>0</v>
      </c>
      <c r="D15" s="140" t="n">
        <v>-12000</v>
      </c>
      <c r="E15" s="92" t="n"/>
      <c r="F15" s="92" t="n"/>
      <c r="G15" s="162" t="n">
        <v>-12000</v>
      </c>
      <c r="H15" s="100" t="inlineStr">
        <is>
          <t>Atrasado</t>
        </is>
      </c>
      <c r="I15" s="144" t="n">
        <v>1</v>
      </c>
      <c r="J15" s="143" t="n">
        <v>1</v>
      </c>
      <c r="K15" s="142" t="n">
        <v>1</v>
      </c>
      <c r="L15" s="143" t="n">
        <v>1</v>
      </c>
      <c r="M15" s="142" t="n">
        <v>1</v>
      </c>
      <c r="N15" s="143" t="n">
        <v>1</v>
      </c>
      <c r="O15" s="144" t="n">
        <v>0.58</v>
      </c>
      <c r="P15" s="143" t="n">
        <v>0.8285714285714285</v>
      </c>
      <c r="Q15" s="142" t="n">
        <v>1</v>
      </c>
      <c r="R15" s="143" t="n">
        <v>1</v>
      </c>
      <c r="S15" s="142" t="n">
        <v>2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07" t="n">
        <v>46357</v>
      </c>
      <c r="C16" s="150" t="n">
        <v>0</v>
      </c>
      <c r="D16" s="140" t="n"/>
      <c r="E16" s="115" t="n"/>
      <c r="F16" s="115" t="n"/>
      <c r="G16" s="163">
        <f>IF(D16="","",D16-C16)</f>
        <v/>
      </c>
      <c r="H16" s="101">
        <f>IF(D16="","",IF(D16&gt;=C16,"En meta",IF(D16&gt;=C16-10000,"Riesgo","Atrasado")))</f>
        <v/>
      </c>
      <c r="I16" s="144" t="n"/>
      <c r="J16" s="148">
        <f>IF(I16="","",IF($I$9="","",IF($I$9=0,"",I16/$I$9)))</f>
        <v/>
      </c>
      <c r="K16" s="142" t="n"/>
      <c r="L16" s="148">
        <f>IF(K16="","",IF($K$9="","",IF($K$9=0,"",K16/$K$9)))</f>
        <v/>
      </c>
      <c r="M16" s="142" t="n"/>
      <c r="N16" s="148">
        <f>IF(M16="","",IF($M$9="","",IF($M$9=0,"",M16/$M$9)))</f>
        <v/>
      </c>
      <c r="O16" s="144" t="n"/>
      <c r="P16" s="148">
        <f>IF(O16="","",IF($O$9="","",IF($O$9=0,"",O16/$O$9)))</f>
        <v/>
      </c>
      <c r="Q16" s="142" t="n"/>
      <c r="R16" s="148">
        <f>IF(Q16="","",IF($Q$9="","",IF($Q$9=0,"",Q16/$Q$9)))</f>
        <v/>
      </c>
      <c r="S16" s="142" t="n"/>
      <c r="T16" s="148">
        <f>IF(S16="","",IF($S$9="","",IF($S$9=0,"",S16/$S$9)))</f>
        <v/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06" t="n">
        <v>46388</v>
      </c>
      <c r="C17" s="149" t="n">
        <v>0</v>
      </c>
      <c r="D17" s="140" t="n"/>
      <c r="E17" s="92" t="n"/>
      <c r="F17" s="92" t="n"/>
      <c r="G17" s="162">
        <f>IF(D17="","",D17-C17)</f>
        <v/>
      </c>
      <c r="H17" s="100">
        <f>IF(D17="","",IF(D17&gt;=C17,"En meta",IF(D17&gt;=C17-10000,"Riesgo","Atrasado")))</f>
        <v/>
      </c>
      <c r="I17" s="144" t="n"/>
      <c r="J17" s="143">
        <f>IF(I17="","",IF($I$9="","",IF($I$9=0,"",I17/$I$9)))</f>
        <v/>
      </c>
      <c r="K17" s="142" t="n"/>
      <c r="L17" s="143">
        <f>IF(K17="","",IF($K$9="","",IF($K$9=0,"",K17/$K$9)))</f>
        <v/>
      </c>
      <c r="M17" s="142" t="n"/>
      <c r="N17" s="143">
        <f>IF(M17="","",IF($M$9="","",IF($M$9=0,"",M17/$M$9)))</f>
        <v/>
      </c>
      <c r="O17" s="144" t="n"/>
      <c r="P17" s="143">
        <f>IF(O17="","",IF($O$9="","",IF($O$9=0,"",O17/$O$9)))</f>
        <v/>
      </c>
      <c r="Q17" s="142" t="n"/>
      <c r="R17" s="143">
        <f>IF(Q17="","",IF($Q$9="","",IF($Q$9=0,"",Q17/$Q$9)))</f>
        <v/>
      </c>
      <c r="S17" s="142" t="n"/>
      <c r="T17" s="143">
        <f>IF(S17="","",IF($S$9="","",IF($S$9=0,"",S17/$S$9)))</f>
        <v/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07" t="n">
        <v>46419</v>
      </c>
      <c r="C18" s="150" t="n">
        <v>0</v>
      </c>
      <c r="D18" s="140" t="n"/>
      <c r="E18" s="115" t="n"/>
      <c r="F18" s="115" t="n"/>
      <c r="G18" s="163">
        <f>IF(D18="","",D18-C18)</f>
        <v/>
      </c>
      <c r="H18" s="101">
        <f>IF(D18="","",IF(D18&gt;=C18,"En meta",IF(D18&gt;=C18-10000,"Riesgo","Atrasado")))</f>
        <v/>
      </c>
      <c r="I18" s="144" t="n"/>
      <c r="J18" s="148">
        <f>IF(I18="","",IF($I$9="","",IF($I$9=0,"",I18/$I$9)))</f>
        <v/>
      </c>
      <c r="K18" s="142" t="n"/>
      <c r="L18" s="148">
        <f>IF(K18="","",IF($K$9="","",IF($K$9=0,"",K18/$K$9)))</f>
        <v/>
      </c>
      <c r="M18" s="142" t="n"/>
      <c r="N18" s="148">
        <f>IF(M18="","",IF($M$9="","",IF($M$9=0,"",M18/$M$9)))</f>
        <v/>
      </c>
      <c r="O18" s="144" t="n"/>
      <c r="P18" s="148">
        <f>IF(O18="","",IF($O$9="","",IF($O$9=0,"",O18/$O$9)))</f>
        <v/>
      </c>
      <c r="Q18" s="142" t="n"/>
      <c r="R18" s="148">
        <f>IF(Q18="","",IF($Q$9="","",IF($Q$9=0,"",Q18/$Q$9)))</f>
        <v/>
      </c>
      <c r="S18" s="142" t="n"/>
      <c r="T18" s="148">
        <f>IF(S18="","",IF($S$9="","",IF($S$9=0,"",S18/$S$9)))</f>
        <v/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06" t="n">
        <v>46447</v>
      </c>
      <c r="C19" s="149" t="n">
        <v>0</v>
      </c>
      <c r="D19" s="140" t="n"/>
      <c r="E19" s="92" t="n"/>
      <c r="F19" s="92" t="n"/>
      <c r="G19" s="162">
        <f>IF(D19="","",D19-C19)</f>
        <v/>
      </c>
      <c r="H19" s="100">
        <f>IF(D19="","",IF(D19&gt;=C19,"En meta",IF(D19&gt;=C19-10000,"Riesgo","Atrasado")))</f>
        <v/>
      </c>
      <c r="I19" s="144" t="n"/>
      <c r="J19" s="143">
        <f>IF(I19="","",IF($I$9="","",IF($I$9=0,"",I19/$I$9)))</f>
        <v/>
      </c>
      <c r="K19" s="142" t="n"/>
      <c r="L19" s="143">
        <f>IF(K19="","",IF($K$9="","",IF($K$9=0,"",K19/$K$9)))</f>
        <v/>
      </c>
      <c r="M19" s="142" t="n"/>
      <c r="N19" s="143">
        <f>IF(M19="","",IF($M$9="","",IF($M$9=0,"",M19/$M$9)))</f>
        <v/>
      </c>
      <c r="O19" s="144" t="n"/>
      <c r="P19" s="143">
        <f>IF(O19="","",IF($O$9="","",IF($O$9=0,"",O19/$O$9)))</f>
        <v/>
      </c>
      <c r="Q19" s="142" t="n"/>
      <c r="R19" s="143">
        <f>IF(Q19="","",IF($Q$9="","",IF($Q$9=0,"",Q19/$Q$9)))</f>
        <v/>
      </c>
      <c r="S19" s="142" t="n"/>
      <c r="T19" s="143">
        <f>IF(S19="","",IF($S$9="","",IF($S$9=0,"",S19/$S$9)))</f>
        <v/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07" t="n">
        <v>46478</v>
      </c>
      <c r="C20" s="150" t="n">
        <v>0</v>
      </c>
      <c r="D20" s="140" t="n"/>
      <c r="E20" s="115" t="n"/>
      <c r="F20" s="115" t="n"/>
      <c r="G20" s="163">
        <f>IF(D20="","",D20-C20)</f>
        <v/>
      </c>
      <c r="H20" s="101">
        <f>IF(D20="","",IF(D20&gt;=C20,"En meta",IF(D20&gt;=C20-10000,"Riesgo","Atrasado")))</f>
        <v/>
      </c>
      <c r="I20" s="144" t="n"/>
      <c r="J20" s="148">
        <f>IF(I20="","",IF($I$9="","",IF($I$9=0,"",I20/$I$9)))</f>
        <v/>
      </c>
      <c r="K20" s="142" t="n"/>
      <c r="L20" s="148">
        <f>IF(K20="","",IF($K$9="","",IF($K$9=0,"",K20/$K$9)))</f>
        <v/>
      </c>
      <c r="M20" s="142" t="n"/>
      <c r="N20" s="148">
        <f>IF(M20="","",IF($M$9="","",IF($M$9=0,"",M20/$M$9)))</f>
        <v/>
      </c>
      <c r="O20" s="144" t="n"/>
      <c r="P20" s="148">
        <f>IF(O20="","",IF($O$9="","",IF($O$9=0,"",O20/$O$9)))</f>
        <v/>
      </c>
      <c r="Q20" s="142" t="n"/>
      <c r="R20" s="148">
        <f>IF(Q20="","",IF($Q$9="","",IF($Q$9=0,"",Q20/$Q$9)))</f>
        <v/>
      </c>
      <c r="S20" s="142" t="n"/>
      <c r="T20" s="148">
        <f>IF(S20="","",IF($S$9="","",IF($S$9=0,"",S20/$S$9)))</f>
        <v/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06" t="n">
        <v>46508</v>
      </c>
      <c r="C21" s="149" t="n">
        <v>0</v>
      </c>
      <c r="D21" s="140" t="n"/>
      <c r="E21" s="92" t="n"/>
      <c r="F21" s="92" t="n"/>
      <c r="G21" s="162">
        <f>IF(D21="","",D21-C21)</f>
        <v/>
      </c>
      <c r="H21" s="100">
        <f>IF(D21="","",IF(D21&gt;=C21,"En meta",IF(D21&gt;=C21-10000,"Riesgo","Atrasado")))</f>
        <v/>
      </c>
      <c r="I21" s="144" t="n"/>
      <c r="J21" s="143">
        <f>IF(I21="","",IF($I$9="","",IF($I$9=0,"",I21/$I$9)))</f>
        <v/>
      </c>
      <c r="K21" s="142" t="n"/>
      <c r="L21" s="143">
        <f>IF(K21="","",IF($K$9="","",IF($K$9=0,"",K21/$K$9)))</f>
        <v/>
      </c>
      <c r="M21" s="142" t="n"/>
      <c r="N21" s="143">
        <f>IF(M21="","",IF($M$9="","",IF($M$9=0,"",M21/$M$9)))</f>
        <v/>
      </c>
      <c r="O21" s="144" t="n"/>
      <c r="P21" s="143">
        <f>IF(O21="","",IF($O$9="","",IF($O$9=0,"",O21/$O$9)))</f>
        <v/>
      </c>
      <c r="Q21" s="142" t="n"/>
      <c r="R21" s="143">
        <f>IF(Q21="","",IF($Q$9="","",IF($Q$9=0,"",Q21/$Q$9)))</f>
        <v/>
      </c>
      <c r="S21" s="142" t="n"/>
      <c r="T21" s="143">
        <f>IF(S21="","",IF($S$9="","",IF($S$9=0,"",S21/$S$9)))</f>
        <v/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07" t="n">
        <v>46539</v>
      </c>
      <c r="C22" s="150" t="n">
        <v>0</v>
      </c>
      <c r="D22" s="140" t="n"/>
      <c r="E22" s="115" t="n"/>
      <c r="F22" s="115" t="n"/>
      <c r="G22" s="163">
        <f>IF(D22="","",D22-C22)</f>
        <v/>
      </c>
      <c r="H22" s="101">
        <f>IF(D22="","",IF(D22&gt;=C22,"En meta",IF(D22&gt;=C22-10000,"Riesgo","Atrasado")))</f>
        <v/>
      </c>
      <c r="I22" s="144" t="n"/>
      <c r="J22" s="148">
        <f>IF(I22="","",IF($I$9="","",IF($I$9=0,"",I22/$I$9)))</f>
        <v/>
      </c>
      <c r="K22" s="142" t="n"/>
      <c r="L22" s="148">
        <f>IF(K22="","",IF($K$9="","",IF($K$9=0,"",K22/$K$9)))</f>
        <v/>
      </c>
      <c r="M22" s="142" t="n"/>
      <c r="N22" s="148">
        <f>IF(M22="","",IF($M$9="","",IF($M$9=0,"",M22/$M$9)))</f>
        <v/>
      </c>
      <c r="O22" s="144" t="n"/>
      <c r="P22" s="148">
        <f>IF(O22="","",IF($O$9="","",IF($O$9=0,"",O22/$O$9)))</f>
        <v/>
      </c>
      <c r="Q22" s="142" t="n"/>
      <c r="R22" s="148">
        <f>IF(Q22="","",IF($Q$9="","",IF($Q$9=0,"",Q22/$Q$9)))</f>
        <v/>
      </c>
      <c r="S22" s="142" t="n"/>
      <c r="T22" s="148">
        <f>IF(S22="","",IF($S$9="","",IF($S$9=0,"",S22/$S$9)))</f>
        <v/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06" t="n">
        <v>46569</v>
      </c>
      <c r="C23" s="149" t="n">
        <v>0</v>
      </c>
      <c r="D23" s="140" t="n"/>
      <c r="E23" s="92" t="n"/>
      <c r="F23" s="92" t="n"/>
      <c r="G23" s="162">
        <f>IF(D23="","",D23-C23)</f>
        <v/>
      </c>
      <c r="H23" s="100">
        <f>IF(D23="","",IF(D23&gt;=C23,"En meta",IF(D23&gt;=C23-10000,"Riesgo","Atrasado")))</f>
        <v/>
      </c>
      <c r="I23" s="144" t="n"/>
      <c r="J23" s="143">
        <f>IF(I23="","",IF($I$9="","",IF($I$9=0,"",I23/$I$9)))</f>
        <v/>
      </c>
      <c r="K23" s="142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4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2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07" t="n">
        <v>46600</v>
      </c>
      <c r="C24" s="150" t="n">
        <v>0</v>
      </c>
      <c r="D24" s="140" t="n"/>
      <c r="E24" s="115" t="n"/>
      <c r="F24" s="115" t="n"/>
      <c r="G24" s="163">
        <f>IF(D24="","",D24-C24)</f>
        <v/>
      </c>
      <c r="H24" s="101">
        <f>IF(D24="","",IF(D24&gt;=C24,"En meta",IF(D24&gt;=C24-10000,"Riesgo","Atrasado")))</f>
        <v/>
      </c>
      <c r="I24" s="144" t="n"/>
      <c r="J24" s="148">
        <f>IF(I24="","",IF($I$9="","",IF($I$9=0,"",I24/$I$9)))</f>
        <v/>
      </c>
      <c r="K24" s="142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4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2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06" t="n">
        <v>46631</v>
      </c>
      <c r="C25" s="149" t="n">
        <v>0</v>
      </c>
      <c r="D25" s="140" t="n"/>
      <c r="E25" s="92" t="n"/>
      <c r="F25" s="92" t="n"/>
      <c r="G25" s="162">
        <f>IF(D25="","",D25-C25)</f>
        <v/>
      </c>
      <c r="H25" s="100">
        <f>IF(D25="","",IF(D25&gt;=C25,"En meta",IF(D25&gt;=C25-10000,"Riesgo","Atrasado")))</f>
        <v/>
      </c>
      <c r="I25" s="144" t="n"/>
      <c r="J25" s="143">
        <f>IF(I25="","",IF($I$9="","",IF($I$9=0,"",I25/$I$9)))</f>
        <v/>
      </c>
      <c r="K25" s="142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4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2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07" t="n">
        <v>46661</v>
      </c>
      <c r="C26" s="150" t="n">
        <v>0</v>
      </c>
      <c r="D26" s="140" t="n"/>
      <c r="E26" s="115" t="n"/>
      <c r="F26" s="115" t="n"/>
      <c r="G26" s="163">
        <f>IF(D26="","",D26-C26)</f>
        <v/>
      </c>
      <c r="H26" s="101">
        <f>IF(D26="","",IF(D26&gt;=C26,"En meta",IF(D26&gt;=C26-10000,"Riesgo","Atrasado")))</f>
        <v/>
      </c>
      <c r="I26" s="144" t="n"/>
      <c r="J26" s="148">
        <f>IF(I26="","",IF($I$9="","",IF($I$9=0,"",I26/$I$9)))</f>
        <v/>
      </c>
      <c r="K26" s="142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4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2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06" t="n">
        <v>46692</v>
      </c>
      <c r="C27" s="149" t="n">
        <v>0</v>
      </c>
      <c r="D27" s="140" t="n"/>
      <c r="E27" s="92" t="n"/>
      <c r="F27" s="92" t="n"/>
      <c r="G27" s="162">
        <f>IF(D27="","",D27-C27)</f>
        <v/>
      </c>
      <c r="H27" s="100">
        <f>IF(D27="","",IF(D27&gt;=C27,"En meta",IF(D27&gt;=C27-10000,"Riesgo","Atrasado")))</f>
        <v/>
      </c>
      <c r="I27" s="144" t="n"/>
      <c r="J27" s="143">
        <f>IF(I27="","",IF($I$9="","",IF($I$9=0,"",I27/$I$9)))</f>
        <v/>
      </c>
      <c r="K27" s="142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4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2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07" t="n">
        <v>46722</v>
      </c>
      <c r="C28" s="150" t="n">
        <v>0</v>
      </c>
      <c r="D28" s="140" t="n"/>
      <c r="E28" s="115" t="n"/>
      <c r="F28" s="115" t="n"/>
      <c r="G28" s="163">
        <f>IF(D28="","",D28-C28)</f>
        <v/>
      </c>
      <c r="H28" s="101">
        <f>IF(D28="","",IF(D28&gt;=C28,"En meta",IF(D28&gt;=C28-10000,"Riesgo","Atrasado")))</f>
        <v/>
      </c>
      <c r="I28" s="144" t="n"/>
      <c r="J28" s="148">
        <f>IF(I28="","",IF($I$9="","",IF($I$9=0,"",I28/$I$9)))</f>
        <v/>
      </c>
      <c r="K28" s="142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4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2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28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X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5" customWidth="1" style="86" min="1" max="1"/>
    <col width="11" customWidth="1" style="86" min="2" max="2"/>
    <col width="12" customWidth="1" style="86" min="3" max="3"/>
    <col width="11" customWidth="1" style="86" min="4" max="4"/>
    <col width="12" customWidth="1" style="86" min="5" max="6"/>
    <col width="13" customWidth="1" style="86" min="7" max="7"/>
    <col width="11" customWidth="1" style="86" min="8" max="9"/>
    <col width="7" customWidth="1" style="86" min="10" max="10"/>
    <col width="11" customWidth="1" style="86" min="11" max="11"/>
    <col width="7" customWidth="1" style="86" min="12" max="12"/>
    <col width="11" customWidth="1" style="86" min="13" max="13"/>
    <col width="7" customWidth="1" style="86" min="14" max="14"/>
    <col width="11" customWidth="1" style="86" min="15" max="15"/>
    <col width="7" customWidth="1" style="86" min="16" max="16"/>
    <col width="11" customWidth="1" style="86" min="17" max="17"/>
    <col width="7" customWidth="1" style="86" min="18" max="18"/>
    <col width="11" customWidth="1" style="86" min="19" max="19"/>
    <col width="7" customWidth="1" style="86" min="20" max="20"/>
    <col width="11" customWidth="1" style="86" min="21" max="21"/>
    <col width="7" customWidth="1" style="86" min="22" max="22"/>
    <col width="11" customWidth="1" style="86" min="23" max="23"/>
    <col width="7" customWidth="1" style="86" min="24" max="24"/>
  </cols>
  <sheetData>
    <row r="1" ht="17.35" customHeight="1" s="87">
      <c r="A1" s="126" t="inlineStr">
        <is>
          <t>WIG 12 — Subir la utilización facturable de ingenieros locales de 42% a 48%+</t>
        </is>
      </c>
    </row>
    <row r="2" ht="15" customHeight="1" s="87">
      <c r="A2" s="104" t="inlineStr">
        <is>
          <t>Indicador lag:</t>
        </is>
      </c>
      <c r="B2" s="127" t="inlineStr">
        <is>
          <t>% de horas facturables sobre horas disponibles de los ingenieros locales (mes). Costo ya fijo = margen directo.</t>
        </is>
      </c>
    </row>
    <row r="3" ht="15" customHeight="1" s="87">
      <c r="A3" s="104" t="inlineStr">
        <is>
          <t>De X a Y:</t>
        </is>
      </c>
      <c r="B3" s="127" t="inlineStr">
        <is>
          <t>De 42% a ≥48% de utilización facturable, sostenido, antes de dic 2027.</t>
        </is>
      </c>
    </row>
    <row r="4" ht="15" customHeight="1" s="87">
      <c r="A4" s="104" t="inlineStr">
        <is>
          <t>Dueño:</t>
        </is>
      </c>
      <c r="B4" s="128" t="inlineStr">
        <is>
          <t>A. Vargas</t>
        </is>
      </c>
      <c r="D4" s="104" t="inlineStr">
        <is>
          <t>Equipo:</t>
        </is>
      </c>
      <c r="E4" s="127" t="inlineStr">
        <is>
          <t>Del - TSS, Del - DC, Customer Success, Pre-Sales</t>
        </is>
      </c>
    </row>
    <row r="5" ht="15" customHeight="1" s="87">
      <c r="A5" s="104" t="inlineStr">
        <is>
          <t>Meta:</t>
        </is>
      </c>
      <c r="B5" s="151" t="n">
        <v>0.48</v>
      </c>
      <c r="D5" s="104" t="inlineStr">
        <is>
          <t>Inicio:</t>
        </is>
      </c>
      <c r="E5" s="130" t="n">
        <v>46204</v>
      </c>
      <c r="G5" s="104" t="inlineStr">
        <is>
          <t>Fin:</t>
        </is>
      </c>
      <c r="H5" s="130" t="n">
        <v>46722</v>
      </c>
    </row>
    <row r="6" ht="15" customHeight="1" s="87">
      <c r="A6" s="104" t="inlineStr">
        <is>
          <t>Leads:</t>
        </is>
      </c>
      <c r="B6" s="127" t="inlineStr">
        <is>
          <t>Hasta 8 indicadores predictivos a la derecha. L1–L2 = apuesta principal del equipo; L3–L8 = indicadores de apoyo. Nombre (fila 8) y meta mensual (fila 9) editables en azul.</t>
        </is>
      </c>
    </row>
    <row r="8" ht="42" customHeight="1" s="87">
      <c r="A8" s="104" t="inlineStr">
        <is>
          <t>Periodos:</t>
        </is>
      </c>
      <c r="B8" s="131">
        <f>COUNT(A11:A28)</f>
        <v/>
      </c>
      <c r="H8" s="132" t="inlineStr">
        <is>
          <t>Lead →</t>
        </is>
      </c>
      <c r="I8" s="133" t="inlineStr">
        <is>
          <t>L1. Horas facturables registradas en el mes vs. meta</t>
        </is>
      </c>
      <c r="J8" s="134" t="n"/>
      <c r="K8" s="133" t="inlineStr">
        <is>
          <t>L2. % de timesheets completos y a tiempo</t>
        </is>
      </c>
      <c r="L8" s="134" t="n"/>
      <c r="M8" s="133" t="inlineStr">
        <is>
          <t>L3. Horas advisory/billable vendidas en el mes</t>
        </is>
      </c>
      <c r="N8" s="134" t="n"/>
      <c r="O8" s="133" t="inlineStr">
        <is>
          <t>L4. Ingenieros con utilización &lt; 40% con plan de acción</t>
        </is>
      </c>
      <c r="P8" s="134" t="n"/>
      <c r="Q8" s="133" t="inlineStr">
        <is>
          <t>L5. Proyectos con staffing confirmado 2 semanas antes</t>
        </is>
      </c>
      <c r="R8" s="134" t="n"/>
      <c r="S8" s="133" t="inlineStr">
        <is>
          <t>L6. % de horas no facturables justificadas/categorizadas</t>
        </is>
      </c>
      <c r="T8" s="134" t="n"/>
      <c r="U8" s="133" t="inlineStr">
        <is>
          <t>(Disponible)</t>
        </is>
      </c>
      <c r="V8" s="134" t="n"/>
      <c r="W8" s="133" t="inlineStr">
        <is>
          <t>(Disponible)</t>
        </is>
      </c>
      <c r="X8" s="134" t="n"/>
    </row>
    <row r="9" ht="15" customHeight="1" s="87">
      <c r="A9" s="98" t="inlineStr">
        <is>
          <t>Celdas azules = se digitan cada lunes. Celdas negras = fórmulas, no tocar.</t>
        </is>
      </c>
      <c r="H9" s="132" t="inlineStr">
        <is>
          <t>Meta →</t>
        </is>
      </c>
      <c r="I9" s="136" t="n">
        <v>1</v>
      </c>
      <c r="J9" s="134" t="n"/>
      <c r="K9" s="136" t="n">
        <v>1</v>
      </c>
      <c r="L9" s="134" t="n"/>
      <c r="M9" s="135" t="n">
        <v>40</v>
      </c>
      <c r="N9" s="134" t="n"/>
      <c r="O9" s="135" t="n">
        <v>1</v>
      </c>
      <c r="P9" s="134" t="n"/>
      <c r="Q9" s="135" t="n">
        <v>3</v>
      </c>
      <c r="R9" s="134" t="n"/>
      <c r="S9" s="136" t="n">
        <v>1</v>
      </c>
      <c r="T9" s="134" t="n"/>
      <c r="U9" s="135" t="n"/>
      <c r="V9" s="134" t="n"/>
      <c r="W9" s="135" t="n"/>
      <c r="X9" s="134" t="n"/>
    </row>
    <row r="10" ht="15" customHeight="1" s="87">
      <c r="A10" s="91" t="inlineStr">
        <is>
          <t>#</t>
        </is>
      </c>
      <c r="B10" s="91" t="inlineStr">
        <is>
          <t>Mes</t>
        </is>
      </c>
      <c r="C10" s="91" t="inlineStr">
        <is>
          <t>Meta</t>
        </is>
      </c>
      <c r="D10" s="91" t="inlineStr">
        <is>
          <t>Real</t>
        </is>
      </c>
      <c r="E10" s="91" t="n"/>
      <c r="F10" s="91" t="n"/>
      <c r="G10" s="91" t="inlineStr">
        <is>
          <t>Brecha vs meta</t>
        </is>
      </c>
      <c r="H10" s="91" t="inlineStr">
        <is>
          <t>Estado</t>
        </is>
      </c>
      <c r="I10" s="137" t="inlineStr">
        <is>
          <t>Real</t>
        </is>
      </c>
      <c r="J10" s="137" t="inlineStr">
        <is>
          <t>%</t>
        </is>
      </c>
      <c r="K10" s="137" t="inlineStr">
        <is>
          <t>Real</t>
        </is>
      </c>
      <c r="L10" s="137" t="inlineStr">
        <is>
          <t>%</t>
        </is>
      </c>
      <c r="M10" s="137" t="inlineStr">
        <is>
          <t>Real</t>
        </is>
      </c>
      <c r="N10" s="137" t="inlineStr">
        <is>
          <t>%</t>
        </is>
      </c>
      <c r="O10" s="137" t="inlineStr">
        <is>
          <t>Real</t>
        </is>
      </c>
      <c r="P10" s="137" t="inlineStr">
        <is>
          <t>%</t>
        </is>
      </c>
      <c r="Q10" s="137" t="inlineStr">
        <is>
          <t>Real</t>
        </is>
      </c>
      <c r="R10" s="137" t="inlineStr">
        <is>
          <t>%</t>
        </is>
      </c>
      <c r="S10" s="137" t="inlineStr">
        <is>
          <t>Real</t>
        </is>
      </c>
      <c r="T10" s="137" t="inlineStr">
        <is>
          <t>%</t>
        </is>
      </c>
      <c r="U10" s="137" t="inlineStr">
        <is>
          <t>Real</t>
        </is>
      </c>
      <c r="V10" s="137" t="inlineStr">
        <is>
          <t>%</t>
        </is>
      </c>
      <c r="W10" s="137" t="inlineStr">
        <is>
          <t>Real</t>
        </is>
      </c>
      <c r="X10" s="137" t="inlineStr">
        <is>
          <t>%</t>
        </is>
      </c>
    </row>
    <row r="11" ht="15" customHeight="1" s="87">
      <c r="A11" s="92" t="n">
        <v>1</v>
      </c>
      <c r="B11" s="106" t="n">
        <v>46204</v>
      </c>
      <c r="C11" s="152" t="n">
        <v>0.48</v>
      </c>
      <c r="D11" s="140" t="n">
        <v>0.42</v>
      </c>
      <c r="E11" s="92" t="n"/>
      <c r="F11" s="92" t="n"/>
      <c r="G11" s="141" t="n">
        <v>-0.06</v>
      </c>
      <c r="H11" s="100" t="inlineStr">
        <is>
          <t>Atrasado</t>
        </is>
      </c>
      <c r="I11" s="144" t="n">
        <v>1</v>
      </c>
      <c r="J11" s="143" t="n">
        <v>1</v>
      </c>
      <c r="K11" s="144" t="n">
        <v>1</v>
      </c>
      <c r="L11" s="143" t="n">
        <v>1</v>
      </c>
      <c r="M11" s="142" t="n">
        <v>35</v>
      </c>
      <c r="N11" s="143" t="n">
        <v>0.875</v>
      </c>
      <c r="O11" s="142" t="n">
        <v>1</v>
      </c>
      <c r="P11" s="143" t="n">
        <v>1</v>
      </c>
      <c r="Q11" s="142" t="n">
        <v>3</v>
      </c>
      <c r="R11" s="143" t="n">
        <v>1</v>
      </c>
      <c r="S11" s="144" t="n">
        <v>1</v>
      </c>
      <c r="T11" s="143" t="n">
        <v>1</v>
      </c>
      <c r="U11" s="142" t="n"/>
      <c r="V11" s="143">
        <f>IF(U11="","",IF($U$9="","",IF($U$9=0,"",U11/$U$9)))</f>
        <v/>
      </c>
      <c r="W11" s="142" t="n"/>
      <c r="X11" s="143">
        <f>IF(W11="","",IF($W$9="","",IF($W$9=0,"",W11/$W$9)))</f>
        <v/>
      </c>
    </row>
    <row r="12" ht="15" customHeight="1" s="87">
      <c r="A12" s="115" t="n">
        <v>2</v>
      </c>
      <c r="B12" s="107" t="n">
        <v>46235</v>
      </c>
      <c r="C12" s="153" t="n">
        <v>0.48</v>
      </c>
      <c r="D12" s="140" t="n">
        <v>0.435</v>
      </c>
      <c r="E12" s="115" t="n"/>
      <c r="F12" s="115" t="n"/>
      <c r="G12" s="147" t="n">
        <v>-0.04499999999999998</v>
      </c>
      <c r="H12" s="101" t="inlineStr">
        <is>
          <t>Atrasado</t>
        </is>
      </c>
      <c r="I12" s="144" t="n">
        <v>1</v>
      </c>
      <c r="J12" s="148" t="n">
        <v>1</v>
      </c>
      <c r="K12" s="144" t="n">
        <v>1</v>
      </c>
      <c r="L12" s="148" t="n">
        <v>1</v>
      </c>
      <c r="M12" s="142" t="n">
        <v>34</v>
      </c>
      <c r="N12" s="148" t="n">
        <v>0.85</v>
      </c>
      <c r="O12" s="142" t="n">
        <v>1</v>
      </c>
      <c r="P12" s="148" t="n">
        <v>1</v>
      </c>
      <c r="Q12" s="142" t="n">
        <v>3</v>
      </c>
      <c r="R12" s="148" t="n">
        <v>1</v>
      </c>
      <c r="S12" s="144" t="n">
        <v>1</v>
      </c>
      <c r="T12" s="148" t="n">
        <v>1</v>
      </c>
      <c r="U12" s="142" t="n"/>
      <c r="V12" s="148">
        <f>IF(U12="","",IF($U$9="","",IF($U$9=0,"",U12/$U$9)))</f>
        <v/>
      </c>
      <c r="W12" s="142" t="n"/>
      <c r="X12" s="148">
        <f>IF(W12="","",IF($W$9="","",IF($W$9=0,"",W12/$W$9)))</f>
        <v/>
      </c>
    </row>
    <row r="13" ht="15" customHeight="1" s="87">
      <c r="A13" s="92" t="n">
        <v>3</v>
      </c>
      <c r="B13" s="106" t="n">
        <v>46266</v>
      </c>
      <c r="C13" s="152" t="n">
        <v>0.48</v>
      </c>
      <c r="D13" s="140" t="n">
        <v>0.45</v>
      </c>
      <c r="E13" s="92" t="n"/>
      <c r="F13" s="92" t="n"/>
      <c r="G13" s="141" t="n">
        <v>-0.02999999999999997</v>
      </c>
      <c r="H13" s="100" t="inlineStr">
        <is>
          <t>Atrasado</t>
        </is>
      </c>
      <c r="I13" s="144" t="n">
        <v>1</v>
      </c>
      <c r="J13" s="143" t="n">
        <v>1</v>
      </c>
      <c r="K13" s="144" t="n">
        <v>1</v>
      </c>
      <c r="L13" s="143" t="n">
        <v>1</v>
      </c>
      <c r="M13" s="142" t="n">
        <v>43</v>
      </c>
      <c r="N13" s="143" t="n">
        <v>1.075</v>
      </c>
      <c r="O13" s="142" t="n">
        <v>1</v>
      </c>
      <c r="P13" s="143" t="n">
        <v>1</v>
      </c>
      <c r="Q13" s="142" t="n">
        <v>3</v>
      </c>
      <c r="R13" s="143" t="n">
        <v>1</v>
      </c>
      <c r="S13" s="144" t="n">
        <v>1</v>
      </c>
      <c r="T13" s="143" t="n">
        <v>1</v>
      </c>
      <c r="U13" s="142" t="n"/>
      <c r="V13" s="143">
        <f>IF(U13="","",IF($U$9="","",IF($U$9=0,"",U13/$U$9)))</f>
        <v/>
      </c>
      <c r="W13" s="142" t="n"/>
      <c r="X13" s="143">
        <f>IF(W13="","",IF($W$9="","",IF($W$9=0,"",W13/$W$9)))</f>
        <v/>
      </c>
    </row>
    <row r="14" ht="15" customHeight="1" s="87">
      <c r="A14" s="115" t="n">
        <v>4</v>
      </c>
      <c r="B14" s="107" t="n">
        <v>46296</v>
      </c>
      <c r="C14" s="153" t="n">
        <v>0.48</v>
      </c>
      <c r="D14" s="140" t="n">
        <v>0.46</v>
      </c>
      <c r="E14" s="115" t="n"/>
      <c r="F14" s="115" t="n"/>
      <c r="G14" s="147" t="n">
        <v>-0.01999999999999996</v>
      </c>
      <c r="H14" s="101" t="inlineStr">
        <is>
          <t>Riesgo</t>
        </is>
      </c>
      <c r="I14" s="144" t="n">
        <v>1</v>
      </c>
      <c r="J14" s="148" t="n">
        <v>1</v>
      </c>
      <c r="K14" s="144" t="n">
        <v>1</v>
      </c>
      <c r="L14" s="148" t="n">
        <v>1</v>
      </c>
      <c r="M14" s="142" t="n">
        <v>51</v>
      </c>
      <c r="N14" s="148" t="n">
        <v>1.275</v>
      </c>
      <c r="O14" s="142" t="n">
        <v>1</v>
      </c>
      <c r="P14" s="148" t="n">
        <v>1</v>
      </c>
      <c r="Q14" s="142" t="n">
        <v>3</v>
      </c>
      <c r="R14" s="148" t="n">
        <v>1</v>
      </c>
      <c r="S14" s="144" t="n">
        <v>1</v>
      </c>
      <c r="T14" s="148" t="n">
        <v>1</v>
      </c>
      <c r="U14" s="142" t="n"/>
      <c r="V14" s="148">
        <f>IF(U14="","",IF($U$9="","",IF($U$9=0,"",U14/$U$9)))</f>
        <v/>
      </c>
      <c r="W14" s="142" t="n"/>
      <c r="X14" s="148">
        <f>IF(W14="","",IF($W$9="","",IF($W$9=0,"",W14/$W$9)))</f>
        <v/>
      </c>
    </row>
    <row r="15" ht="15" customHeight="1" s="87">
      <c r="A15" s="92" t="n">
        <v>5</v>
      </c>
      <c r="B15" s="106" t="n">
        <v>46327</v>
      </c>
      <c r="C15" s="152" t="n">
        <v>0.48</v>
      </c>
      <c r="D15" s="140" t="n">
        <v>0.47</v>
      </c>
      <c r="E15" s="92" t="n"/>
      <c r="F15" s="92" t="n"/>
      <c r="G15" s="141" t="n">
        <v>-0.01000000000000001</v>
      </c>
      <c r="H15" s="100" t="inlineStr">
        <is>
          <t>Riesgo</t>
        </is>
      </c>
      <c r="I15" s="144" t="n">
        <v>1</v>
      </c>
      <c r="J15" s="143" t="n">
        <v>1</v>
      </c>
      <c r="K15" s="144" t="n">
        <v>1</v>
      </c>
      <c r="L15" s="143" t="n">
        <v>1</v>
      </c>
      <c r="M15" s="142" t="n">
        <v>31</v>
      </c>
      <c r="N15" s="143" t="n">
        <v>0.775</v>
      </c>
      <c r="O15" s="142" t="n">
        <v>1</v>
      </c>
      <c r="P15" s="143" t="n">
        <v>1</v>
      </c>
      <c r="Q15" s="142" t="n">
        <v>3</v>
      </c>
      <c r="R15" s="143" t="n">
        <v>1</v>
      </c>
      <c r="S15" s="144" t="n">
        <v>1</v>
      </c>
      <c r="T15" s="143" t="n">
        <v>1</v>
      </c>
      <c r="U15" s="142" t="n"/>
      <c r="V15" s="143">
        <f>IF(U15="","",IF($U$9="","",IF($U$9=0,"",U15/$U$9)))</f>
        <v/>
      </c>
      <c r="W15" s="142" t="n"/>
      <c r="X15" s="143">
        <f>IF(W15="","",IF($W$9="","",IF($W$9=0,"",W15/$W$9)))</f>
        <v/>
      </c>
    </row>
    <row r="16" ht="15" customHeight="1" s="87">
      <c r="A16" s="115" t="n">
        <v>6</v>
      </c>
      <c r="B16" s="107" t="n">
        <v>46357</v>
      </c>
      <c r="C16" s="153" t="n">
        <v>0.48</v>
      </c>
      <c r="D16" s="140" t="n"/>
      <c r="E16" s="115" t="n"/>
      <c r="F16" s="115" t="n"/>
      <c r="G16" s="147">
        <f>IF(D16="","",D16-C16)</f>
        <v/>
      </c>
      <c r="H16" s="101">
        <f>IF(D16="","",IF(D16&gt;=C16,"En meta",IF(D16&gt;=C16-0.03,"Riesgo","Atrasado")))</f>
        <v/>
      </c>
      <c r="I16" s="144" t="n"/>
      <c r="J16" s="148">
        <f>IF(I16="","",IF($I$9="","",IF($I$9=0,"",I16/$I$9)))</f>
        <v/>
      </c>
      <c r="K16" s="144" t="n"/>
      <c r="L16" s="148">
        <f>IF(K16="","",IF($K$9="","",IF($K$9=0,"",K16/$K$9)))</f>
        <v/>
      </c>
      <c r="M16" s="142" t="n"/>
      <c r="N16" s="148">
        <f>IF(M16="","",IF($M$9="","",IF($M$9=0,"",M16/$M$9)))</f>
        <v/>
      </c>
      <c r="O16" s="142" t="n"/>
      <c r="P16" s="148">
        <f>IF(O16="","",IF($O$9="","",IF($O$9=0,"",O16/$O$9)))</f>
        <v/>
      </c>
      <c r="Q16" s="142" t="n"/>
      <c r="R16" s="148">
        <f>IF(Q16="","",IF($Q$9="","",IF($Q$9=0,"",Q16/$Q$9)))</f>
        <v/>
      </c>
      <c r="S16" s="144" t="n"/>
      <c r="T16" s="148">
        <f>IF(S16="","",IF($S$9="","",IF($S$9=0,"",S16/$S$9)))</f>
        <v/>
      </c>
      <c r="U16" s="142" t="n"/>
      <c r="V16" s="148">
        <f>IF(U16="","",IF($U$9="","",IF($U$9=0,"",U16/$U$9)))</f>
        <v/>
      </c>
      <c r="W16" s="142" t="n"/>
      <c r="X16" s="148">
        <f>IF(W16="","",IF($W$9="","",IF($W$9=0,"",W16/$W$9)))</f>
        <v/>
      </c>
    </row>
    <row r="17" ht="15" customHeight="1" s="87">
      <c r="A17" s="92" t="n">
        <v>7</v>
      </c>
      <c r="B17" s="106" t="n">
        <v>46388</v>
      </c>
      <c r="C17" s="152" t="n">
        <v>0.48</v>
      </c>
      <c r="D17" s="140" t="n"/>
      <c r="E17" s="92" t="n"/>
      <c r="F17" s="92" t="n"/>
      <c r="G17" s="141">
        <f>IF(D17="","",D17-C17)</f>
        <v/>
      </c>
      <c r="H17" s="100">
        <f>IF(D17="","",IF(D17&gt;=C17,"En meta",IF(D17&gt;=C17-0.03,"Riesgo","Atrasado")))</f>
        <v/>
      </c>
      <c r="I17" s="144" t="n"/>
      <c r="J17" s="143">
        <f>IF(I17="","",IF($I$9="","",IF($I$9=0,"",I17/$I$9)))</f>
        <v/>
      </c>
      <c r="K17" s="144" t="n"/>
      <c r="L17" s="143">
        <f>IF(K17="","",IF($K$9="","",IF($K$9=0,"",K17/$K$9)))</f>
        <v/>
      </c>
      <c r="M17" s="142" t="n"/>
      <c r="N17" s="143">
        <f>IF(M17="","",IF($M$9="","",IF($M$9=0,"",M17/$M$9)))</f>
        <v/>
      </c>
      <c r="O17" s="142" t="n"/>
      <c r="P17" s="143">
        <f>IF(O17="","",IF($O$9="","",IF($O$9=0,"",O17/$O$9)))</f>
        <v/>
      </c>
      <c r="Q17" s="142" t="n"/>
      <c r="R17" s="143">
        <f>IF(Q17="","",IF($Q$9="","",IF($Q$9=0,"",Q17/$Q$9)))</f>
        <v/>
      </c>
      <c r="S17" s="144" t="n"/>
      <c r="T17" s="143">
        <f>IF(S17="","",IF($S$9="","",IF($S$9=0,"",S17/$S$9)))</f>
        <v/>
      </c>
      <c r="U17" s="142" t="n"/>
      <c r="V17" s="143">
        <f>IF(U17="","",IF($U$9="","",IF($U$9=0,"",U17/$U$9)))</f>
        <v/>
      </c>
      <c r="W17" s="142" t="n"/>
      <c r="X17" s="143">
        <f>IF(W17="","",IF($W$9="","",IF($W$9=0,"",W17/$W$9)))</f>
        <v/>
      </c>
    </row>
    <row r="18" ht="15" customHeight="1" s="87">
      <c r="A18" s="115" t="n">
        <v>8</v>
      </c>
      <c r="B18" s="107" t="n">
        <v>46419</v>
      </c>
      <c r="C18" s="153" t="n">
        <v>0.48</v>
      </c>
      <c r="D18" s="140" t="n"/>
      <c r="E18" s="115" t="n"/>
      <c r="F18" s="115" t="n"/>
      <c r="G18" s="147">
        <f>IF(D18="","",D18-C18)</f>
        <v/>
      </c>
      <c r="H18" s="101">
        <f>IF(D18="","",IF(D18&gt;=C18,"En meta",IF(D18&gt;=C18-0.03,"Riesgo","Atrasado")))</f>
        <v/>
      </c>
      <c r="I18" s="144" t="n"/>
      <c r="J18" s="148">
        <f>IF(I18="","",IF($I$9="","",IF($I$9=0,"",I18/$I$9)))</f>
        <v/>
      </c>
      <c r="K18" s="144" t="n"/>
      <c r="L18" s="148">
        <f>IF(K18="","",IF($K$9="","",IF($K$9=0,"",K18/$K$9)))</f>
        <v/>
      </c>
      <c r="M18" s="142" t="n"/>
      <c r="N18" s="148">
        <f>IF(M18="","",IF($M$9="","",IF($M$9=0,"",M18/$M$9)))</f>
        <v/>
      </c>
      <c r="O18" s="142" t="n"/>
      <c r="P18" s="148">
        <f>IF(O18="","",IF($O$9="","",IF($O$9=0,"",O18/$O$9)))</f>
        <v/>
      </c>
      <c r="Q18" s="142" t="n"/>
      <c r="R18" s="148">
        <f>IF(Q18="","",IF($Q$9="","",IF($Q$9=0,"",Q18/$Q$9)))</f>
        <v/>
      </c>
      <c r="S18" s="144" t="n"/>
      <c r="T18" s="148">
        <f>IF(S18="","",IF($S$9="","",IF($S$9=0,"",S18/$S$9)))</f>
        <v/>
      </c>
      <c r="U18" s="142" t="n"/>
      <c r="V18" s="148">
        <f>IF(U18="","",IF($U$9="","",IF($U$9=0,"",U18/$U$9)))</f>
        <v/>
      </c>
      <c r="W18" s="142" t="n"/>
      <c r="X18" s="148">
        <f>IF(W18="","",IF($W$9="","",IF($W$9=0,"",W18/$W$9)))</f>
        <v/>
      </c>
    </row>
    <row r="19" ht="15" customHeight="1" s="87">
      <c r="A19" s="92" t="n">
        <v>9</v>
      </c>
      <c r="B19" s="106" t="n">
        <v>46447</v>
      </c>
      <c r="C19" s="152" t="n">
        <v>0.48</v>
      </c>
      <c r="D19" s="140" t="n"/>
      <c r="E19" s="92" t="n"/>
      <c r="F19" s="92" t="n"/>
      <c r="G19" s="141">
        <f>IF(D19="","",D19-C19)</f>
        <v/>
      </c>
      <c r="H19" s="100">
        <f>IF(D19="","",IF(D19&gt;=C19,"En meta",IF(D19&gt;=C19-0.03,"Riesgo","Atrasado")))</f>
        <v/>
      </c>
      <c r="I19" s="144" t="n"/>
      <c r="J19" s="143">
        <f>IF(I19="","",IF($I$9="","",IF($I$9=0,"",I19/$I$9)))</f>
        <v/>
      </c>
      <c r="K19" s="144" t="n"/>
      <c r="L19" s="143">
        <f>IF(K19="","",IF($K$9="","",IF($K$9=0,"",K19/$K$9)))</f>
        <v/>
      </c>
      <c r="M19" s="142" t="n"/>
      <c r="N19" s="143">
        <f>IF(M19="","",IF($M$9="","",IF($M$9=0,"",M19/$M$9)))</f>
        <v/>
      </c>
      <c r="O19" s="142" t="n"/>
      <c r="P19" s="143">
        <f>IF(O19="","",IF($O$9="","",IF($O$9=0,"",O19/$O$9)))</f>
        <v/>
      </c>
      <c r="Q19" s="142" t="n"/>
      <c r="R19" s="143">
        <f>IF(Q19="","",IF($Q$9="","",IF($Q$9=0,"",Q19/$Q$9)))</f>
        <v/>
      </c>
      <c r="S19" s="144" t="n"/>
      <c r="T19" s="143">
        <f>IF(S19="","",IF($S$9="","",IF($S$9=0,"",S19/$S$9)))</f>
        <v/>
      </c>
      <c r="U19" s="142" t="n"/>
      <c r="V19" s="143">
        <f>IF(U19="","",IF($U$9="","",IF($U$9=0,"",U19/$U$9)))</f>
        <v/>
      </c>
      <c r="W19" s="142" t="n"/>
      <c r="X19" s="143">
        <f>IF(W19="","",IF($W$9="","",IF($W$9=0,"",W19/$W$9)))</f>
        <v/>
      </c>
    </row>
    <row r="20" ht="15" customHeight="1" s="87">
      <c r="A20" s="115" t="n">
        <v>10</v>
      </c>
      <c r="B20" s="107" t="n">
        <v>46478</v>
      </c>
      <c r="C20" s="153" t="n">
        <v>0.48</v>
      </c>
      <c r="D20" s="140" t="n"/>
      <c r="E20" s="115" t="n"/>
      <c r="F20" s="115" t="n"/>
      <c r="G20" s="147">
        <f>IF(D20="","",D20-C20)</f>
        <v/>
      </c>
      <c r="H20" s="101">
        <f>IF(D20="","",IF(D20&gt;=C20,"En meta",IF(D20&gt;=C20-0.03,"Riesgo","Atrasado")))</f>
        <v/>
      </c>
      <c r="I20" s="144" t="n"/>
      <c r="J20" s="148">
        <f>IF(I20="","",IF($I$9="","",IF($I$9=0,"",I20/$I$9)))</f>
        <v/>
      </c>
      <c r="K20" s="144" t="n"/>
      <c r="L20" s="148">
        <f>IF(K20="","",IF($K$9="","",IF($K$9=0,"",K20/$K$9)))</f>
        <v/>
      </c>
      <c r="M20" s="142" t="n"/>
      <c r="N20" s="148">
        <f>IF(M20="","",IF($M$9="","",IF($M$9=0,"",M20/$M$9)))</f>
        <v/>
      </c>
      <c r="O20" s="142" t="n"/>
      <c r="P20" s="148">
        <f>IF(O20="","",IF($O$9="","",IF($O$9=0,"",O20/$O$9)))</f>
        <v/>
      </c>
      <c r="Q20" s="142" t="n"/>
      <c r="R20" s="148">
        <f>IF(Q20="","",IF($Q$9="","",IF($Q$9=0,"",Q20/$Q$9)))</f>
        <v/>
      </c>
      <c r="S20" s="144" t="n"/>
      <c r="T20" s="148">
        <f>IF(S20="","",IF($S$9="","",IF($S$9=0,"",S20/$S$9)))</f>
        <v/>
      </c>
      <c r="U20" s="142" t="n"/>
      <c r="V20" s="148">
        <f>IF(U20="","",IF($U$9="","",IF($U$9=0,"",U20/$U$9)))</f>
        <v/>
      </c>
      <c r="W20" s="142" t="n"/>
      <c r="X20" s="148">
        <f>IF(W20="","",IF($W$9="","",IF($W$9=0,"",W20/$W$9)))</f>
        <v/>
      </c>
    </row>
    <row r="21" ht="15" customHeight="1" s="87">
      <c r="A21" s="92" t="n">
        <v>11</v>
      </c>
      <c r="B21" s="106" t="n">
        <v>46508</v>
      </c>
      <c r="C21" s="152" t="n">
        <v>0.48</v>
      </c>
      <c r="D21" s="140" t="n"/>
      <c r="E21" s="92" t="n"/>
      <c r="F21" s="92" t="n"/>
      <c r="G21" s="141">
        <f>IF(D21="","",D21-C21)</f>
        <v/>
      </c>
      <c r="H21" s="100">
        <f>IF(D21="","",IF(D21&gt;=C21,"En meta",IF(D21&gt;=C21-0.03,"Riesgo","Atrasado")))</f>
        <v/>
      </c>
      <c r="I21" s="144" t="n"/>
      <c r="J21" s="143">
        <f>IF(I21="","",IF($I$9="","",IF($I$9=0,"",I21/$I$9)))</f>
        <v/>
      </c>
      <c r="K21" s="144" t="n"/>
      <c r="L21" s="143">
        <f>IF(K21="","",IF($K$9="","",IF($K$9=0,"",K21/$K$9)))</f>
        <v/>
      </c>
      <c r="M21" s="142" t="n"/>
      <c r="N21" s="143">
        <f>IF(M21="","",IF($M$9="","",IF($M$9=0,"",M21/$M$9)))</f>
        <v/>
      </c>
      <c r="O21" s="142" t="n"/>
      <c r="P21" s="143">
        <f>IF(O21="","",IF($O$9="","",IF($O$9=0,"",O21/$O$9)))</f>
        <v/>
      </c>
      <c r="Q21" s="142" t="n"/>
      <c r="R21" s="143">
        <f>IF(Q21="","",IF($Q$9="","",IF($Q$9=0,"",Q21/$Q$9)))</f>
        <v/>
      </c>
      <c r="S21" s="144" t="n"/>
      <c r="T21" s="143">
        <f>IF(S21="","",IF($S$9="","",IF($S$9=0,"",S21/$S$9)))</f>
        <v/>
      </c>
      <c r="U21" s="142" t="n"/>
      <c r="V21" s="143">
        <f>IF(U21="","",IF($U$9="","",IF($U$9=0,"",U21/$U$9)))</f>
        <v/>
      </c>
      <c r="W21" s="142" t="n"/>
      <c r="X21" s="143">
        <f>IF(W21="","",IF($W$9="","",IF($W$9=0,"",W21/$W$9)))</f>
        <v/>
      </c>
    </row>
    <row r="22" ht="15" customHeight="1" s="87">
      <c r="A22" s="115" t="n">
        <v>12</v>
      </c>
      <c r="B22" s="107" t="n">
        <v>46539</v>
      </c>
      <c r="C22" s="153" t="n">
        <v>0.48</v>
      </c>
      <c r="D22" s="140" t="n"/>
      <c r="E22" s="115" t="n"/>
      <c r="F22" s="115" t="n"/>
      <c r="G22" s="147">
        <f>IF(D22="","",D22-C22)</f>
        <v/>
      </c>
      <c r="H22" s="101">
        <f>IF(D22="","",IF(D22&gt;=C22,"En meta",IF(D22&gt;=C22-0.03,"Riesgo","Atrasado")))</f>
        <v/>
      </c>
      <c r="I22" s="144" t="n"/>
      <c r="J22" s="148">
        <f>IF(I22="","",IF($I$9="","",IF($I$9=0,"",I22/$I$9)))</f>
        <v/>
      </c>
      <c r="K22" s="144" t="n"/>
      <c r="L22" s="148">
        <f>IF(K22="","",IF($K$9="","",IF($K$9=0,"",K22/$K$9)))</f>
        <v/>
      </c>
      <c r="M22" s="142" t="n"/>
      <c r="N22" s="148">
        <f>IF(M22="","",IF($M$9="","",IF($M$9=0,"",M22/$M$9)))</f>
        <v/>
      </c>
      <c r="O22" s="142" t="n"/>
      <c r="P22" s="148">
        <f>IF(O22="","",IF($O$9="","",IF($O$9=0,"",O22/$O$9)))</f>
        <v/>
      </c>
      <c r="Q22" s="142" t="n"/>
      <c r="R22" s="148">
        <f>IF(Q22="","",IF($Q$9="","",IF($Q$9=0,"",Q22/$Q$9)))</f>
        <v/>
      </c>
      <c r="S22" s="144" t="n"/>
      <c r="T22" s="148">
        <f>IF(S22="","",IF($S$9="","",IF($S$9=0,"",S22/$S$9)))</f>
        <v/>
      </c>
      <c r="U22" s="142" t="n"/>
      <c r="V22" s="148">
        <f>IF(U22="","",IF($U$9="","",IF($U$9=0,"",U22/$U$9)))</f>
        <v/>
      </c>
      <c r="W22" s="142" t="n"/>
      <c r="X22" s="148">
        <f>IF(W22="","",IF($W$9="","",IF($W$9=0,"",W22/$W$9)))</f>
        <v/>
      </c>
    </row>
    <row r="23" ht="15" customHeight="1" s="87">
      <c r="A23" s="92" t="n">
        <v>13</v>
      </c>
      <c r="B23" s="106" t="n">
        <v>46569</v>
      </c>
      <c r="C23" s="152" t="n">
        <v>0.48</v>
      </c>
      <c r="D23" s="140" t="n"/>
      <c r="E23" s="92" t="n"/>
      <c r="F23" s="92" t="n"/>
      <c r="G23" s="141">
        <f>IF(D23="","",D23-C23)</f>
        <v/>
      </c>
      <c r="H23" s="100">
        <f>IF(D23="","",IF(D23&gt;=C23,"En meta",IF(D23&gt;=C23-0.03,"Riesgo","Atrasado")))</f>
        <v/>
      </c>
      <c r="I23" s="144" t="n"/>
      <c r="J23" s="143">
        <f>IF(I23="","",IF($I$9="","",IF($I$9=0,"",I23/$I$9)))</f>
        <v/>
      </c>
      <c r="K23" s="144" t="n"/>
      <c r="L23" s="143">
        <f>IF(K23="","",IF($K$9="","",IF($K$9=0,"",K23/$K$9)))</f>
        <v/>
      </c>
      <c r="M23" s="142" t="n"/>
      <c r="N23" s="143">
        <f>IF(M23="","",IF($M$9="","",IF($M$9=0,"",M23/$M$9)))</f>
        <v/>
      </c>
      <c r="O23" s="142" t="n"/>
      <c r="P23" s="143">
        <f>IF(O23="","",IF($O$9="","",IF($O$9=0,"",O23/$O$9)))</f>
        <v/>
      </c>
      <c r="Q23" s="142" t="n"/>
      <c r="R23" s="143">
        <f>IF(Q23="","",IF($Q$9="","",IF($Q$9=0,"",Q23/$Q$9)))</f>
        <v/>
      </c>
      <c r="S23" s="144" t="n"/>
      <c r="T23" s="143">
        <f>IF(S23="","",IF($S$9="","",IF($S$9=0,"",S23/$S$9)))</f>
        <v/>
      </c>
      <c r="U23" s="142" t="n"/>
      <c r="V23" s="143">
        <f>IF(U23="","",IF($U$9="","",IF($U$9=0,"",U23/$U$9)))</f>
        <v/>
      </c>
      <c r="W23" s="142" t="n"/>
      <c r="X23" s="143">
        <f>IF(W23="","",IF($W$9="","",IF($W$9=0,"",W23/$W$9)))</f>
        <v/>
      </c>
    </row>
    <row r="24" ht="15" customHeight="1" s="87">
      <c r="A24" s="115" t="n">
        <v>14</v>
      </c>
      <c r="B24" s="107" t="n">
        <v>46600</v>
      </c>
      <c r="C24" s="153" t="n">
        <v>0.48</v>
      </c>
      <c r="D24" s="140" t="n"/>
      <c r="E24" s="115" t="n"/>
      <c r="F24" s="115" t="n"/>
      <c r="G24" s="147">
        <f>IF(D24="","",D24-C24)</f>
        <v/>
      </c>
      <c r="H24" s="101">
        <f>IF(D24="","",IF(D24&gt;=C24,"En meta",IF(D24&gt;=C24-0.03,"Riesgo","Atrasado")))</f>
        <v/>
      </c>
      <c r="I24" s="144" t="n"/>
      <c r="J24" s="148">
        <f>IF(I24="","",IF($I$9="","",IF($I$9=0,"",I24/$I$9)))</f>
        <v/>
      </c>
      <c r="K24" s="144" t="n"/>
      <c r="L24" s="148">
        <f>IF(K24="","",IF($K$9="","",IF($K$9=0,"",K24/$K$9)))</f>
        <v/>
      </c>
      <c r="M24" s="142" t="n"/>
      <c r="N24" s="148">
        <f>IF(M24="","",IF($M$9="","",IF($M$9=0,"",M24/$M$9)))</f>
        <v/>
      </c>
      <c r="O24" s="142" t="n"/>
      <c r="P24" s="148">
        <f>IF(O24="","",IF($O$9="","",IF($O$9=0,"",O24/$O$9)))</f>
        <v/>
      </c>
      <c r="Q24" s="142" t="n"/>
      <c r="R24" s="148">
        <f>IF(Q24="","",IF($Q$9="","",IF($Q$9=0,"",Q24/$Q$9)))</f>
        <v/>
      </c>
      <c r="S24" s="144" t="n"/>
      <c r="T24" s="148">
        <f>IF(S24="","",IF($S$9="","",IF($S$9=0,"",S24/$S$9)))</f>
        <v/>
      </c>
      <c r="U24" s="142" t="n"/>
      <c r="V24" s="148">
        <f>IF(U24="","",IF($U$9="","",IF($U$9=0,"",U24/$U$9)))</f>
        <v/>
      </c>
      <c r="W24" s="142" t="n"/>
      <c r="X24" s="148">
        <f>IF(W24="","",IF($W$9="","",IF($W$9=0,"",W24/$W$9)))</f>
        <v/>
      </c>
    </row>
    <row r="25" ht="15" customHeight="1" s="87">
      <c r="A25" s="92" t="n">
        <v>15</v>
      </c>
      <c r="B25" s="106" t="n">
        <v>46631</v>
      </c>
      <c r="C25" s="152" t="n">
        <v>0.48</v>
      </c>
      <c r="D25" s="140" t="n"/>
      <c r="E25" s="92" t="n"/>
      <c r="F25" s="92" t="n"/>
      <c r="G25" s="141">
        <f>IF(D25="","",D25-C25)</f>
        <v/>
      </c>
      <c r="H25" s="100">
        <f>IF(D25="","",IF(D25&gt;=C25,"En meta",IF(D25&gt;=C25-0.03,"Riesgo","Atrasado")))</f>
        <v/>
      </c>
      <c r="I25" s="144" t="n"/>
      <c r="J25" s="143">
        <f>IF(I25="","",IF($I$9="","",IF($I$9=0,"",I25/$I$9)))</f>
        <v/>
      </c>
      <c r="K25" s="144" t="n"/>
      <c r="L25" s="143">
        <f>IF(K25="","",IF($K$9="","",IF($K$9=0,"",K25/$K$9)))</f>
        <v/>
      </c>
      <c r="M25" s="142" t="n"/>
      <c r="N25" s="143">
        <f>IF(M25="","",IF($M$9="","",IF($M$9=0,"",M25/$M$9)))</f>
        <v/>
      </c>
      <c r="O25" s="142" t="n"/>
      <c r="P25" s="143">
        <f>IF(O25="","",IF($O$9="","",IF($O$9=0,"",O25/$O$9)))</f>
        <v/>
      </c>
      <c r="Q25" s="142" t="n"/>
      <c r="R25" s="143">
        <f>IF(Q25="","",IF($Q$9="","",IF($Q$9=0,"",Q25/$Q$9)))</f>
        <v/>
      </c>
      <c r="S25" s="144" t="n"/>
      <c r="T25" s="143">
        <f>IF(S25="","",IF($S$9="","",IF($S$9=0,"",S25/$S$9)))</f>
        <v/>
      </c>
      <c r="U25" s="142" t="n"/>
      <c r="V25" s="143">
        <f>IF(U25="","",IF($U$9="","",IF($U$9=0,"",U25/$U$9)))</f>
        <v/>
      </c>
      <c r="W25" s="142" t="n"/>
      <c r="X25" s="143">
        <f>IF(W25="","",IF($W$9="","",IF($W$9=0,"",W25/$W$9)))</f>
        <v/>
      </c>
    </row>
    <row r="26" ht="15" customHeight="1" s="87">
      <c r="A26" s="115" t="n">
        <v>16</v>
      </c>
      <c r="B26" s="107" t="n">
        <v>46661</v>
      </c>
      <c r="C26" s="153" t="n">
        <v>0.48</v>
      </c>
      <c r="D26" s="140" t="n"/>
      <c r="E26" s="115" t="n"/>
      <c r="F26" s="115" t="n"/>
      <c r="G26" s="147">
        <f>IF(D26="","",D26-C26)</f>
        <v/>
      </c>
      <c r="H26" s="101">
        <f>IF(D26="","",IF(D26&gt;=C26,"En meta",IF(D26&gt;=C26-0.03,"Riesgo","Atrasado")))</f>
        <v/>
      </c>
      <c r="I26" s="144" t="n"/>
      <c r="J26" s="148">
        <f>IF(I26="","",IF($I$9="","",IF($I$9=0,"",I26/$I$9)))</f>
        <v/>
      </c>
      <c r="K26" s="144" t="n"/>
      <c r="L26" s="148">
        <f>IF(K26="","",IF($K$9="","",IF($K$9=0,"",K26/$K$9)))</f>
        <v/>
      </c>
      <c r="M26" s="142" t="n"/>
      <c r="N26" s="148">
        <f>IF(M26="","",IF($M$9="","",IF($M$9=0,"",M26/$M$9)))</f>
        <v/>
      </c>
      <c r="O26" s="142" t="n"/>
      <c r="P26" s="148">
        <f>IF(O26="","",IF($O$9="","",IF($O$9=0,"",O26/$O$9)))</f>
        <v/>
      </c>
      <c r="Q26" s="142" t="n"/>
      <c r="R26" s="148">
        <f>IF(Q26="","",IF($Q$9="","",IF($Q$9=0,"",Q26/$Q$9)))</f>
        <v/>
      </c>
      <c r="S26" s="144" t="n"/>
      <c r="T26" s="148">
        <f>IF(S26="","",IF($S$9="","",IF($S$9=0,"",S26/$S$9)))</f>
        <v/>
      </c>
      <c r="U26" s="142" t="n"/>
      <c r="V26" s="148">
        <f>IF(U26="","",IF($U$9="","",IF($U$9=0,"",U26/$U$9)))</f>
        <v/>
      </c>
      <c r="W26" s="142" t="n"/>
      <c r="X26" s="148">
        <f>IF(W26="","",IF($W$9="","",IF($W$9=0,"",W26/$W$9)))</f>
        <v/>
      </c>
    </row>
    <row r="27" ht="15" customHeight="1" s="87">
      <c r="A27" s="92" t="n">
        <v>17</v>
      </c>
      <c r="B27" s="106" t="n">
        <v>46692</v>
      </c>
      <c r="C27" s="152" t="n">
        <v>0.48</v>
      </c>
      <c r="D27" s="140" t="n"/>
      <c r="E27" s="92" t="n"/>
      <c r="F27" s="92" t="n"/>
      <c r="G27" s="141">
        <f>IF(D27="","",D27-C27)</f>
        <v/>
      </c>
      <c r="H27" s="100">
        <f>IF(D27="","",IF(D27&gt;=C27,"En meta",IF(D27&gt;=C27-0.03,"Riesgo","Atrasado")))</f>
        <v/>
      </c>
      <c r="I27" s="144" t="n"/>
      <c r="J27" s="143">
        <f>IF(I27="","",IF($I$9="","",IF($I$9=0,"",I27/$I$9)))</f>
        <v/>
      </c>
      <c r="K27" s="144" t="n"/>
      <c r="L27" s="143">
        <f>IF(K27="","",IF($K$9="","",IF($K$9=0,"",K27/$K$9)))</f>
        <v/>
      </c>
      <c r="M27" s="142" t="n"/>
      <c r="N27" s="143">
        <f>IF(M27="","",IF($M$9="","",IF($M$9=0,"",M27/$M$9)))</f>
        <v/>
      </c>
      <c r="O27" s="142" t="n"/>
      <c r="P27" s="143">
        <f>IF(O27="","",IF($O$9="","",IF($O$9=0,"",O27/$O$9)))</f>
        <v/>
      </c>
      <c r="Q27" s="142" t="n"/>
      <c r="R27" s="143">
        <f>IF(Q27="","",IF($Q$9="","",IF($Q$9=0,"",Q27/$Q$9)))</f>
        <v/>
      </c>
      <c r="S27" s="144" t="n"/>
      <c r="T27" s="143">
        <f>IF(S27="","",IF($S$9="","",IF($S$9=0,"",S27/$S$9)))</f>
        <v/>
      </c>
      <c r="U27" s="142" t="n"/>
      <c r="V27" s="143">
        <f>IF(U27="","",IF($U$9="","",IF($U$9=0,"",U27/$U$9)))</f>
        <v/>
      </c>
      <c r="W27" s="142" t="n"/>
      <c r="X27" s="143">
        <f>IF(W27="","",IF($W$9="","",IF($W$9=0,"",W27/$W$9)))</f>
        <v/>
      </c>
    </row>
    <row r="28" ht="15" customHeight="1" s="87">
      <c r="A28" s="115" t="n">
        <v>18</v>
      </c>
      <c r="B28" s="107" t="n">
        <v>46722</v>
      </c>
      <c r="C28" s="153" t="n">
        <v>0.48</v>
      </c>
      <c r="D28" s="140" t="n"/>
      <c r="E28" s="115" t="n"/>
      <c r="F28" s="115" t="n"/>
      <c r="G28" s="147">
        <f>IF(D28="","",D28-C28)</f>
        <v/>
      </c>
      <c r="H28" s="101">
        <f>IF(D28="","",IF(D28&gt;=C28,"En meta",IF(D28&gt;=C28-0.03,"Riesgo","Atrasado")))</f>
        <v/>
      </c>
      <c r="I28" s="144" t="n"/>
      <c r="J28" s="148">
        <f>IF(I28="","",IF($I$9="","",IF($I$9=0,"",I28/$I$9)))</f>
        <v/>
      </c>
      <c r="K28" s="144" t="n"/>
      <c r="L28" s="148">
        <f>IF(K28="","",IF($K$9="","",IF($K$9=0,"",K28/$K$9)))</f>
        <v/>
      </c>
      <c r="M28" s="142" t="n"/>
      <c r="N28" s="148">
        <f>IF(M28="","",IF($M$9="","",IF($M$9=0,"",M28/$M$9)))</f>
        <v/>
      </c>
      <c r="O28" s="142" t="n"/>
      <c r="P28" s="148">
        <f>IF(O28="","",IF($O$9="","",IF($O$9=0,"",O28/$O$9)))</f>
        <v/>
      </c>
      <c r="Q28" s="142" t="n"/>
      <c r="R28" s="148">
        <f>IF(Q28="","",IF($Q$9="","",IF($Q$9=0,"",Q28/$Q$9)))</f>
        <v/>
      </c>
      <c r="S28" s="144" t="n"/>
      <c r="T28" s="148">
        <f>IF(S28="","",IF($S$9="","",IF($S$9=0,"",S28/$S$9)))</f>
        <v/>
      </c>
      <c r="U28" s="142" t="n"/>
      <c r="V28" s="148">
        <f>IF(U28="","",IF($U$9="","",IF($U$9=0,"",U28/$U$9)))</f>
        <v/>
      </c>
      <c r="W28" s="142" t="n"/>
      <c r="X28" s="148">
        <f>IF(W28="","",IF($W$9="","",IF($W$9=0,"",W28/$W$9)))</f>
        <v/>
      </c>
    </row>
    <row r="29"/>
  </sheetData>
  <mergeCells count="17">
    <mergeCell ref="U8:V8"/>
    <mergeCell ref="S8:T8"/>
    <mergeCell ref="W8:X8"/>
    <mergeCell ref="U9:V9"/>
    <mergeCell ref="K8:L8"/>
    <mergeCell ref="K9:L9"/>
    <mergeCell ref="M9:N9"/>
    <mergeCell ref="I9:J9"/>
    <mergeCell ref="Q9:R9"/>
    <mergeCell ref="A1:X1"/>
    <mergeCell ref="I8:J8"/>
    <mergeCell ref="S9:T9"/>
    <mergeCell ref="O9:P9"/>
    <mergeCell ref="M8:N8"/>
    <mergeCell ref="W9:X9"/>
    <mergeCell ref="Q8:R8"/>
    <mergeCell ref="O8:P8"/>
  </mergeCells>
  <conditionalFormatting sqref="H11:H28">
    <cfRule type="containsText" rank="0" priority="2" equalAverage="0" operator="containsText" aboveAverage="0" dxfId="0" text="En meta" percent="0" bottom="0">
      <formula>NOT(ISERROR(SEARCH("En meta",H11)))</formula>
    </cfRule>
    <cfRule type="containsText" rank="0" priority="3" equalAverage="0" operator="containsText" aboveAverage="0" dxfId="1" text="Riesgo" percent="0" bottom="0">
      <formula>NOT(ISERROR(SEARCH("Riesgo",H11)))</formula>
    </cfRule>
    <cfRule type="containsText" rank="0" priority="4" equalAverage="0" operator="containsText" aboveAverage="0" dxfId="2" text="Atrasado" percent="0" bottom="0">
      <formula>NOT(ISERROR(SEARCH("Atrasado",H11)))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22" customWidth="1" style="86" min="2" max="2"/>
    <col width="14" customWidth="1" style="86" min="3" max="4"/>
    <col width="12" customWidth="1" style="86" min="5" max="5"/>
  </cols>
  <sheetData>
    <row r="1" ht="17.35" customHeight="1" s="87">
      <c r="A1" s="126" t="inlineStr">
        <is>
          <t>2027 — Meta de Utilidad Neta (NAT)</t>
        </is>
      </c>
    </row>
    <row r="2" ht="35.05" customHeight="1" s="87">
      <c r="A2" s="164" t="inlineStr">
        <is>
          <t>Meta de utilidad neta después de impuestos para 2027. Debajo: el camino de GP y la cobertura de backlog — cuánto GP ya está comprometido por contratos conocidos y cuánto falta vender. Se actualiza cada semana de 2026.</t>
        </is>
      </c>
    </row>
    <row r="4" ht="15" customHeight="1" s="87">
      <c r="A4" s="104" t="inlineStr">
        <is>
          <t>Ingreso meta:</t>
        </is>
      </c>
      <c r="B4" s="165" t="n">
        <v>21000000</v>
      </c>
      <c r="D4" s="104" t="inlineStr">
        <is>
          <t>GP meta %:</t>
        </is>
      </c>
      <c r="E4" s="166" t="n">
        <v>0.16</v>
      </c>
    </row>
    <row r="5" ht="17.35" customHeight="1" s="87">
      <c r="A5" s="104" t="inlineStr">
        <is>
          <t>GP meta (Ingreso × GP%):</t>
        </is>
      </c>
      <c r="B5" s="165" t="n">
        <v>3360000</v>
      </c>
      <c r="D5" s="104" t="inlineStr">
        <is>
          <t>META NAT (utilidad neta):</t>
        </is>
      </c>
      <c r="E5" s="167" t="n">
        <v>1000000</v>
      </c>
    </row>
    <row r="6" ht="15" customHeight="1" s="87">
      <c r="A6" s="104" t="inlineStr">
        <is>
          <t>GP comprometido (último):</t>
        </is>
      </c>
      <c r="B6" s="165" t="n">
        <v>2600000</v>
      </c>
      <c r="D6" s="104" t="inlineStr">
        <is>
          <t>% cobertura:</t>
        </is>
      </c>
      <c r="E6" s="166" t="n">
        <v>0.7738095238095238</v>
      </c>
    </row>
    <row r="7" ht="15" customHeight="1" s="87">
      <c r="A7" s="104" t="inlineStr">
        <is>
          <t>Brecha (falta vender):</t>
        </is>
      </c>
      <c r="B7" s="165" t="n">
        <v>760000</v>
      </c>
      <c r="D7" s="104" t="inlineStr">
        <is>
          <t>Margen NAT (NAT / Ingreso):</t>
        </is>
      </c>
      <c r="E7" s="166" t="n">
        <v>0.0476190476190476</v>
      </c>
    </row>
    <row r="9" ht="15" customHeight="1" s="87">
      <c r="A9" s="90" t="inlineStr">
        <is>
          <t>Backlog comprometido por semana (2027)</t>
        </is>
      </c>
    </row>
    <row r="11" ht="23.85" customHeight="1" s="87">
      <c r="A11" s="99" t="inlineStr">
        <is>
          <t>Semana</t>
        </is>
      </c>
      <c r="B11" s="99" t="inlineStr">
        <is>
          <t>GP comprometido (acum.)</t>
        </is>
      </c>
      <c r="C11" s="99" t="inlineStr">
        <is>
          <t>GP meta</t>
        </is>
      </c>
      <c r="D11" s="99" t="inlineStr">
        <is>
          <t>Brecha</t>
        </is>
      </c>
      <c r="E11" s="99" t="inlineStr">
        <is>
          <t>% cobertura</t>
        </is>
      </c>
    </row>
    <row r="12" ht="15" customHeight="1" s="87">
      <c r="A12" s="138" t="n">
        <v>46188</v>
      </c>
      <c r="B12" s="95" t="n">
        <v>2000000</v>
      </c>
      <c r="C12" s="168" t="n">
        <v>3360000</v>
      </c>
      <c r="D12" s="168" t="n">
        <v>1360000</v>
      </c>
      <c r="E12" s="94" t="n">
        <v>0.5952380952380952</v>
      </c>
    </row>
    <row r="13" ht="15" customHeight="1" s="87">
      <c r="A13" s="145" t="n">
        <v>46195</v>
      </c>
      <c r="B13" s="95" t="n">
        <v>2150000</v>
      </c>
      <c r="C13" s="169" t="n">
        <v>3360000</v>
      </c>
      <c r="D13" s="169" t="n">
        <v>1210000</v>
      </c>
      <c r="E13" s="103" t="n">
        <v>0.6398809523809523</v>
      </c>
    </row>
    <row r="14" ht="15" customHeight="1" s="87">
      <c r="A14" s="138" t="n">
        <v>46202</v>
      </c>
      <c r="B14" s="95" t="n">
        <v>2300000</v>
      </c>
      <c r="C14" s="168" t="n">
        <v>3360000</v>
      </c>
      <c r="D14" s="168" t="n">
        <v>1060000</v>
      </c>
      <c r="E14" s="94" t="n">
        <v>0.6845238095238095</v>
      </c>
    </row>
    <row r="15" ht="15" customHeight="1" s="87">
      <c r="A15" s="145" t="n">
        <v>46209</v>
      </c>
      <c r="B15" s="95" t="n">
        <v>2450000</v>
      </c>
      <c r="C15" s="169" t="n">
        <v>3360000</v>
      </c>
      <c r="D15" s="169" t="n">
        <v>910000</v>
      </c>
      <c r="E15" s="103" t="n">
        <v>0.7291666666666666</v>
      </c>
    </row>
    <row r="16" ht="15" customHeight="1" s="87">
      <c r="A16" s="138" t="n">
        <v>46216</v>
      </c>
      <c r="B16" s="95" t="n">
        <v>2600000</v>
      </c>
      <c r="C16" s="168" t="n">
        <v>3360000</v>
      </c>
      <c r="D16" s="168" t="n">
        <v>760000</v>
      </c>
      <c r="E16" s="94" t="n">
        <v>0.7738095238095238</v>
      </c>
    </row>
    <row r="17" ht="15" customHeight="1" s="87">
      <c r="A17" s="145" t="n">
        <v>46223</v>
      </c>
      <c r="B17" s="95" t="n"/>
      <c r="C17" s="169" t="n">
        <v>3360000</v>
      </c>
      <c r="D17" s="169">
        <f>IF(B17="","",C17-B17)</f>
        <v/>
      </c>
      <c r="E17" s="103">
        <f>IF(B17="","",B17/C17)</f>
        <v/>
      </c>
    </row>
    <row r="18" ht="15" customHeight="1" s="87">
      <c r="A18" s="138" t="n">
        <v>46230</v>
      </c>
      <c r="B18" s="95" t="n"/>
      <c r="C18" s="168" t="n">
        <v>3360000</v>
      </c>
      <c r="D18" s="168">
        <f>IF(B18="","",C18-B18)</f>
        <v/>
      </c>
      <c r="E18" s="94">
        <f>IF(B18="","",B18/C18)</f>
        <v/>
      </c>
    </row>
    <row r="19" ht="15" customHeight="1" s="87">
      <c r="A19" s="145" t="n">
        <v>46237</v>
      </c>
      <c r="B19" s="95" t="n"/>
      <c r="C19" s="169" t="n">
        <v>3360000</v>
      </c>
      <c r="D19" s="169">
        <f>IF(B19="","",C19-B19)</f>
        <v/>
      </c>
      <c r="E19" s="103">
        <f>IF(B19="","",B19/C19)</f>
        <v/>
      </c>
    </row>
    <row r="20" ht="15" customHeight="1" s="87">
      <c r="A20" s="138" t="n">
        <v>46244</v>
      </c>
      <c r="B20" s="95" t="n"/>
      <c r="C20" s="168" t="n">
        <v>3360000</v>
      </c>
      <c r="D20" s="168">
        <f>IF(B20="","",C20-B20)</f>
        <v/>
      </c>
      <c r="E20" s="94">
        <f>IF(B20="","",B20/C20)</f>
        <v/>
      </c>
    </row>
    <row r="21" ht="15" customHeight="1" s="87">
      <c r="A21" s="145" t="n">
        <v>46251</v>
      </c>
      <c r="B21" s="95" t="n"/>
      <c r="C21" s="169" t="n">
        <v>3360000</v>
      </c>
      <c r="D21" s="169">
        <f>IF(B21="","",C21-B21)</f>
        <v/>
      </c>
      <c r="E21" s="103">
        <f>IF(B21="","",B21/C21)</f>
        <v/>
      </c>
    </row>
    <row r="22" ht="15" customHeight="1" s="87">
      <c r="A22" s="138" t="n">
        <v>46258</v>
      </c>
      <c r="B22" s="95" t="n"/>
      <c r="C22" s="168" t="n">
        <v>3360000</v>
      </c>
      <c r="D22" s="168">
        <f>IF(B22="","",C22-B22)</f>
        <v/>
      </c>
      <c r="E22" s="94">
        <f>IF(B22="","",B22/C22)</f>
        <v/>
      </c>
    </row>
    <row r="23" ht="15" customHeight="1" s="87">
      <c r="A23" s="145" t="n">
        <v>46265</v>
      </c>
      <c r="B23" s="95" t="n"/>
      <c r="C23" s="169" t="n">
        <v>3360000</v>
      </c>
      <c r="D23" s="169">
        <f>IF(B23="","",C23-B23)</f>
        <v/>
      </c>
      <c r="E23" s="103">
        <f>IF(B23="","",B23/C23)</f>
        <v/>
      </c>
    </row>
    <row r="24" ht="15" customHeight="1" s="87">
      <c r="A24" s="138" t="n">
        <v>46272</v>
      </c>
      <c r="B24" s="95" t="n"/>
      <c r="C24" s="168" t="n">
        <v>3360000</v>
      </c>
      <c r="D24" s="168">
        <f>IF(B24="","",C24-B24)</f>
        <v/>
      </c>
      <c r="E24" s="94">
        <f>IF(B24="","",B24/C24)</f>
        <v/>
      </c>
    </row>
    <row r="25" ht="15" customHeight="1" s="87">
      <c r="A25" s="145" t="n">
        <v>46279</v>
      </c>
      <c r="B25" s="95" t="n"/>
      <c r="C25" s="169" t="n">
        <v>3360000</v>
      </c>
      <c r="D25" s="169">
        <f>IF(B25="","",C25-B25)</f>
        <v/>
      </c>
      <c r="E25" s="103">
        <f>IF(B25="","",B25/C25)</f>
        <v/>
      </c>
    </row>
    <row r="26" ht="15" customHeight="1" s="87">
      <c r="A26" s="138" t="n">
        <v>46286</v>
      </c>
      <c r="B26" s="95" t="n"/>
      <c r="C26" s="168" t="n">
        <v>3360000</v>
      </c>
      <c r="D26" s="168">
        <f>IF(B26="","",C26-B26)</f>
        <v/>
      </c>
      <c r="E26" s="94">
        <f>IF(B26="","",B26/C26)</f>
        <v/>
      </c>
    </row>
    <row r="27" ht="15" customHeight="1" s="87">
      <c r="A27" s="145" t="n">
        <v>46293</v>
      </c>
      <c r="B27" s="95" t="n"/>
      <c r="C27" s="169" t="n">
        <v>3360000</v>
      </c>
      <c r="D27" s="169">
        <f>IF(B27="","",C27-B27)</f>
        <v/>
      </c>
      <c r="E27" s="103">
        <f>IF(B27="","",B27/C27)</f>
        <v/>
      </c>
    </row>
    <row r="28" ht="15" customHeight="1" s="87">
      <c r="A28" s="138" t="n">
        <v>46300</v>
      </c>
      <c r="B28" s="95" t="n"/>
      <c r="C28" s="168" t="n">
        <v>3360000</v>
      </c>
      <c r="D28" s="168">
        <f>IF(B28="","",C28-B28)</f>
        <v/>
      </c>
      <c r="E28" s="94">
        <f>IF(B28="","",B28/C28)</f>
        <v/>
      </c>
    </row>
    <row r="29" ht="15" customHeight="1" s="87">
      <c r="A29" s="145" t="n">
        <v>46307</v>
      </c>
      <c r="B29" s="95" t="n"/>
      <c r="C29" s="169" t="n">
        <v>3360000</v>
      </c>
      <c r="D29" s="169">
        <f>IF(B29="","",C29-B29)</f>
        <v/>
      </c>
      <c r="E29" s="103">
        <f>IF(B29="","",B29/C29)</f>
        <v/>
      </c>
    </row>
    <row r="30" ht="15" customHeight="1" s="87">
      <c r="A30" s="138" t="n">
        <v>46314</v>
      </c>
      <c r="B30" s="95" t="n"/>
      <c r="C30" s="168" t="n">
        <v>3360000</v>
      </c>
      <c r="D30" s="168">
        <f>IF(B30="","",C30-B30)</f>
        <v/>
      </c>
      <c r="E30" s="94">
        <f>IF(B30="","",B30/C30)</f>
        <v/>
      </c>
    </row>
    <row r="31" ht="15" customHeight="1" s="87">
      <c r="A31" s="145" t="n">
        <v>46321</v>
      </c>
      <c r="B31" s="95" t="n"/>
      <c r="C31" s="169" t="n">
        <v>3360000</v>
      </c>
      <c r="D31" s="169">
        <f>IF(B31="","",C31-B31)</f>
        <v/>
      </c>
      <c r="E31" s="103">
        <f>IF(B31="","",B31/C31)</f>
        <v/>
      </c>
    </row>
    <row r="32" ht="15" customHeight="1" s="87">
      <c r="A32" s="138" t="n">
        <v>46328</v>
      </c>
      <c r="B32" s="95" t="n"/>
      <c r="C32" s="168" t="n">
        <v>3360000</v>
      </c>
      <c r="D32" s="168">
        <f>IF(B32="","",C32-B32)</f>
        <v/>
      </c>
      <c r="E32" s="94">
        <f>IF(B32="","",B32/C32)</f>
        <v/>
      </c>
    </row>
    <row r="33" ht="15" customHeight="1" s="87">
      <c r="A33" s="145" t="n">
        <v>46335</v>
      </c>
      <c r="B33" s="95" t="n"/>
      <c r="C33" s="169" t="n">
        <v>3360000</v>
      </c>
      <c r="D33" s="169">
        <f>IF(B33="","",C33-B33)</f>
        <v/>
      </c>
      <c r="E33" s="103">
        <f>IF(B33="","",B33/C33)</f>
        <v/>
      </c>
    </row>
    <row r="34" ht="15" customHeight="1" s="87">
      <c r="A34" s="138" t="n">
        <v>46342</v>
      </c>
      <c r="B34" s="95" t="n"/>
      <c r="C34" s="168" t="n">
        <v>3360000</v>
      </c>
      <c r="D34" s="168">
        <f>IF(B34="","",C34-B34)</f>
        <v/>
      </c>
      <c r="E34" s="94">
        <f>IF(B34="","",B34/C34)</f>
        <v/>
      </c>
    </row>
    <row r="35" ht="15" customHeight="1" s="87">
      <c r="A35" s="145" t="n">
        <v>46349</v>
      </c>
      <c r="B35" s="95" t="n"/>
      <c r="C35" s="169" t="n">
        <v>3360000</v>
      </c>
      <c r="D35" s="169">
        <f>IF(B35="","",C35-B35)</f>
        <v/>
      </c>
      <c r="E35" s="103">
        <f>IF(B35="","",B35/C35)</f>
        <v/>
      </c>
    </row>
    <row r="36" ht="15" customHeight="1" s="87">
      <c r="A36" s="138" t="n">
        <v>46356</v>
      </c>
      <c r="B36" s="95" t="n"/>
      <c r="C36" s="168" t="n">
        <v>3360000</v>
      </c>
      <c r="D36" s="168">
        <f>IF(B36="","",C36-B36)</f>
        <v/>
      </c>
      <c r="E36" s="94">
        <f>IF(B36="","",B36/C36)</f>
        <v/>
      </c>
    </row>
    <row r="37" ht="15" customHeight="1" s="87">
      <c r="A37" s="145" t="n">
        <v>46363</v>
      </c>
      <c r="B37" s="95" t="n"/>
      <c r="C37" s="169" t="n">
        <v>3360000</v>
      </c>
      <c r="D37" s="169">
        <f>IF(B37="","",C37-B37)</f>
        <v/>
      </c>
      <c r="E37" s="103">
        <f>IF(B37="","",B37/C37)</f>
        <v/>
      </c>
    </row>
    <row r="38" ht="15" customHeight="1" s="87">
      <c r="A38" s="138" t="n">
        <v>46370</v>
      </c>
      <c r="B38" s="95" t="n"/>
      <c r="C38" s="168" t="n">
        <v>3360000</v>
      </c>
      <c r="D38" s="168">
        <f>IF(B38="","",C38-B38)</f>
        <v/>
      </c>
      <c r="E38" s="94">
        <f>IF(B38="","",B38/C38)</f>
        <v/>
      </c>
    </row>
    <row r="39" ht="15" customHeight="1" s="87">
      <c r="A39" s="145" t="n">
        <v>46377</v>
      </c>
      <c r="B39" s="95" t="n"/>
      <c r="C39" s="169" t="n">
        <v>3360000</v>
      </c>
      <c r="D39" s="169">
        <f>IF(B39="","",C39-B39)</f>
        <v/>
      </c>
      <c r="E39" s="103">
        <f>IF(B39="","",B39/C39)</f>
        <v/>
      </c>
    </row>
    <row r="40" ht="15" customHeight="1" s="87">
      <c r="A40" s="138" t="n">
        <v>46384</v>
      </c>
      <c r="B40" s="95" t="n"/>
      <c r="C40" s="168" t="n">
        <v>3360000</v>
      </c>
      <c r="D40" s="168">
        <f>IF(B40="","",C40-B40)</f>
        <v/>
      </c>
      <c r="E40" s="94">
        <f>IF(B40="","",B40/C40)</f>
        <v/>
      </c>
    </row>
    <row r="41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22" customWidth="1" style="86" min="2" max="2"/>
    <col width="14" customWidth="1" style="86" min="3" max="4"/>
    <col width="12" customWidth="1" style="86" min="5" max="5"/>
  </cols>
  <sheetData>
    <row r="1" ht="17.35" customHeight="1" s="87">
      <c r="A1" s="126" t="inlineStr">
        <is>
          <t>2028 — Meta de Utilidad Neta (NAT)</t>
        </is>
      </c>
    </row>
    <row r="2" ht="35.05" customHeight="1" s="87">
      <c r="A2" s="164" t="inlineStr">
        <is>
          <t>Meta de utilidad neta después de impuestos para 2028. Debajo: el camino de GP y la cobertura de backlog — cuánto GP ya está comprometido por contratos conocidos y cuánto falta vender. Se actualiza cada semana de 2026.</t>
        </is>
      </c>
    </row>
    <row r="4" ht="15" customHeight="1" s="87">
      <c r="A4" s="104" t="inlineStr">
        <is>
          <t>Ingreso meta:</t>
        </is>
      </c>
      <c r="B4" s="165" t="n">
        <v>28571000</v>
      </c>
      <c r="D4" s="104" t="inlineStr">
        <is>
          <t>GP meta %:</t>
        </is>
      </c>
      <c r="E4" s="166" t="n">
        <v>0.164</v>
      </c>
    </row>
    <row r="5" ht="17.35" customHeight="1" s="87">
      <c r="A5" s="104" t="inlineStr">
        <is>
          <t>GP meta (Ingreso × GP%):</t>
        </is>
      </c>
      <c r="B5" s="165" t="n">
        <v>4685644</v>
      </c>
      <c r="D5" s="104" t="inlineStr">
        <is>
          <t>META NAT (utilidad neta):</t>
        </is>
      </c>
      <c r="E5" s="167" t="n">
        <v>2000000</v>
      </c>
    </row>
    <row r="6" ht="15" customHeight="1" s="87">
      <c r="A6" s="104" t="inlineStr">
        <is>
          <t>GP comprometido (último):</t>
        </is>
      </c>
      <c r="B6" s="165" t="n">
        <v>2500000</v>
      </c>
      <c r="D6" s="104" t="inlineStr">
        <is>
          <t>% cobertura:</t>
        </is>
      </c>
      <c r="E6" s="166" t="n">
        <v>0.5335445885346817</v>
      </c>
    </row>
    <row r="7" ht="15" customHeight="1" s="87">
      <c r="A7" s="104" t="inlineStr">
        <is>
          <t>Brecha (falta vender):</t>
        </is>
      </c>
      <c r="B7" s="165" t="n">
        <v>2185644</v>
      </c>
      <c r="D7" s="104" t="inlineStr">
        <is>
          <t>Margen NAT (NAT / Ingreso):</t>
        </is>
      </c>
      <c r="E7" s="166" t="n">
        <v>0.0700010500157502</v>
      </c>
    </row>
    <row r="9" ht="15" customHeight="1" s="87">
      <c r="A9" s="90" t="inlineStr">
        <is>
          <t>Backlog comprometido por semana (2028)</t>
        </is>
      </c>
    </row>
    <row r="11" ht="23.85" customHeight="1" s="87">
      <c r="A11" s="99" t="inlineStr">
        <is>
          <t>Semana</t>
        </is>
      </c>
      <c r="B11" s="99" t="inlineStr">
        <is>
          <t>GP comprometido (acum.)</t>
        </is>
      </c>
      <c r="C11" s="99" t="inlineStr">
        <is>
          <t>GP meta</t>
        </is>
      </c>
      <c r="D11" s="99" t="inlineStr">
        <is>
          <t>Brecha</t>
        </is>
      </c>
      <c r="E11" s="99" t="inlineStr">
        <is>
          <t>% cobertura</t>
        </is>
      </c>
    </row>
    <row r="12" ht="15" customHeight="1" s="87">
      <c r="A12" s="138" t="n">
        <v>46188</v>
      </c>
      <c r="B12" s="95" t="n">
        <v>1600000</v>
      </c>
      <c r="C12" s="168" t="n">
        <v>4685644</v>
      </c>
      <c r="D12" s="168" t="n">
        <v>3085644</v>
      </c>
      <c r="E12" s="94" t="n">
        <v>0.3414685366621963</v>
      </c>
    </row>
    <row r="13" ht="15" customHeight="1" s="87">
      <c r="A13" s="145" t="n">
        <v>46195</v>
      </c>
      <c r="B13" s="95" t="n">
        <v>1900000</v>
      </c>
      <c r="C13" s="169" t="n">
        <v>4685644</v>
      </c>
      <c r="D13" s="169" t="n">
        <v>2785644</v>
      </c>
      <c r="E13" s="103" t="n">
        <v>0.4054938872863581</v>
      </c>
    </row>
    <row r="14" ht="15" customHeight="1" s="87">
      <c r="A14" s="138" t="n">
        <v>46202</v>
      </c>
      <c r="B14" s="95" t="n">
        <v>2150000</v>
      </c>
      <c r="C14" s="168" t="n">
        <v>4685644</v>
      </c>
      <c r="D14" s="168" t="n">
        <v>2535644</v>
      </c>
      <c r="E14" s="94" t="n">
        <v>0.4588483461398262</v>
      </c>
    </row>
    <row r="15" ht="15" customHeight="1" s="87">
      <c r="A15" s="145" t="n">
        <v>46209</v>
      </c>
      <c r="B15" s="95" t="n">
        <v>2350000</v>
      </c>
      <c r="C15" s="169" t="n">
        <v>4685644</v>
      </c>
      <c r="D15" s="169" t="n">
        <v>2335644</v>
      </c>
      <c r="E15" s="103" t="n">
        <v>0.5015319132226008</v>
      </c>
    </row>
    <row r="16" ht="15" customHeight="1" s="87">
      <c r="A16" s="138" t="n">
        <v>46216</v>
      </c>
      <c r="B16" s="95" t="n">
        <v>2500000</v>
      </c>
      <c r="C16" s="168" t="n">
        <v>4685644</v>
      </c>
      <c r="D16" s="168" t="n">
        <v>2185644</v>
      </c>
      <c r="E16" s="94" t="n">
        <v>0.5335445885346817</v>
      </c>
    </row>
    <row r="17" ht="15" customHeight="1" s="87">
      <c r="A17" s="145" t="n">
        <v>46223</v>
      </c>
      <c r="B17" s="95" t="n"/>
      <c r="C17" s="169" t="n">
        <v>4685644</v>
      </c>
      <c r="D17" s="169">
        <f>IF(B17="","",C17-B17)</f>
        <v/>
      </c>
      <c r="E17" s="103">
        <f>IF(B17="","",B17/C17)</f>
        <v/>
      </c>
    </row>
    <row r="18" ht="15" customHeight="1" s="87">
      <c r="A18" s="138" t="n">
        <v>46230</v>
      </c>
      <c r="B18" s="95" t="n"/>
      <c r="C18" s="168" t="n">
        <v>4685644</v>
      </c>
      <c r="D18" s="168">
        <f>IF(B18="","",C18-B18)</f>
        <v/>
      </c>
      <c r="E18" s="94">
        <f>IF(B18="","",B18/C18)</f>
        <v/>
      </c>
    </row>
    <row r="19" ht="15" customHeight="1" s="87">
      <c r="A19" s="145" t="n">
        <v>46237</v>
      </c>
      <c r="B19" s="95" t="n"/>
      <c r="C19" s="169" t="n">
        <v>4685644</v>
      </c>
      <c r="D19" s="169">
        <f>IF(B19="","",C19-B19)</f>
        <v/>
      </c>
      <c r="E19" s="103">
        <f>IF(B19="","",B19/C19)</f>
        <v/>
      </c>
    </row>
    <row r="20" ht="15" customHeight="1" s="87">
      <c r="A20" s="138" t="n">
        <v>46244</v>
      </c>
      <c r="B20" s="95" t="n"/>
      <c r="C20" s="168" t="n">
        <v>4685644</v>
      </c>
      <c r="D20" s="168">
        <f>IF(B20="","",C20-B20)</f>
        <v/>
      </c>
      <c r="E20" s="94">
        <f>IF(B20="","",B20/C20)</f>
        <v/>
      </c>
    </row>
    <row r="21" ht="15" customHeight="1" s="87">
      <c r="A21" s="145" t="n">
        <v>46251</v>
      </c>
      <c r="B21" s="95" t="n"/>
      <c r="C21" s="169" t="n">
        <v>4685644</v>
      </c>
      <c r="D21" s="169">
        <f>IF(B21="","",C21-B21)</f>
        <v/>
      </c>
      <c r="E21" s="103">
        <f>IF(B21="","",B21/C21)</f>
        <v/>
      </c>
    </row>
    <row r="22" ht="15" customHeight="1" s="87">
      <c r="A22" s="138" t="n">
        <v>46258</v>
      </c>
      <c r="B22" s="95" t="n"/>
      <c r="C22" s="168" t="n">
        <v>4685644</v>
      </c>
      <c r="D22" s="168">
        <f>IF(B22="","",C22-B22)</f>
        <v/>
      </c>
      <c r="E22" s="94">
        <f>IF(B22="","",B22/C22)</f>
        <v/>
      </c>
    </row>
    <row r="23" ht="15" customHeight="1" s="87">
      <c r="A23" s="145" t="n">
        <v>46265</v>
      </c>
      <c r="B23" s="95" t="n"/>
      <c r="C23" s="169" t="n">
        <v>4685644</v>
      </c>
      <c r="D23" s="169">
        <f>IF(B23="","",C23-B23)</f>
        <v/>
      </c>
      <c r="E23" s="103">
        <f>IF(B23="","",B23/C23)</f>
        <v/>
      </c>
    </row>
    <row r="24" ht="15" customHeight="1" s="87">
      <c r="A24" s="138" t="n">
        <v>46272</v>
      </c>
      <c r="B24" s="95" t="n"/>
      <c r="C24" s="168" t="n">
        <v>4685644</v>
      </c>
      <c r="D24" s="168">
        <f>IF(B24="","",C24-B24)</f>
        <v/>
      </c>
      <c r="E24" s="94">
        <f>IF(B24="","",B24/C24)</f>
        <v/>
      </c>
    </row>
    <row r="25" ht="15" customHeight="1" s="87">
      <c r="A25" s="145" t="n">
        <v>46279</v>
      </c>
      <c r="B25" s="95" t="n"/>
      <c r="C25" s="169" t="n">
        <v>4685644</v>
      </c>
      <c r="D25" s="169">
        <f>IF(B25="","",C25-B25)</f>
        <v/>
      </c>
      <c r="E25" s="103">
        <f>IF(B25="","",B25/C25)</f>
        <v/>
      </c>
    </row>
    <row r="26" ht="15" customHeight="1" s="87">
      <c r="A26" s="138" t="n">
        <v>46286</v>
      </c>
      <c r="B26" s="95" t="n"/>
      <c r="C26" s="168" t="n">
        <v>4685644</v>
      </c>
      <c r="D26" s="168">
        <f>IF(B26="","",C26-B26)</f>
        <v/>
      </c>
      <c r="E26" s="94">
        <f>IF(B26="","",B26/C26)</f>
        <v/>
      </c>
    </row>
    <row r="27" ht="15" customHeight="1" s="87">
      <c r="A27" s="145" t="n">
        <v>46293</v>
      </c>
      <c r="B27" s="95" t="n"/>
      <c r="C27" s="169" t="n">
        <v>4685644</v>
      </c>
      <c r="D27" s="169">
        <f>IF(B27="","",C27-B27)</f>
        <v/>
      </c>
      <c r="E27" s="103">
        <f>IF(B27="","",B27/C27)</f>
        <v/>
      </c>
    </row>
    <row r="28" ht="15" customHeight="1" s="87">
      <c r="A28" s="138" t="n">
        <v>46300</v>
      </c>
      <c r="B28" s="95" t="n"/>
      <c r="C28" s="168" t="n">
        <v>4685644</v>
      </c>
      <c r="D28" s="168">
        <f>IF(B28="","",C28-B28)</f>
        <v/>
      </c>
      <c r="E28" s="94">
        <f>IF(B28="","",B28/C28)</f>
        <v/>
      </c>
    </row>
    <row r="29" ht="15" customHeight="1" s="87">
      <c r="A29" s="145" t="n">
        <v>46307</v>
      </c>
      <c r="B29" s="95" t="n"/>
      <c r="C29" s="169" t="n">
        <v>4685644</v>
      </c>
      <c r="D29" s="169">
        <f>IF(B29="","",C29-B29)</f>
        <v/>
      </c>
      <c r="E29" s="103">
        <f>IF(B29="","",B29/C29)</f>
        <v/>
      </c>
    </row>
    <row r="30" ht="15" customHeight="1" s="87">
      <c r="A30" s="138" t="n">
        <v>46314</v>
      </c>
      <c r="B30" s="95" t="n"/>
      <c r="C30" s="168" t="n">
        <v>4685644</v>
      </c>
      <c r="D30" s="168">
        <f>IF(B30="","",C30-B30)</f>
        <v/>
      </c>
      <c r="E30" s="94">
        <f>IF(B30="","",B30/C30)</f>
        <v/>
      </c>
    </row>
    <row r="31" ht="15" customHeight="1" s="87">
      <c r="A31" s="145" t="n">
        <v>46321</v>
      </c>
      <c r="B31" s="95" t="n"/>
      <c r="C31" s="169" t="n">
        <v>4685644</v>
      </c>
      <c r="D31" s="169">
        <f>IF(B31="","",C31-B31)</f>
        <v/>
      </c>
      <c r="E31" s="103">
        <f>IF(B31="","",B31/C31)</f>
        <v/>
      </c>
    </row>
    <row r="32" ht="15" customHeight="1" s="87">
      <c r="A32" s="138" t="n">
        <v>46328</v>
      </c>
      <c r="B32" s="95" t="n"/>
      <c r="C32" s="168" t="n">
        <v>4685644</v>
      </c>
      <c r="D32" s="168">
        <f>IF(B32="","",C32-B32)</f>
        <v/>
      </c>
      <c r="E32" s="94">
        <f>IF(B32="","",B32/C32)</f>
        <v/>
      </c>
    </row>
    <row r="33" ht="15" customHeight="1" s="87">
      <c r="A33" s="145" t="n">
        <v>46335</v>
      </c>
      <c r="B33" s="95" t="n"/>
      <c r="C33" s="169" t="n">
        <v>4685644</v>
      </c>
      <c r="D33" s="169">
        <f>IF(B33="","",C33-B33)</f>
        <v/>
      </c>
      <c r="E33" s="103">
        <f>IF(B33="","",B33/C33)</f>
        <v/>
      </c>
    </row>
    <row r="34" ht="15" customHeight="1" s="87">
      <c r="A34" s="138" t="n">
        <v>46342</v>
      </c>
      <c r="B34" s="95" t="n"/>
      <c r="C34" s="168" t="n">
        <v>4685644</v>
      </c>
      <c r="D34" s="168">
        <f>IF(B34="","",C34-B34)</f>
        <v/>
      </c>
      <c r="E34" s="94">
        <f>IF(B34="","",B34/C34)</f>
        <v/>
      </c>
    </row>
    <row r="35" ht="15" customHeight="1" s="87">
      <c r="A35" s="145" t="n">
        <v>46349</v>
      </c>
      <c r="B35" s="95" t="n"/>
      <c r="C35" s="169" t="n">
        <v>4685644</v>
      </c>
      <c r="D35" s="169">
        <f>IF(B35="","",C35-B35)</f>
        <v/>
      </c>
      <c r="E35" s="103">
        <f>IF(B35="","",B35/C35)</f>
        <v/>
      </c>
    </row>
    <row r="36" ht="15" customHeight="1" s="87">
      <c r="A36" s="138" t="n">
        <v>46356</v>
      </c>
      <c r="B36" s="95" t="n"/>
      <c r="C36" s="168" t="n">
        <v>4685644</v>
      </c>
      <c r="D36" s="168">
        <f>IF(B36="","",C36-B36)</f>
        <v/>
      </c>
      <c r="E36" s="94">
        <f>IF(B36="","",B36/C36)</f>
        <v/>
      </c>
    </row>
    <row r="37" ht="15" customHeight="1" s="87">
      <c r="A37" s="145" t="n">
        <v>46363</v>
      </c>
      <c r="B37" s="95" t="n"/>
      <c r="C37" s="169" t="n">
        <v>4685644</v>
      </c>
      <c r="D37" s="169">
        <f>IF(B37="","",C37-B37)</f>
        <v/>
      </c>
      <c r="E37" s="103">
        <f>IF(B37="","",B37/C37)</f>
        <v/>
      </c>
    </row>
    <row r="38" ht="15" customHeight="1" s="87">
      <c r="A38" s="138" t="n">
        <v>46370</v>
      </c>
      <c r="B38" s="95" t="n"/>
      <c r="C38" s="168" t="n">
        <v>4685644</v>
      </c>
      <c r="D38" s="168">
        <f>IF(B38="","",C38-B38)</f>
        <v/>
      </c>
      <c r="E38" s="94">
        <f>IF(B38="","",B38/C38)</f>
        <v/>
      </c>
    </row>
    <row r="39" ht="15" customHeight="1" s="87">
      <c r="A39" s="145" t="n">
        <v>46377</v>
      </c>
      <c r="B39" s="95" t="n"/>
      <c r="C39" s="169" t="n">
        <v>4685644</v>
      </c>
      <c r="D39" s="169">
        <f>IF(B39="","",C39-B39)</f>
        <v/>
      </c>
      <c r="E39" s="103">
        <f>IF(B39="","",B39/C39)</f>
        <v/>
      </c>
    </row>
    <row r="40" ht="15" customHeight="1" s="87">
      <c r="A40" s="138" t="n">
        <v>46384</v>
      </c>
      <c r="B40" s="95" t="n"/>
      <c r="C40" s="168" t="n">
        <v>4685644</v>
      </c>
      <c r="D40" s="168">
        <f>IF(B40="","",C40-B40)</f>
        <v/>
      </c>
      <c r="E40" s="94">
        <f>IF(B40="","",B40/C40)</f>
        <v/>
      </c>
    </row>
    <row r="41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22" customWidth="1" style="86" min="2" max="2"/>
    <col width="14" customWidth="1" style="86" min="3" max="4"/>
    <col width="12" customWidth="1" style="86" min="5" max="5"/>
  </cols>
  <sheetData>
    <row r="1" ht="17.35" customHeight="1" s="87">
      <c r="A1" s="126" t="inlineStr">
        <is>
          <t>2029 — Meta de Utilidad Neta (NAT)</t>
        </is>
      </c>
    </row>
    <row r="2" ht="35.05" customHeight="1" s="87">
      <c r="A2" s="164" t="inlineStr">
        <is>
          <t>Meta de utilidad neta después de impuestos para 2029. Debajo: el camino de GP y la cobertura de backlog — cuánto GP ya está comprometido por contratos conocidos y cuánto falta vender. Se actualiza cada semana de 2026.</t>
        </is>
      </c>
    </row>
    <row r="4" ht="15" customHeight="1" s="87">
      <c r="A4" s="104" t="inlineStr">
        <is>
          <t>Ingreso meta:</t>
        </is>
      </c>
      <c r="B4" s="165" t="n">
        <v>30571000</v>
      </c>
      <c r="D4" s="104" t="inlineStr">
        <is>
          <t>GP meta %:</t>
        </is>
      </c>
      <c r="E4" s="170" t="n">
        <v>0.165</v>
      </c>
    </row>
    <row r="5" ht="17.35" customHeight="1" s="87">
      <c r="A5" s="104" t="inlineStr">
        <is>
          <t>GP meta (Ingreso × GP%):</t>
        </is>
      </c>
      <c r="B5" s="165" t="n">
        <v>5044215</v>
      </c>
      <c r="D5" s="104" t="inlineStr">
        <is>
          <t>META NAT (utilidad neta):</t>
        </is>
      </c>
      <c r="E5" s="167" t="n">
        <v>2445680</v>
      </c>
    </row>
    <row r="6" ht="15" customHeight="1" s="87">
      <c r="A6" s="104" t="inlineStr">
        <is>
          <t>GP comprometido (último):</t>
        </is>
      </c>
      <c r="B6" s="165" t="n">
        <v>1550000</v>
      </c>
      <c r="D6" s="104" t="inlineStr">
        <is>
          <t>% cobertura:</t>
        </is>
      </c>
      <c r="E6" s="166" t="n">
        <v>0.3072826990919301</v>
      </c>
    </row>
    <row r="7" ht="15" customHeight="1" s="87">
      <c r="A7" s="104" t="inlineStr">
        <is>
          <t>Brecha (falta vender):</t>
        </is>
      </c>
      <c r="B7" s="165" t="n">
        <v>3494215</v>
      </c>
      <c r="D7" s="104" t="inlineStr">
        <is>
          <t>Margen NAT (NAT / Ingreso):</t>
        </is>
      </c>
      <c r="E7" s="166" t="n">
        <v>0.08</v>
      </c>
    </row>
    <row r="9" ht="15" customHeight="1" s="87">
      <c r="A9" s="90" t="inlineStr">
        <is>
          <t>Backlog comprometido por semana (2029)</t>
        </is>
      </c>
    </row>
    <row r="11" ht="23.85" customHeight="1" s="87">
      <c r="A11" s="99" t="inlineStr">
        <is>
          <t>Semana</t>
        </is>
      </c>
      <c r="B11" s="99" t="inlineStr">
        <is>
          <t>GP comprometido (acum.)</t>
        </is>
      </c>
      <c r="C11" s="99" t="inlineStr">
        <is>
          <t>GP meta</t>
        </is>
      </c>
      <c r="D11" s="99" t="inlineStr">
        <is>
          <t>Brecha</t>
        </is>
      </c>
      <c r="E11" s="99" t="inlineStr">
        <is>
          <t>% cobertura</t>
        </is>
      </c>
    </row>
    <row r="12" ht="15" customHeight="1" s="87">
      <c r="A12" s="138" t="n">
        <v>46188</v>
      </c>
      <c r="B12" s="95" t="n">
        <v>700000</v>
      </c>
      <c r="C12" s="168" t="n">
        <v>5044215</v>
      </c>
      <c r="D12" s="168" t="n">
        <v>4344215</v>
      </c>
      <c r="E12" s="94" t="n">
        <v>0.1387728318479684</v>
      </c>
    </row>
    <row r="13" ht="15" customHeight="1" s="87">
      <c r="A13" s="145" t="n">
        <v>46195</v>
      </c>
      <c r="B13" s="95" t="n">
        <v>950000</v>
      </c>
      <c r="C13" s="169" t="n">
        <v>5044215</v>
      </c>
      <c r="D13" s="169" t="n">
        <v>4094215</v>
      </c>
      <c r="E13" s="103" t="n">
        <v>0.1883345575079571</v>
      </c>
    </row>
    <row r="14" ht="15" customHeight="1" s="87">
      <c r="A14" s="138" t="n">
        <v>46202</v>
      </c>
      <c r="B14" s="95" t="n">
        <v>1150000</v>
      </c>
      <c r="C14" s="168" t="n">
        <v>5044215</v>
      </c>
      <c r="D14" s="168" t="n">
        <v>3894215</v>
      </c>
      <c r="E14" s="94" t="n">
        <v>0.2279839380359481</v>
      </c>
    </row>
    <row r="15" ht="15" customHeight="1" s="87">
      <c r="A15" s="145" t="n">
        <v>46209</v>
      </c>
      <c r="B15" s="95" t="n">
        <v>1350000</v>
      </c>
      <c r="C15" s="169" t="n">
        <v>5044215</v>
      </c>
      <c r="D15" s="169" t="n">
        <v>3694215</v>
      </c>
      <c r="E15" s="103" t="n">
        <v>0.2676333185639391</v>
      </c>
    </row>
    <row r="16" ht="15" customHeight="1" s="87">
      <c r="A16" s="138" t="n">
        <v>46216</v>
      </c>
      <c r="B16" s="95" t="n">
        <v>1550000</v>
      </c>
      <c r="C16" s="168" t="n">
        <v>5044215</v>
      </c>
      <c r="D16" s="168" t="n">
        <v>3494215</v>
      </c>
      <c r="E16" s="94" t="n">
        <v>0.3072826990919301</v>
      </c>
    </row>
    <row r="17" ht="15" customHeight="1" s="87">
      <c r="A17" s="145" t="n">
        <v>46223</v>
      </c>
      <c r="B17" s="95" t="n"/>
      <c r="C17" s="169" t="n">
        <v>5044215</v>
      </c>
      <c r="D17" s="169">
        <f>IF(B17="","",C17-B17)</f>
        <v/>
      </c>
      <c r="E17" s="103">
        <f>IF(B17="","",B17/C17)</f>
        <v/>
      </c>
    </row>
    <row r="18" ht="15" customHeight="1" s="87">
      <c r="A18" s="138" t="n">
        <v>46230</v>
      </c>
      <c r="B18" s="95" t="n"/>
      <c r="C18" s="168" t="n">
        <v>5044215</v>
      </c>
      <c r="D18" s="168">
        <f>IF(B18="","",C18-B18)</f>
        <v/>
      </c>
      <c r="E18" s="94">
        <f>IF(B18="","",B18/C18)</f>
        <v/>
      </c>
    </row>
    <row r="19" ht="15" customHeight="1" s="87">
      <c r="A19" s="145" t="n">
        <v>46237</v>
      </c>
      <c r="B19" s="95" t="n"/>
      <c r="C19" s="169" t="n">
        <v>5044215</v>
      </c>
      <c r="D19" s="169">
        <f>IF(B19="","",C19-B19)</f>
        <v/>
      </c>
      <c r="E19" s="103">
        <f>IF(B19="","",B19/C19)</f>
        <v/>
      </c>
    </row>
    <row r="20" ht="15" customHeight="1" s="87">
      <c r="A20" s="138" t="n">
        <v>46244</v>
      </c>
      <c r="B20" s="95" t="n"/>
      <c r="C20" s="168" t="n">
        <v>5044215</v>
      </c>
      <c r="D20" s="168">
        <f>IF(B20="","",C20-B20)</f>
        <v/>
      </c>
      <c r="E20" s="94">
        <f>IF(B20="","",B20/C20)</f>
        <v/>
      </c>
    </row>
    <row r="21" ht="15" customHeight="1" s="87">
      <c r="A21" s="145" t="n">
        <v>46251</v>
      </c>
      <c r="B21" s="95" t="n"/>
      <c r="C21" s="169" t="n">
        <v>5044215</v>
      </c>
      <c r="D21" s="169">
        <f>IF(B21="","",C21-B21)</f>
        <v/>
      </c>
      <c r="E21" s="103">
        <f>IF(B21="","",B21/C21)</f>
        <v/>
      </c>
    </row>
    <row r="22" ht="15" customHeight="1" s="87">
      <c r="A22" s="138" t="n">
        <v>46258</v>
      </c>
      <c r="B22" s="95" t="n"/>
      <c r="C22" s="168" t="n">
        <v>5044215</v>
      </c>
      <c r="D22" s="168">
        <f>IF(B22="","",C22-B22)</f>
        <v/>
      </c>
      <c r="E22" s="94">
        <f>IF(B22="","",B22/C22)</f>
        <v/>
      </c>
    </row>
    <row r="23" ht="15" customHeight="1" s="87">
      <c r="A23" s="145" t="n">
        <v>46265</v>
      </c>
      <c r="B23" s="95" t="n"/>
      <c r="C23" s="169" t="n">
        <v>5044215</v>
      </c>
      <c r="D23" s="169">
        <f>IF(B23="","",C23-B23)</f>
        <v/>
      </c>
      <c r="E23" s="103">
        <f>IF(B23="","",B23/C23)</f>
        <v/>
      </c>
    </row>
    <row r="24" ht="15" customHeight="1" s="87">
      <c r="A24" s="138" t="n">
        <v>46272</v>
      </c>
      <c r="B24" s="95" t="n"/>
      <c r="C24" s="168" t="n">
        <v>5044215</v>
      </c>
      <c r="D24" s="168">
        <f>IF(B24="","",C24-B24)</f>
        <v/>
      </c>
      <c r="E24" s="94">
        <f>IF(B24="","",B24/C24)</f>
        <v/>
      </c>
    </row>
    <row r="25" ht="15" customHeight="1" s="87">
      <c r="A25" s="145" t="n">
        <v>46279</v>
      </c>
      <c r="B25" s="95" t="n"/>
      <c r="C25" s="169" t="n">
        <v>5044215</v>
      </c>
      <c r="D25" s="169">
        <f>IF(B25="","",C25-B25)</f>
        <v/>
      </c>
      <c r="E25" s="103">
        <f>IF(B25="","",B25/C25)</f>
        <v/>
      </c>
    </row>
    <row r="26" ht="15" customHeight="1" s="87">
      <c r="A26" s="138" t="n">
        <v>46286</v>
      </c>
      <c r="B26" s="95" t="n"/>
      <c r="C26" s="168" t="n">
        <v>5044215</v>
      </c>
      <c r="D26" s="168">
        <f>IF(B26="","",C26-B26)</f>
        <v/>
      </c>
      <c r="E26" s="94">
        <f>IF(B26="","",B26/C26)</f>
        <v/>
      </c>
    </row>
    <row r="27" ht="15" customHeight="1" s="87">
      <c r="A27" s="145" t="n">
        <v>46293</v>
      </c>
      <c r="B27" s="95" t="n"/>
      <c r="C27" s="169" t="n">
        <v>5044215</v>
      </c>
      <c r="D27" s="169">
        <f>IF(B27="","",C27-B27)</f>
        <v/>
      </c>
      <c r="E27" s="103">
        <f>IF(B27="","",B27/C27)</f>
        <v/>
      </c>
    </row>
    <row r="28" ht="15" customHeight="1" s="87">
      <c r="A28" s="138" t="n">
        <v>46300</v>
      </c>
      <c r="B28" s="95" t="n"/>
      <c r="C28" s="168" t="n">
        <v>5044215</v>
      </c>
      <c r="D28" s="168">
        <f>IF(B28="","",C28-B28)</f>
        <v/>
      </c>
      <c r="E28" s="94">
        <f>IF(B28="","",B28/C28)</f>
        <v/>
      </c>
    </row>
    <row r="29" ht="15" customHeight="1" s="87">
      <c r="A29" s="145" t="n">
        <v>46307</v>
      </c>
      <c r="B29" s="95" t="n"/>
      <c r="C29" s="169" t="n">
        <v>5044215</v>
      </c>
      <c r="D29" s="169">
        <f>IF(B29="","",C29-B29)</f>
        <v/>
      </c>
      <c r="E29" s="103">
        <f>IF(B29="","",B29/C29)</f>
        <v/>
      </c>
    </row>
    <row r="30" ht="15" customHeight="1" s="87">
      <c r="A30" s="138" t="n">
        <v>46314</v>
      </c>
      <c r="B30" s="95" t="n"/>
      <c r="C30" s="168" t="n">
        <v>5044215</v>
      </c>
      <c r="D30" s="168">
        <f>IF(B30="","",C30-B30)</f>
        <v/>
      </c>
      <c r="E30" s="94">
        <f>IF(B30="","",B30/C30)</f>
        <v/>
      </c>
    </row>
    <row r="31" ht="15" customHeight="1" s="87">
      <c r="A31" s="145" t="n">
        <v>46321</v>
      </c>
      <c r="B31" s="95" t="n"/>
      <c r="C31" s="169" t="n">
        <v>5044215</v>
      </c>
      <c r="D31" s="169">
        <f>IF(B31="","",C31-B31)</f>
        <v/>
      </c>
      <c r="E31" s="103">
        <f>IF(B31="","",B31/C31)</f>
        <v/>
      </c>
    </row>
    <row r="32" ht="15" customHeight="1" s="87">
      <c r="A32" s="138" t="n">
        <v>46328</v>
      </c>
      <c r="B32" s="95" t="n"/>
      <c r="C32" s="168" t="n">
        <v>5044215</v>
      </c>
      <c r="D32" s="168">
        <f>IF(B32="","",C32-B32)</f>
        <v/>
      </c>
      <c r="E32" s="94">
        <f>IF(B32="","",B32/C32)</f>
        <v/>
      </c>
    </row>
    <row r="33" ht="15" customHeight="1" s="87">
      <c r="A33" s="145" t="n">
        <v>46335</v>
      </c>
      <c r="B33" s="95" t="n"/>
      <c r="C33" s="169" t="n">
        <v>5044215</v>
      </c>
      <c r="D33" s="169">
        <f>IF(B33="","",C33-B33)</f>
        <v/>
      </c>
      <c r="E33" s="103">
        <f>IF(B33="","",B33/C33)</f>
        <v/>
      </c>
    </row>
    <row r="34" ht="15" customHeight="1" s="87">
      <c r="A34" s="138" t="n">
        <v>46342</v>
      </c>
      <c r="B34" s="95" t="n"/>
      <c r="C34" s="168" t="n">
        <v>5044215</v>
      </c>
      <c r="D34" s="168">
        <f>IF(B34="","",C34-B34)</f>
        <v/>
      </c>
      <c r="E34" s="94">
        <f>IF(B34="","",B34/C34)</f>
        <v/>
      </c>
    </row>
    <row r="35" ht="15" customHeight="1" s="87">
      <c r="A35" s="145" t="n">
        <v>46349</v>
      </c>
      <c r="B35" s="95" t="n"/>
      <c r="C35" s="169" t="n">
        <v>5044215</v>
      </c>
      <c r="D35" s="169">
        <f>IF(B35="","",C35-B35)</f>
        <v/>
      </c>
      <c r="E35" s="103">
        <f>IF(B35="","",B35/C35)</f>
        <v/>
      </c>
    </row>
    <row r="36" ht="15" customHeight="1" s="87">
      <c r="A36" s="138" t="n">
        <v>46356</v>
      </c>
      <c r="B36" s="95" t="n"/>
      <c r="C36" s="168" t="n">
        <v>5044215</v>
      </c>
      <c r="D36" s="168">
        <f>IF(B36="","",C36-B36)</f>
        <v/>
      </c>
      <c r="E36" s="94">
        <f>IF(B36="","",B36/C36)</f>
        <v/>
      </c>
    </row>
    <row r="37" ht="15" customHeight="1" s="87">
      <c r="A37" s="145" t="n">
        <v>46363</v>
      </c>
      <c r="B37" s="95" t="n"/>
      <c r="C37" s="169" t="n">
        <v>5044215</v>
      </c>
      <c r="D37" s="169">
        <f>IF(B37="","",C37-B37)</f>
        <v/>
      </c>
      <c r="E37" s="103">
        <f>IF(B37="","",B37/C37)</f>
        <v/>
      </c>
    </row>
    <row r="38" ht="15" customHeight="1" s="87">
      <c r="A38" s="138" t="n">
        <v>46370</v>
      </c>
      <c r="B38" s="95" t="n"/>
      <c r="C38" s="168" t="n">
        <v>5044215</v>
      </c>
      <c r="D38" s="168">
        <f>IF(B38="","",C38-B38)</f>
        <v/>
      </c>
      <c r="E38" s="94">
        <f>IF(B38="","",B38/C38)</f>
        <v/>
      </c>
    </row>
    <row r="39" ht="15" customHeight="1" s="87">
      <c r="A39" s="145" t="n">
        <v>46377</v>
      </c>
      <c r="B39" s="95" t="n"/>
      <c r="C39" s="169" t="n">
        <v>5044215</v>
      </c>
      <c r="D39" s="169">
        <f>IF(B39="","",C39-B39)</f>
        <v/>
      </c>
      <c r="E39" s="103">
        <f>IF(B39="","",B39/C39)</f>
        <v/>
      </c>
    </row>
    <row r="40" ht="15" customHeight="1" s="87">
      <c r="A40" s="138" t="n">
        <v>46384</v>
      </c>
      <c r="B40" s="95" t="n"/>
      <c r="C40" s="168" t="n">
        <v>5044215</v>
      </c>
      <c r="D40" s="168">
        <f>IF(B40="","",C40-B40)</f>
        <v/>
      </c>
      <c r="E40" s="94">
        <f>IF(B40="","",B40/C40)</f>
        <v/>
      </c>
    </row>
    <row r="41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6" min="1" max="1"/>
  </cols>
  <sheetData>
    <row r="1" ht="17.35" customHeight="1" s="87">
      <c r="A1" s="171" t="inlineStr">
        <is>
          <t>Cómo usar este tablero 4DX</t>
        </is>
      </c>
    </row>
    <row r="3" ht="15" customHeight="1" s="87">
      <c r="A3" s="172" t="inlineStr">
        <is>
          <t>RITUAL DEL LUNES (antes de la reunión de WIG):</t>
        </is>
      </c>
    </row>
    <row r="4" ht="23.85" customHeight="1" s="87">
      <c r="A4" s="164" t="inlineStr">
        <is>
          <t>1. Cada dueño de WIG abre su pestaña y digita en las celdas AZULES de la semana: el resultado real del lag (columna "Real") y el real de cada lead measure (columnas "Real" bajo cada lead, a la derecha).</t>
        </is>
      </c>
    </row>
    <row r="5" ht="15" customHeight="1" s="87">
      <c r="A5" s="164" t="inlineStr">
        <is>
          <t>2. Finanzas digita el NAT del mes en el Dashboard (columna "NAT real") cuando cierre el mes.</t>
        </is>
      </c>
    </row>
    <row r="6" ht="15" customHeight="1" s="87">
      <c r="A6" s="164" t="inlineStr">
        <is>
          <t>3. El Dashboard se actualiza solo, y el marcador del televisor se refresca arrastrando este archivo a la pantalla.</t>
        </is>
      </c>
    </row>
    <row r="7" ht="15" customHeight="1" s="87">
      <c r="A7" s="164" t="inlineStr">
        <is>
          <t>4. Suban el archivo actualizado a Claude cada lunes y pidan el marcador semanal para la reunión de cadencia.</t>
        </is>
      </c>
    </row>
    <row r="9" ht="15" customHeight="1" s="87">
      <c r="A9" s="172" t="inlineStr">
        <is>
          <t>LEAD MEASURES (hasta 8 por WIG):</t>
        </is>
      </c>
    </row>
    <row r="10" ht="23.85" customHeight="1" s="87">
      <c r="A10" s="164" t="inlineStr">
        <is>
          <t>• Cada WIG tiene hasta 8 indicadores predictivos en columnas a la derecha: el nombre (fila 8) y la meta semanal/mensual (fila 9) son editables en azul.</t>
        </is>
      </c>
    </row>
    <row r="11" ht="23.85" customHeight="1" s="87">
      <c r="A11" s="164" t="inlineStr">
        <is>
          <t>• Los leads L1 y L2 son la apuesta principal: ahí el equipo rinde cuentas con compromisos semanales. L3–L8 son indicadores de apoyo que explican el resultado.</t>
        </is>
      </c>
    </row>
    <row r="12" ht="15" customHeight="1" s="87">
      <c r="A12" s="164" t="inlineStr">
        <is>
          <t>• El % de cada lead se calcula automáticamente contra su meta. Dejar la meta vacía desactiva el lead ("(Disponible)").</t>
        </is>
      </c>
    </row>
    <row r="13" ht="15" customHeight="1" s="87">
      <c r="A13" s="164" t="inlineStr">
        <is>
          <t>• Definan todos los leads en positivo (más = mejor) para que el % se lea igual en todos.</t>
        </is>
      </c>
    </row>
    <row r="15" ht="15" customHeight="1" s="87">
      <c r="A15" s="172" t="inlineStr">
        <is>
          <t>CÓDIGO DE COLORES:</t>
        </is>
      </c>
    </row>
    <row r="16" ht="15" customHeight="1" s="87">
      <c r="A16" s="164" t="inlineStr">
        <is>
          <t>• Texto AZUL = celdas de entrada. Texto NEGRO = fórmulas (no tocar). Texto VERDE = vínculos entre pestañas.</t>
        </is>
      </c>
    </row>
    <row r="17" ht="15" customHeight="1" s="87">
      <c r="A17" s="164" t="inlineStr">
        <is>
          <t>• Fondo AMARILLO = supuestos pendientes de definir (dueños, metas "X" de los WIGs 2 y 9).</t>
        </is>
      </c>
    </row>
    <row r="18" ht="15" customHeight="1" s="87">
      <c r="A18" s="164" t="inlineStr">
        <is>
          <t>• Estado: En meta ≥ 95% del plan · Riesgo 80–95% · Atrasado &lt; 80%.</t>
        </is>
      </c>
    </row>
    <row r="20" ht="15" customHeight="1" s="87">
      <c r="A20" s="172" t="inlineStr">
        <is>
          <t>PRINCIPIO 4DX:</t>
        </is>
      </c>
    </row>
    <row r="21" ht="23.85" customHeight="1" s="87">
      <c r="A21" s="164" t="inlineStr">
        <is>
          <t>Las lead measures son predictivas e influenciables por el equipo; el lag solo se mueve si las leads se cumplen. En la cadencia semanal cada quien rinde cuentas de sus compromisos sobre las leads, no sobre el lag.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2026-06-20T22:40:48Z</dcterms:created>
  <dcterms:modified xsi:type="dcterms:W3CDTF">2026-07-05T23:33:23Z</dcterms:modified>
  <cp:revision>1</cp:revision>
</cp:coreProperties>
</file>