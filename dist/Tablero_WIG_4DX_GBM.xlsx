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drawings/drawing9.xml" ContentType="application/vnd.openxmlformats-officedocument.drawing+xml"/>
  <Override PartName="/xl/charts/chart9.xml" ContentType="application/vnd.openxmlformats-officedocument.drawingml.chart+xml"/>
  <Override PartName="/xl/drawings/drawing10.xml" ContentType="application/vnd.openxmlformats-officedocument.drawing+xml"/>
  <Override PartName="/xl/charts/chart10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/>
  <mc:AlternateContent xmlns:mc="http://schemas.openxmlformats.org/markup-compatibility/2006">
    <mc:Choice Requires="x15">
      <x15ac:absPath xmlns:x15ac="http://schemas.microsoft.com/office/spreadsheetml/2010/11/ac" url="/Users/danilochamorro/conductor/workspaces/wigs-v1/harare/dist/"/>
    </mc:Choice>
  </mc:AlternateContent>
  <xr:revisionPtr revIDLastSave="0" documentId="11_5BD6A45F8D5E17A23300FF7D0E84A13B42BEBC13" xr6:coauthVersionLast="47" xr6:coauthVersionMax="47" xr10:uidLastSave="{00000000-0000-0000-0000-000000000000}"/>
  <bookViews>
    <workbookView xWindow="0" yWindow="680" windowWidth="34560" windowHeight="21660" xr2:uid="{00000000-000D-0000-FFFF-FFFF00000000}"/>
  </bookViews>
  <sheets>
    <sheet name="Dashboard" sheetId="1" r:id="rId1"/>
    <sheet name="1. Smart User 500" sheetId="2" r:id="rId2"/>
    <sheet name="2. MV Advisory" sheetId="3" r:id="rId3"/>
    <sheet name="3. Negocios +30K GP" sheetId="4" r:id="rId4"/>
    <sheet name="4. Entregas 100%" sheetId="5" r:id="rId5"/>
    <sheet name="5. MV Datacenter" sheetId="6" r:id="rId6"/>
    <sheet name="6. Cero Expired" sheetId="7" r:id="rId7"/>
    <sheet name="7. MV Digital Sol" sheetId="8" r:id="rId8"/>
    <sheet name="8. GP 16%" sheetId="9" r:id="rId9"/>
    <sheet name="9. CSAT" sheetId="10" r:id="rId10"/>
    <sheet name="Compromisos" sheetId="11" r:id="rId11"/>
    <sheet name="Instrucciones" sheetId="12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8" i="10" l="1"/>
  <c r="V28" i="10"/>
  <c r="T28" i="10"/>
  <c r="R28" i="10"/>
  <c r="P28" i="10"/>
  <c r="N28" i="10"/>
  <c r="L28" i="10"/>
  <c r="J28" i="10"/>
  <c r="H28" i="10"/>
  <c r="G28" i="10"/>
  <c r="C28" i="10"/>
  <c r="X27" i="10"/>
  <c r="V27" i="10"/>
  <c r="T27" i="10"/>
  <c r="R27" i="10"/>
  <c r="P27" i="10"/>
  <c r="N27" i="10"/>
  <c r="L27" i="10"/>
  <c r="J27" i="10"/>
  <c r="H27" i="10"/>
  <c r="G27" i="10"/>
  <c r="C27" i="10"/>
  <c r="X26" i="10"/>
  <c r="V26" i="10"/>
  <c r="T26" i="10"/>
  <c r="R26" i="10"/>
  <c r="P26" i="10"/>
  <c r="N26" i="10"/>
  <c r="L26" i="10"/>
  <c r="J26" i="10"/>
  <c r="H26" i="10"/>
  <c r="G26" i="10"/>
  <c r="C26" i="10"/>
  <c r="X25" i="10"/>
  <c r="V25" i="10"/>
  <c r="T25" i="10"/>
  <c r="R25" i="10"/>
  <c r="P25" i="10"/>
  <c r="N25" i="10"/>
  <c r="L25" i="10"/>
  <c r="J25" i="10"/>
  <c r="H25" i="10"/>
  <c r="G25" i="10"/>
  <c r="C25" i="10"/>
  <c r="X24" i="10"/>
  <c r="V24" i="10"/>
  <c r="T24" i="10"/>
  <c r="R24" i="10"/>
  <c r="P24" i="10"/>
  <c r="N24" i="10"/>
  <c r="L24" i="10"/>
  <c r="J24" i="10"/>
  <c r="H24" i="10"/>
  <c r="G24" i="10"/>
  <c r="C24" i="10"/>
  <c r="X23" i="10"/>
  <c r="V23" i="10"/>
  <c r="T23" i="10"/>
  <c r="R23" i="10"/>
  <c r="P23" i="10"/>
  <c r="N23" i="10"/>
  <c r="L23" i="10"/>
  <c r="J23" i="10"/>
  <c r="H23" i="10"/>
  <c r="G23" i="10"/>
  <c r="C23" i="10"/>
  <c r="X22" i="10"/>
  <c r="V22" i="10"/>
  <c r="T22" i="10"/>
  <c r="R22" i="10"/>
  <c r="P22" i="10"/>
  <c r="N22" i="10"/>
  <c r="L22" i="10"/>
  <c r="J22" i="10"/>
  <c r="H22" i="10"/>
  <c r="G22" i="10"/>
  <c r="C22" i="10"/>
  <c r="X21" i="10"/>
  <c r="V21" i="10"/>
  <c r="T21" i="10"/>
  <c r="R21" i="10"/>
  <c r="P21" i="10"/>
  <c r="N21" i="10"/>
  <c r="L21" i="10"/>
  <c r="J21" i="10"/>
  <c r="H21" i="10"/>
  <c r="G21" i="10"/>
  <c r="C21" i="10"/>
  <c r="X20" i="10"/>
  <c r="V20" i="10"/>
  <c r="T20" i="10"/>
  <c r="R20" i="10"/>
  <c r="P20" i="10"/>
  <c r="N20" i="10"/>
  <c r="L20" i="10"/>
  <c r="J20" i="10"/>
  <c r="H20" i="10"/>
  <c r="G20" i="10"/>
  <c r="C20" i="10"/>
  <c r="X19" i="10"/>
  <c r="V19" i="10"/>
  <c r="T19" i="10"/>
  <c r="R19" i="10"/>
  <c r="P19" i="10"/>
  <c r="N19" i="10"/>
  <c r="L19" i="10"/>
  <c r="J19" i="10"/>
  <c r="H19" i="10"/>
  <c r="G19" i="10"/>
  <c r="C19" i="10"/>
  <c r="X18" i="10"/>
  <c r="V18" i="10"/>
  <c r="T18" i="10"/>
  <c r="R18" i="10"/>
  <c r="P18" i="10"/>
  <c r="N18" i="10"/>
  <c r="L18" i="10"/>
  <c r="J18" i="10"/>
  <c r="H18" i="10"/>
  <c r="G18" i="10"/>
  <c r="C18" i="10"/>
  <c r="X17" i="10"/>
  <c r="V17" i="10"/>
  <c r="T17" i="10"/>
  <c r="R17" i="10"/>
  <c r="P17" i="10"/>
  <c r="N17" i="10"/>
  <c r="L17" i="10"/>
  <c r="J17" i="10"/>
  <c r="H17" i="10"/>
  <c r="G17" i="10"/>
  <c r="C17" i="10"/>
  <c r="X16" i="10"/>
  <c r="V16" i="10"/>
  <c r="T16" i="10"/>
  <c r="R16" i="10"/>
  <c r="P16" i="10"/>
  <c r="N16" i="10"/>
  <c r="L16" i="10"/>
  <c r="J16" i="10"/>
  <c r="H16" i="10"/>
  <c r="G16" i="10"/>
  <c r="C16" i="10"/>
  <c r="X15" i="10"/>
  <c r="V15" i="10"/>
  <c r="T15" i="10"/>
  <c r="R15" i="10"/>
  <c r="P15" i="10"/>
  <c r="N15" i="10"/>
  <c r="L15" i="10"/>
  <c r="J15" i="10"/>
  <c r="H15" i="10"/>
  <c r="G15" i="10"/>
  <c r="C15" i="10"/>
  <c r="X14" i="10"/>
  <c r="V14" i="10"/>
  <c r="T14" i="10"/>
  <c r="R14" i="10"/>
  <c r="P14" i="10"/>
  <c r="N14" i="10"/>
  <c r="L14" i="10"/>
  <c r="J14" i="10"/>
  <c r="H14" i="10"/>
  <c r="G14" i="10"/>
  <c r="C14" i="10"/>
  <c r="X13" i="10"/>
  <c r="V13" i="10"/>
  <c r="T13" i="10"/>
  <c r="R13" i="10"/>
  <c r="P13" i="10"/>
  <c r="N13" i="10"/>
  <c r="L13" i="10"/>
  <c r="J13" i="10"/>
  <c r="H13" i="10"/>
  <c r="G13" i="10"/>
  <c r="C13" i="10"/>
  <c r="X12" i="10"/>
  <c r="V12" i="10"/>
  <c r="T12" i="10"/>
  <c r="R12" i="10"/>
  <c r="P12" i="10"/>
  <c r="N12" i="10"/>
  <c r="L12" i="10"/>
  <c r="J12" i="10"/>
  <c r="H12" i="10"/>
  <c r="G12" i="10"/>
  <c r="C12" i="10"/>
  <c r="X11" i="10"/>
  <c r="V11" i="10"/>
  <c r="T11" i="10"/>
  <c r="R11" i="10"/>
  <c r="P11" i="10"/>
  <c r="N11" i="10"/>
  <c r="L11" i="10"/>
  <c r="J11" i="10"/>
  <c r="H11" i="10"/>
  <c r="G11" i="10"/>
  <c r="C11" i="10"/>
  <c r="B8" i="10"/>
  <c r="X28" i="9"/>
  <c r="V28" i="9"/>
  <c r="T28" i="9"/>
  <c r="R28" i="9"/>
  <c r="P28" i="9"/>
  <c r="N28" i="9"/>
  <c r="L28" i="9"/>
  <c r="J28" i="9"/>
  <c r="H28" i="9"/>
  <c r="G28" i="9"/>
  <c r="C28" i="9"/>
  <c r="X27" i="9"/>
  <c r="V27" i="9"/>
  <c r="T27" i="9"/>
  <c r="R27" i="9"/>
  <c r="P27" i="9"/>
  <c r="N27" i="9"/>
  <c r="L27" i="9"/>
  <c r="J27" i="9"/>
  <c r="H27" i="9"/>
  <c r="G27" i="9"/>
  <c r="C27" i="9"/>
  <c r="X26" i="9"/>
  <c r="V26" i="9"/>
  <c r="T26" i="9"/>
  <c r="R26" i="9"/>
  <c r="P26" i="9"/>
  <c r="N26" i="9"/>
  <c r="L26" i="9"/>
  <c r="J26" i="9"/>
  <c r="H26" i="9"/>
  <c r="G26" i="9"/>
  <c r="C26" i="9"/>
  <c r="X25" i="9"/>
  <c r="V25" i="9"/>
  <c r="T25" i="9"/>
  <c r="R25" i="9"/>
  <c r="P25" i="9"/>
  <c r="N25" i="9"/>
  <c r="L25" i="9"/>
  <c r="J25" i="9"/>
  <c r="H25" i="9"/>
  <c r="G25" i="9"/>
  <c r="C25" i="9"/>
  <c r="X24" i="9"/>
  <c r="V24" i="9"/>
  <c r="T24" i="9"/>
  <c r="R24" i="9"/>
  <c r="P24" i="9"/>
  <c r="N24" i="9"/>
  <c r="L24" i="9"/>
  <c r="J24" i="9"/>
  <c r="H24" i="9"/>
  <c r="G24" i="9"/>
  <c r="C24" i="9"/>
  <c r="X23" i="9"/>
  <c r="V23" i="9"/>
  <c r="T23" i="9"/>
  <c r="R23" i="9"/>
  <c r="P23" i="9"/>
  <c r="N23" i="9"/>
  <c r="L23" i="9"/>
  <c r="J23" i="9"/>
  <c r="H23" i="9"/>
  <c r="G23" i="9"/>
  <c r="C23" i="9"/>
  <c r="X22" i="9"/>
  <c r="V22" i="9"/>
  <c r="T22" i="9"/>
  <c r="R22" i="9"/>
  <c r="P22" i="9"/>
  <c r="N22" i="9"/>
  <c r="L22" i="9"/>
  <c r="J22" i="9"/>
  <c r="H22" i="9"/>
  <c r="G22" i="9"/>
  <c r="C22" i="9"/>
  <c r="X21" i="9"/>
  <c r="V21" i="9"/>
  <c r="T21" i="9"/>
  <c r="R21" i="9"/>
  <c r="P21" i="9"/>
  <c r="N21" i="9"/>
  <c r="L21" i="9"/>
  <c r="J21" i="9"/>
  <c r="H21" i="9"/>
  <c r="G21" i="9"/>
  <c r="C21" i="9"/>
  <c r="X20" i="9"/>
  <c r="V20" i="9"/>
  <c r="T20" i="9"/>
  <c r="R20" i="9"/>
  <c r="P20" i="9"/>
  <c r="N20" i="9"/>
  <c r="L20" i="9"/>
  <c r="J20" i="9"/>
  <c r="H20" i="9"/>
  <c r="G20" i="9"/>
  <c r="C20" i="9"/>
  <c r="X19" i="9"/>
  <c r="V19" i="9"/>
  <c r="T19" i="9"/>
  <c r="R19" i="9"/>
  <c r="P19" i="9"/>
  <c r="N19" i="9"/>
  <c r="L19" i="9"/>
  <c r="J19" i="9"/>
  <c r="H19" i="9"/>
  <c r="G19" i="9"/>
  <c r="C19" i="9"/>
  <c r="X18" i="9"/>
  <c r="V18" i="9"/>
  <c r="T18" i="9"/>
  <c r="R18" i="9"/>
  <c r="P18" i="9"/>
  <c r="N18" i="9"/>
  <c r="L18" i="9"/>
  <c r="J18" i="9"/>
  <c r="H18" i="9"/>
  <c r="G18" i="9"/>
  <c r="C18" i="9"/>
  <c r="X17" i="9"/>
  <c r="V17" i="9"/>
  <c r="T17" i="9"/>
  <c r="R17" i="9"/>
  <c r="P17" i="9"/>
  <c r="N17" i="9"/>
  <c r="L17" i="9"/>
  <c r="J17" i="9"/>
  <c r="H17" i="9"/>
  <c r="G17" i="9"/>
  <c r="C17" i="9"/>
  <c r="X16" i="9"/>
  <c r="V16" i="9"/>
  <c r="T16" i="9"/>
  <c r="R16" i="9"/>
  <c r="P16" i="9"/>
  <c r="N16" i="9"/>
  <c r="L16" i="9"/>
  <c r="J16" i="9"/>
  <c r="H16" i="9"/>
  <c r="G16" i="9"/>
  <c r="C16" i="9"/>
  <c r="X15" i="9"/>
  <c r="V15" i="9"/>
  <c r="T15" i="9"/>
  <c r="R15" i="9"/>
  <c r="P15" i="9"/>
  <c r="N15" i="9"/>
  <c r="L15" i="9"/>
  <c r="J15" i="9"/>
  <c r="H15" i="9"/>
  <c r="G15" i="9"/>
  <c r="C15" i="9"/>
  <c r="X14" i="9"/>
  <c r="V14" i="9"/>
  <c r="T14" i="9"/>
  <c r="R14" i="9"/>
  <c r="P14" i="9"/>
  <c r="N14" i="9"/>
  <c r="L14" i="9"/>
  <c r="J14" i="9"/>
  <c r="H14" i="9"/>
  <c r="G14" i="9"/>
  <c r="C14" i="9"/>
  <c r="X13" i="9"/>
  <c r="V13" i="9"/>
  <c r="T13" i="9"/>
  <c r="R13" i="9"/>
  <c r="P13" i="9"/>
  <c r="N13" i="9"/>
  <c r="L13" i="9"/>
  <c r="J13" i="9"/>
  <c r="H13" i="9"/>
  <c r="G13" i="9"/>
  <c r="C13" i="9"/>
  <c r="X12" i="9"/>
  <c r="V12" i="9"/>
  <c r="T12" i="9"/>
  <c r="R12" i="9"/>
  <c r="P12" i="9"/>
  <c r="N12" i="9"/>
  <c r="L12" i="9"/>
  <c r="J12" i="9"/>
  <c r="H12" i="9"/>
  <c r="G12" i="9"/>
  <c r="C12" i="9"/>
  <c r="X11" i="9"/>
  <c r="V11" i="9"/>
  <c r="T11" i="9"/>
  <c r="R11" i="9"/>
  <c r="P11" i="9"/>
  <c r="N11" i="9"/>
  <c r="L11" i="9"/>
  <c r="J11" i="9"/>
  <c r="H11" i="9"/>
  <c r="G11" i="9"/>
  <c r="C11" i="9"/>
  <c r="B8" i="9"/>
  <c r="X56" i="8"/>
  <c r="V56" i="8"/>
  <c r="T56" i="8"/>
  <c r="R56" i="8"/>
  <c r="P56" i="8"/>
  <c r="N56" i="8"/>
  <c r="L56" i="8"/>
  <c r="J56" i="8"/>
  <c r="G56" i="8"/>
  <c r="F56" i="8"/>
  <c r="X55" i="8"/>
  <c r="V55" i="8"/>
  <c r="T55" i="8"/>
  <c r="R55" i="8"/>
  <c r="P55" i="8"/>
  <c r="N55" i="8"/>
  <c r="L55" i="8"/>
  <c r="J55" i="8"/>
  <c r="H55" i="8"/>
  <c r="G55" i="8"/>
  <c r="F55" i="8"/>
  <c r="X54" i="8"/>
  <c r="V54" i="8"/>
  <c r="T54" i="8"/>
  <c r="R54" i="8"/>
  <c r="P54" i="8"/>
  <c r="N54" i="8"/>
  <c r="L54" i="8"/>
  <c r="J54" i="8"/>
  <c r="G54" i="8"/>
  <c r="F54" i="8"/>
  <c r="X53" i="8"/>
  <c r="V53" i="8"/>
  <c r="T53" i="8"/>
  <c r="R53" i="8"/>
  <c r="P53" i="8"/>
  <c r="N53" i="8"/>
  <c r="L53" i="8"/>
  <c r="J53" i="8"/>
  <c r="G53" i="8"/>
  <c r="F53" i="8"/>
  <c r="X52" i="8"/>
  <c r="V52" i="8"/>
  <c r="T52" i="8"/>
  <c r="R52" i="8"/>
  <c r="P52" i="8"/>
  <c r="N52" i="8"/>
  <c r="L52" i="8"/>
  <c r="J52" i="8"/>
  <c r="G52" i="8"/>
  <c r="F52" i="8"/>
  <c r="X51" i="8"/>
  <c r="V51" i="8"/>
  <c r="T51" i="8"/>
  <c r="R51" i="8"/>
  <c r="P51" i="8"/>
  <c r="N51" i="8"/>
  <c r="L51" i="8"/>
  <c r="J51" i="8"/>
  <c r="G51" i="8"/>
  <c r="F51" i="8"/>
  <c r="X50" i="8"/>
  <c r="V50" i="8"/>
  <c r="T50" i="8"/>
  <c r="R50" i="8"/>
  <c r="P50" i="8"/>
  <c r="N50" i="8"/>
  <c r="L50" i="8"/>
  <c r="J50" i="8"/>
  <c r="G50" i="8"/>
  <c r="F50" i="8"/>
  <c r="X49" i="8"/>
  <c r="V49" i="8"/>
  <c r="T49" i="8"/>
  <c r="R49" i="8"/>
  <c r="P49" i="8"/>
  <c r="N49" i="8"/>
  <c r="L49" i="8"/>
  <c r="J49" i="8"/>
  <c r="G49" i="8"/>
  <c r="F49" i="8"/>
  <c r="X48" i="8"/>
  <c r="V48" i="8"/>
  <c r="T48" i="8"/>
  <c r="R48" i="8"/>
  <c r="P48" i="8"/>
  <c r="N48" i="8"/>
  <c r="L48" i="8"/>
  <c r="J48" i="8"/>
  <c r="G48" i="8"/>
  <c r="F48" i="8"/>
  <c r="X47" i="8"/>
  <c r="V47" i="8"/>
  <c r="T47" i="8"/>
  <c r="R47" i="8"/>
  <c r="P47" i="8"/>
  <c r="N47" i="8"/>
  <c r="L47" i="8"/>
  <c r="J47" i="8"/>
  <c r="G47" i="8"/>
  <c r="F47" i="8"/>
  <c r="X46" i="8"/>
  <c r="V46" i="8"/>
  <c r="T46" i="8"/>
  <c r="R46" i="8"/>
  <c r="P46" i="8"/>
  <c r="N46" i="8"/>
  <c r="L46" i="8"/>
  <c r="J46" i="8"/>
  <c r="G46" i="8"/>
  <c r="F46" i="8"/>
  <c r="X45" i="8"/>
  <c r="V45" i="8"/>
  <c r="T45" i="8"/>
  <c r="R45" i="8"/>
  <c r="P45" i="8"/>
  <c r="N45" i="8"/>
  <c r="L45" i="8"/>
  <c r="J45" i="8"/>
  <c r="G45" i="8"/>
  <c r="F45" i="8"/>
  <c r="X44" i="8"/>
  <c r="V44" i="8"/>
  <c r="T44" i="8"/>
  <c r="R44" i="8"/>
  <c r="P44" i="8"/>
  <c r="N44" i="8"/>
  <c r="L44" i="8"/>
  <c r="J44" i="8"/>
  <c r="G44" i="8"/>
  <c r="F44" i="8"/>
  <c r="X43" i="8"/>
  <c r="V43" i="8"/>
  <c r="T43" i="8"/>
  <c r="R43" i="8"/>
  <c r="P43" i="8"/>
  <c r="N43" i="8"/>
  <c r="L43" i="8"/>
  <c r="J43" i="8"/>
  <c r="G43" i="8"/>
  <c r="F43" i="8"/>
  <c r="X42" i="8"/>
  <c r="V42" i="8"/>
  <c r="T42" i="8"/>
  <c r="R42" i="8"/>
  <c r="P42" i="8"/>
  <c r="N42" i="8"/>
  <c r="L42" i="8"/>
  <c r="J42" i="8"/>
  <c r="G42" i="8"/>
  <c r="F42" i="8"/>
  <c r="X41" i="8"/>
  <c r="V41" i="8"/>
  <c r="T41" i="8"/>
  <c r="R41" i="8"/>
  <c r="P41" i="8"/>
  <c r="N41" i="8"/>
  <c r="L41" i="8"/>
  <c r="J41" i="8"/>
  <c r="G41" i="8"/>
  <c r="F41" i="8"/>
  <c r="X40" i="8"/>
  <c r="V40" i="8"/>
  <c r="T40" i="8"/>
  <c r="R40" i="8"/>
  <c r="P40" i="8"/>
  <c r="N40" i="8"/>
  <c r="L40" i="8"/>
  <c r="J40" i="8"/>
  <c r="G40" i="8"/>
  <c r="F40" i="8"/>
  <c r="X39" i="8"/>
  <c r="V39" i="8"/>
  <c r="T39" i="8"/>
  <c r="R39" i="8"/>
  <c r="P39" i="8"/>
  <c r="N39" i="8"/>
  <c r="L39" i="8"/>
  <c r="J39" i="8"/>
  <c r="G39" i="8"/>
  <c r="F39" i="8"/>
  <c r="X38" i="8"/>
  <c r="V38" i="8"/>
  <c r="T38" i="8"/>
  <c r="R38" i="8"/>
  <c r="P38" i="8"/>
  <c r="N38" i="8"/>
  <c r="L38" i="8"/>
  <c r="J38" i="8"/>
  <c r="G38" i="8"/>
  <c r="F38" i="8"/>
  <c r="X37" i="8"/>
  <c r="V37" i="8"/>
  <c r="T37" i="8"/>
  <c r="R37" i="8"/>
  <c r="P37" i="8"/>
  <c r="N37" i="8"/>
  <c r="L37" i="8"/>
  <c r="J37" i="8"/>
  <c r="G37" i="8"/>
  <c r="F37" i="8"/>
  <c r="X36" i="8"/>
  <c r="V36" i="8"/>
  <c r="T36" i="8"/>
  <c r="R36" i="8"/>
  <c r="P36" i="8"/>
  <c r="N36" i="8"/>
  <c r="L36" i="8"/>
  <c r="J36" i="8"/>
  <c r="G36" i="8"/>
  <c r="F36" i="8"/>
  <c r="X35" i="8"/>
  <c r="V35" i="8"/>
  <c r="T35" i="8"/>
  <c r="R35" i="8"/>
  <c r="P35" i="8"/>
  <c r="N35" i="8"/>
  <c r="L35" i="8"/>
  <c r="J35" i="8"/>
  <c r="G35" i="8"/>
  <c r="F35" i="8"/>
  <c r="X34" i="8"/>
  <c r="V34" i="8"/>
  <c r="T34" i="8"/>
  <c r="R34" i="8"/>
  <c r="P34" i="8"/>
  <c r="N34" i="8"/>
  <c r="L34" i="8"/>
  <c r="J34" i="8"/>
  <c r="G34" i="8"/>
  <c r="F34" i="8"/>
  <c r="X33" i="8"/>
  <c r="V33" i="8"/>
  <c r="T33" i="8"/>
  <c r="R33" i="8"/>
  <c r="P33" i="8"/>
  <c r="N33" i="8"/>
  <c r="L33" i="8"/>
  <c r="J33" i="8"/>
  <c r="G33" i="8"/>
  <c r="F33" i="8"/>
  <c r="X32" i="8"/>
  <c r="V32" i="8"/>
  <c r="T32" i="8"/>
  <c r="R32" i="8"/>
  <c r="P32" i="8"/>
  <c r="N32" i="8"/>
  <c r="L32" i="8"/>
  <c r="J32" i="8"/>
  <c r="G32" i="8"/>
  <c r="F32" i="8"/>
  <c r="X31" i="8"/>
  <c r="V31" i="8"/>
  <c r="T31" i="8"/>
  <c r="R31" i="8"/>
  <c r="P31" i="8"/>
  <c r="N31" i="8"/>
  <c r="L31" i="8"/>
  <c r="J31" i="8"/>
  <c r="G31" i="8"/>
  <c r="F31" i="8"/>
  <c r="X30" i="8"/>
  <c r="V30" i="8"/>
  <c r="T30" i="8"/>
  <c r="R30" i="8"/>
  <c r="P30" i="8"/>
  <c r="N30" i="8"/>
  <c r="L30" i="8"/>
  <c r="J30" i="8"/>
  <c r="G30" i="8"/>
  <c r="F30" i="8"/>
  <c r="X29" i="8"/>
  <c r="V29" i="8"/>
  <c r="T29" i="8"/>
  <c r="R29" i="8"/>
  <c r="P29" i="8"/>
  <c r="N29" i="8"/>
  <c r="L29" i="8"/>
  <c r="J29" i="8"/>
  <c r="G29" i="8"/>
  <c r="F29" i="8"/>
  <c r="X28" i="8"/>
  <c r="V28" i="8"/>
  <c r="T28" i="8"/>
  <c r="R28" i="8"/>
  <c r="P28" i="8"/>
  <c r="N28" i="8"/>
  <c r="L28" i="8"/>
  <c r="J28" i="8"/>
  <c r="G28" i="8"/>
  <c r="F28" i="8"/>
  <c r="X27" i="8"/>
  <c r="V27" i="8"/>
  <c r="T27" i="8"/>
  <c r="R27" i="8"/>
  <c r="P27" i="8"/>
  <c r="N27" i="8"/>
  <c r="L27" i="8"/>
  <c r="J27" i="8"/>
  <c r="G27" i="8"/>
  <c r="F27" i="8"/>
  <c r="X26" i="8"/>
  <c r="V26" i="8"/>
  <c r="T26" i="8"/>
  <c r="R26" i="8"/>
  <c r="P26" i="8"/>
  <c r="N26" i="8"/>
  <c r="L26" i="8"/>
  <c r="J26" i="8"/>
  <c r="G26" i="8"/>
  <c r="F26" i="8"/>
  <c r="X25" i="8"/>
  <c r="V25" i="8"/>
  <c r="T25" i="8"/>
  <c r="R25" i="8"/>
  <c r="P25" i="8"/>
  <c r="N25" i="8"/>
  <c r="L25" i="8"/>
  <c r="J25" i="8"/>
  <c r="G25" i="8"/>
  <c r="F25" i="8"/>
  <c r="X24" i="8"/>
  <c r="V24" i="8"/>
  <c r="T24" i="8"/>
  <c r="R24" i="8"/>
  <c r="P24" i="8"/>
  <c r="N24" i="8"/>
  <c r="L24" i="8"/>
  <c r="J24" i="8"/>
  <c r="G24" i="8"/>
  <c r="F24" i="8"/>
  <c r="X23" i="8"/>
  <c r="V23" i="8"/>
  <c r="T23" i="8"/>
  <c r="R23" i="8"/>
  <c r="P23" i="8"/>
  <c r="N23" i="8"/>
  <c r="L23" i="8"/>
  <c r="J23" i="8"/>
  <c r="G23" i="8"/>
  <c r="F23" i="8"/>
  <c r="X22" i="8"/>
  <c r="V22" i="8"/>
  <c r="T22" i="8"/>
  <c r="R22" i="8"/>
  <c r="P22" i="8"/>
  <c r="N22" i="8"/>
  <c r="L22" i="8"/>
  <c r="J22" i="8"/>
  <c r="G22" i="8"/>
  <c r="F22" i="8"/>
  <c r="X21" i="8"/>
  <c r="V21" i="8"/>
  <c r="T21" i="8"/>
  <c r="R21" i="8"/>
  <c r="P21" i="8"/>
  <c r="N21" i="8"/>
  <c r="L21" i="8"/>
  <c r="J21" i="8"/>
  <c r="G21" i="8"/>
  <c r="F21" i="8"/>
  <c r="X20" i="8"/>
  <c r="V20" i="8"/>
  <c r="T20" i="8"/>
  <c r="R20" i="8"/>
  <c r="P20" i="8"/>
  <c r="N20" i="8"/>
  <c r="L20" i="8"/>
  <c r="J20" i="8"/>
  <c r="G20" i="8"/>
  <c r="F20" i="8"/>
  <c r="X19" i="8"/>
  <c r="V19" i="8"/>
  <c r="T19" i="8"/>
  <c r="R19" i="8"/>
  <c r="P19" i="8"/>
  <c r="N19" i="8"/>
  <c r="L19" i="8"/>
  <c r="J19" i="8"/>
  <c r="G19" i="8"/>
  <c r="F19" i="8"/>
  <c r="X18" i="8"/>
  <c r="V18" i="8"/>
  <c r="T18" i="8"/>
  <c r="R18" i="8"/>
  <c r="P18" i="8"/>
  <c r="N18" i="8"/>
  <c r="L18" i="8"/>
  <c r="J18" i="8"/>
  <c r="G18" i="8"/>
  <c r="F18" i="8"/>
  <c r="X17" i="8"/>
  <c r="V17" i="8"/>
  <c r="T17" i="8"/>
  <c r="R17" i="8"/>
  <c r="P17" i="8"/>
  <c r="N17" i="8"/>
  <c r="L17" i="8"/>
  <c r="J17" i="8"/>
  <c r="G17" i="8"/>
  <c r="F17" i="8"/>
  <c r="X16" i="8"/>
  <c r="V16" i="8"/>
  <c r="T16" i="8"/>
  <c r="R16" i="8"/>
  <c r="P16" i="8"/>
  <c r="N16" i="8"/>
  <c r="L16" i="8"/>
  <c r="J16" i="8"/>
  <c r="G16" i="8"/>
  <c r="F16" i="8"/>
  <c r="X15" i="8"/>
  <c r="V15" i="8"/>
  <c r="T15" i="8"/>
  <c r="R15" i="8"/>
  <c r="P15" i="8"/>
  <c r="N15" i="8"/>
  <c r="L15" i="8"/>
  <c r="J15" i="8"/>
  <c r="G15" i="8"/>
  <c r="F15" i="8"/>
  <c r="X14" i="8"/>
  <c r="V14" i="8"/>
  <c r="T14" i="8"/>
  <c r="R14" i="8"/>
  <c r="P14" i="8"/>
  <c r="N14" i="8"/>
  <c r="L14" i="8"/>
  <c r="J14" i="8"/>
  <c r="G14" i="8"/>
  <c r="F14" i="8"/>
  <c r="X13" i="8"/>
  <c r="V13" i="8"/>
  <c r="T13" i="8"/>
  <c r="R13" i="8"/>
  <c r="P13" i="8"/>
  <c r="N13" i="8"/>
  <c r="L13" i="8"/>
  <c r="J13" i="8"/>
  <c r="G13" i="8"/>
  <c r="F13" i="8"/>
  <c r="X12" i="8"/>
  <c r="V12" i="8"/>
  <c r="T12" i="8"/>
  <c r="R12" i="8"/>
  <c r="P12" i="8"/>
  <c r="N12" i="8"/>
  <c r="L12" i="8"/>
  <c r="J12" i="8"/>
  <c r="G12" i="8"/>
  <c r="F12" i="8"/>
  <c r="X11" i="8"/>
  <c r="V11" i="8"/>
  <c r="T11" i="8"/>
  <c r="R11" i="8"/>
  <c r="P11" i="8"/>
  <c r="N11" i="8"/>
  <c r="L11" i="8"/>
  <c r="J11" i="8"/>
  <c r="G11" i="8"/>
  <c r="F11" i="8"/>
  <c r="B8" i="8"/>
  <c r="X91" i="7"/>
  <c r="V91" i="7"/>
  <c r="T91" i="7"/>
  <c r="R91" i="7"/>
  <c r="P91" i="7"/>
  <c r="N91" i="7"/>
  <c r="L91" i="7"/>
  <c r="J91" i="7"/>
  <c r="H91" i="7"/>
  <c r="G91" i="7"/>
  <c r="C91" i="7"/>
  <c r="X90" i="7"/>
  <c r="V90" i="7"/>
  <c r="T90" i="7"/>
  <c r="R90" i="7"/>
  <c r="P90" i="7"/>
  <c r="N90" i="7"/>
  <c r="L90" i="7"/>
  <c r="J90" i="7"/>
  <c r="H90" i="7"/>
  <c r="G90" i="7"/>
  <c r="C90" i="7"/>
  <c r="X89" i="7"/>
  <c r="V89" i="7"/>
  <c r="T89" i="7"/>
  <c r="R89" i="7"/>
  <c r="P89" i="7"/>
  <c r="N89" i="7"/>
  <c r="L89" i="7"/>
  <c r="J89" i="7"/>
  <c r="H89" i="7"/>
  <c r="G89" i="7"/>
  <c r="C89" i="7"/>
  <c r="X88" i="7"/>
  <c r="V88" i="7"/>
  <c r="T88" i="7"/>
  <c r="R88" i="7"/>
  <c r="P88" i="7"/>
  <c r="N88" i="7"/>
  <c r="L88" i="7"/>
  <c r="J88" i="7"/>
  <c r="H88" i="7"/>
  <c r="G88" i="7"/>
  <c r="C88" i="7"/>
  <c r="X87" i="7"/>
  <c r="V87" i="7"/>
  <c r="T87" i="7"/>
  <c r="R87" i="7"/>
  <c r="P87" i="7"/>
  <c r="N87" i="7"/>
  <c r="L87" i="7"/>
  <c r="J87" i="7"/>
  <c r="H87" i="7"/>
  <c r="G87" i="7"/>
  <c r="C87" i="7"/>
  <c r="X86" i="7"/>
  <c r="V86" i="7"/>
  <c r="T86" i="7"/>
  <c r="R86" i="7"/>
  <c r="P86" i="7"/>
  <c r="N86" i="7"/>
  <c r="L86" i="7"/>
  <c r="J86" i="7"/>
  <c r="H86" i="7"/>
  <c r="G86" i="7"/>
  <c r="C86" i="7"/>
  <c r="X85" i="7"/>
  <c r="V85" i="7"/>
  <c r="T85" i="7"/>
  <c r="R85" i="7"/>
  <c r="P85" i="7"/>
  <c r="N85" i="7"/>
  <c r="L85" i="7"/>
  <c r="J85" i="7"/>
  <c r="H85" i="7"/>
  <c r="G85" i="7"/>
  <c r="C85" i="7"/>
  <c r="X84" i="7"/>
  <c r="V84" i="7"/>
  <c r="T84" i="7"/>
  <c r="R84" i="7"/>
  <c r="P84" i="7"/>
  <c r="N84" i="7"/>
  <c r="L84" i="7"/>
  <c r="J84" i="7"/>
  <c r="H84" i="7"/>
  <c r="G84" i="7"/>
  <c r="C84" i="7"/>
  <c r="X83" i="7"/>
  <c r="V83" i="7"/>
  <c r="T83" i="7"/>
  <c r="R83" i="7"/>
  <c r="P83" i="7"/>
  <c r="N83" i="7"/>
  <c r="L83" i="7"/>
  <c r="J83" i="7"/>
  <c r="H83" i="7"/>
  <c r="G83" i="7"/>
  <c r="C83" i="7"/>
  <c r="X82" i="7"/>
  <c r="V82" i="7"/>
  <c r="T82" i="7"/>
  <c r="R82" i="7"/>
  <c r="P82" i="7"/>
  <c r="N82" i="7"/>
  <c r="L82" i="7"/>
  <c r="J82" i="7"/>
  <c r="H82" i="7"/>
  <c r="G82" i="7"/>
  <c r="C82" i="7"/>
  <c r="X81" i="7"/>
  <c r="V81" i="7"/>
  <c r="T81" i="7"/>
  <c r="R81" i="7"/>
  <c r="P81" i="7"/>
  <c r="N81" i="7"/>
  <c r="L81" i="7"/>
  <c r="J81" i="7"/>
  <c r="H81" i="7"/>
  <c r="G81" i="7"/>
  <c r="C81" i="7"/>
  <c r="X80" i="7"/>
  <c r="V80" i="7"/>
  <c r="T80" i="7"/>
  <c r="R80" i="7"/>
  <c r="P80" i="7"/>
  <c r="N80" i="7"/>
  <c r="L80" i="7"/>
  <c r="J80" i="7"/>
  <c r="H80" i="7"/>
  <c r="G80" i="7"/>
  <c r="C80" i="7"/>
  <c r="X79" i="7"/>
  <c r="V79" i="7"/>
  <c r="T79" i="7"/>
  <c r="R79" i="7"/>
  <c r="P79" i="7"/>
  <c r="N79" i="7"/>
  <c r="L79" i="7"/>
  <c r="J79" i="7"/>
  <c r="H79" i="7"/>
  <c r="G79" i="7"/>
  <c r="C79" i="7"/>
  <c r="X78" i="7"/>
  <c r="V78" i="7"/>
  <c r="T78" i="7"/>
  <c r="R78" i="7"/>
  <c r="P78" i="7"/>
  <c r="N78" i="7"/>
  <c r="L78" i="7"/>
  <c r="J78" i="7"/>
  <c r="H78" i="7"/>
  <c r="G78" i="7"/>
  <c r="C78" i="7"/>
  <c r="X77" i="7"/>
  <c r="V77" i="7"/>
  <c r="T77" i="7"/>
  <c r="R77" i="7"/>
  <c r="P77" i="7"/>
  <c r="N77" i="7"/>
  <c r="L77" i="7"/>
  <c r="J77" i="7"/>
  <c r="H77" i="7"/>
  <c r="G77" i="7"/>
  <c r="C77" i="7"/>
  <c r="X76" i="7"/>
  <c r="V76" i="7"/>
  <c r="T76" i="7"/>
  <c r="R76" i="7"/>
  <c r="P76" i="7"/>
  <c r="N76" i="7"/>
  <c r="L76" i="7"/>
  <c r="J76" i="7"/>
  <c r="H76" i="7"/>
  <c r="G76" i="7"/>
  <c r="C76" i="7"/>
  <c r="X75" i="7"/>
  <c r="V75" i="7"/>
  <c r="T75" i="7"/>
  <c r="R75" i="7"/>
  <c r="P75" i="7"/>
  <c r="N75" i="7"/>
  <c r="L75" i="7"/>
  <c r="J75" i="7"/>
  <c r="H75" i="7"/>
  <c r="G75" i="7"/>
  <c r="C75" i="7"/>
  <c r="X74" i="7"/>
  <c r="V74" i="7"/>
  <c r="T74" i="7"/>
  <c r="R74" i="7"/>
  <c r="P74" i="7"/>
  <c r="N74" i="7"/>
  <c r="L74" i="7"/>
  <c r="J74" i="7"/>
  <c r="H74" i="7"/>
  <c r="G74" i="7"/>
  <c r="C74" i="7"/>
  <c r="X73" i="7"/>
  <c r="V73" i="7"/>
  <c r="T73" i="7"/>
  <c r="R73" i="7"/>
  <c r="P73" i="7"/>
  <c r="N73" i="7"/>
  <c r="L73" i="7"/>
  <c r="J73" i="7"/>
  <c r="H73" i="7"/>
  <c r="G73" i="7"/>
  <c r="C73" i="7"/>
  <c r="X72" i="7"/>
  <c r="V72" i="7"/>
  <c r="T72" i="7"/>
  <c r="R72" i="7"/>
  <c r="P72" i="7"/>
  <c r="N72" i="7"/>
  <c r="L72" i="7"/>
  <c r="J72" i="7"/>
  <c r="H72" i="7"/>
  <c r="G72" i="7"/>
  <c r="C72" i="7"/>
  <c r="X71" i="7"/>
  <c r="V71" i="7"/>
  <c r="T71" i="7"/>
  <c r="R71" i="7"/>
  <c r="P71" i="7"/>
  <c r="N71" i="7"/>
  <c r="L71" i="7"/>
  <c r="J71" i="7"/>
  <c r="H71" i="7"/>
  <c r="G71" i="7"/>
  <c r="C71" i="7"/>
  <c r="X70" i="7"/>
  <c r="V70" i="7"/>
  <c r="T70" i="7"/>
  <c r="R70" i="7"/>
  <c r="P70" i="7"/>
  <c r="N70" i="7"/>
  <c r="L70" i="7"/>
  <c r="J70" i="7"/>
  <c r="H70" i="7"/>
  <c r="G70" i="7"/>
  <c r="C70" i="7"/>
  <c r="X69" i="7"/>
  <c r="V69" i="7"/>
  <c r="T69" i="7"/>
  <c r="R69" i="7"/>
  <c r="P69" i="7"/>
  <c r="N69" i="7"/>
  <c r="L69" i="7"/>
  <c r="J69" i="7"/>
  <c r="H69" i="7"/>
  <c r="G69" i="7"/>
  <c r="C69" i="7"/>
  <c r="X68" i="7"/>
  <c r="V68" i="7"/>
  <c r="T68" i="7"/>
  <c r="R68" i="7"/>
  <c r="P68" i="7"/>
  <c r="N68" i="7"/>
  <c r="L68" i="7"/>
  <c r="J68" i="7"/>
  <c r="H68" i="7"/>
  <c r="G68" i="7"/>
  <c r="C68" i="7"/>
  <c r="X67" i="7"/>
  <c r="V67" i="7"/>
  <c r="T67" i="7"/>
  <c r="R67" i="7"/>
  <c r="P67" i="7"/>
  <c r="N67" i="7"/>
  <c r="L67" i="7"/>
  <c r="J67" i="7"/>
  <c r="H67" i="7"/>
  <c r="G67" i="7"/>
  <c r="C67" i="7"/>
  <c r="X66" i="7"/>
  <c r="V66" i="7"/>
  <c r="T66" i="7"/>
  <c r="R66" i="7"/>
  <c r="P66" i="7"/>
  <c r="N66" i="7"/>
  <c r="L66" i="7"/>
  <c r="J66" i="7"/>
  <c r="H66" i="7"/>
  <c r="G66" i="7"/>
  <c r="C66" i="7"/>
  <c r="X65" i="7"/>
  <c r="V65" i="7"/>
  <c r="T65" i="7"/>
  <c r="R65" i="7"/>
  <c r="P65" i="7"/>
  <c r="N65" i="7"/>
  <c r="L65" i="7"/>
  <c r="J65" i="7"/>
  <c r="H65" i="7"/>
  <c r="G65" i="7"/>
  <c r="C65" i="7"/>
  <c r="X64" i="7"/>
  <c r="V64" i="7"/>
  <c r="T64" i="7"/>
  <c r="R64" i="7"/>
  <c r="P64" i="7"/>
  <c r="N64" i="7"/>
  <c r="L64" i="7"/>
  <c r="J64" i="7"/>
  <c r="H64" i="7"/>
  <c r="G64" i="7"/>
  <c r="C64" i="7"/>
  <c r="X63" i="7"/>
  <c r="V63" i="7"/>
  <c r="T63" i="7"/>
  <c r="R63" i="7"/>
  <c r="P63" i="7"/>
  <c r="N63" i="7"/>
  <c r="L63" i="7"/>
  <c r="J63" i="7"/>
  <c r="H63" i="7"/>
  <c r="G63" i="7"/>
  <c r="C63" i="7"/>
  <c r="X62" i="7"/>
  <c r="V62" i="7"/>
  <c r="T62" i="7"/>
  <c r="R62" i="7"/>
  <c r="P62" i="7"/>
  <c r="N62" i="7"/>
  <c r="L62" i="7"/>
  <c r="J62" i="7"/>
  <c r="H62" i="7"/>
  <c r="G62" i="7"/>
  <c r="C62" i="7"/>
  <c r="X61" i="7"/>
  <c r="V61" i="7"/>
  <c r="T61" i="7"/>
  <c r="R61" i="7"/>
  <c r="P61" i="7"/>
  <c r="N61" i="7"/>
  <c r="L61" i="7"/>
  <c r="J61" i="7"/>
  <c r="H61" i="7"/>
  <c r="G61" i="7"/>
  <c r="C61" i="7"/>
  <c r="X60" i="7"/>
  <c r="V60" i="7"/>
  <c r="T60" i="7"/>
  <c r="R60" i="7"/>
  <c r="P60" i="7"/>
  <c r="N60" i="7"/>
  <c r="L60" i="7"/>
  <c r="J60" i="7"/>
  <c r="H60" i="7"/>
  <c r="G60" i="7"/>
  <c r="C60" i="7"/>
  <c r="X59" i="7"/>
  <c r="V59" i="7"/>
  <c r="T59" i="7"/>
  <c r="R59" i="7"/>
  <c r="P59" i="7"/>
  <c r="N59" i="7"/>
  <c r="L59" i="7"/>
  <c r="J59" i="7"/>
  <c r="H59" i="7"/>
  <c r="G59" i="7"/>
  <c r="C59" i="7"/>
  <c r="X58" i="7"/>
  <c r="V58" i="7"/>
  <c r="T58" i="7"/>
  <c r="R58" i="7"/>
  <c r="P58" i="7"/>
  <c r="N58" i="7"/>
  <c r="L58" i="7"/>
  <c r="J58" i="7"/>
  <c r="H58" i="7"/>
  <c r="G58" i="7"/>
  <c r="C58" i="7"/>
  <c r="X57" i="7"/>
  <c r="V57" i="7"/>
  <c r="T57" i="7"/>
  <c r="R57" i="7"/>
  <c r="P57" i="7"/>
  <c r="N57" i="7"/>
  <c r="L57" i="7"/>
  <c r="J57" i="7"/>
  <c r="H57" i="7"/>
  <c r="G57" i="7"/>
  <c r="C57" i="7"/>
  <c r="X56" i="7"/>
  <c r="V56" i="7"/>
  <c r="T56" i="7"/>
  <c r="R56" i="7"/>
  <c r="P56" i="7"/>
  <c r="N56" i="7"/>
  <c r="L56" i="7"/>
  <c r="J56" i="7"/>
  <c r="H56" i="7"/>
  <c r="G56" i="7"/>
  <c r="C56" i="7"/>
  <c r="X55" i="7"/>
  <c r="V55" i="7"/>
  <c r="T55" i="7"/>
  <c r="R55" i="7"/>
  <c r="P55" i="7"/>
  <c r="N55" i="7"/>
  <c r="L55" i="7"/>
  <c r="J55" i="7"/>
  <c r="H55" i="7"/>
  <c r="G55" i="7"/>
  <c r="C55" i="7"/>
  <c r="X54" i="7"/>
  <c r="V54" i="7"/>
  <c r="T54" i="7"/>
  <c r="R54" i="7"/>
  <c r="P54" i="7"/>
  <c r="N54" i="7"/>
  <c r="L54" i="7"/>
  <c r="J54" i="7"/>
  <c r="H54" i="7"/>
  <c r="G54" i="7"/>
  <c r="C54" i="7"/>
  <c r="X53" i="7"/>
  <c r="V53" i="7"/>
  <c r="T53" i="7"/>
  <c r="R53" i="7"/>
  <c r="P53" i="7"/>
  <c r="N53" i="7"/>
  <c r="L53" i="7"/>
  <c r="J53" i="7"/>
  <c r="H53" i="7"/>
  <c r="G53" i="7"/>
  <c r="C53" i="7"/>
  <c r="X52" i="7"/>
  <c r="V52" i="7"/>
  <c r="T52" i="7"/>
  <c r="R52" i="7"/>
  <c r="P52" i="7"/>
  <c r="N52" i="7"/>
  <c r="L52" i="7"/>
  <c r="J52" i="7"/>
  <c r="H52" i="7"/>
  <c r="G52" i="7"/>
  <c r="C52" i="7"/>
  <c r="X51" i="7"/>
  <c r="V51" i="7"/>
  <c r="T51" i="7"/>
  <c r="R51" i="7"/>
  <c r="P51" i="7"/>
  <c r="N51" i="7"/>
  <c r="L51" i="7"/>
  <c r="J51" i="7"/>
  <c r="H51" i="7"/>
  <c r="G51" i="7"/>
  <c r="C51" i="7"/>
  <c r="X50" i="7"/>
  <c r="V50" i="7"/>
  <c r="T50" i="7"/>
  <c r="R50" i="7"/>
  <c r="P50" i="7"/>
  <c r="N50" i="7"/>
  <c r="L50" i="7"/>
  <c r="J50" i="7"/>
  <c r="H50" i="7"/>
  <c r="G50" i="7"/>
  <c r="C50" i="7"/>
  <c r="X49" i="7"/>
  <c r="V49" i="7"/>
  <c r="T49" i="7"/>
  <c r="R49" i="7"/>
  <c r="P49" i="7"/>
  <c r="N49" i="7"/>
  <c r="L49" i="7"/>
  <c r="J49" i="7"/>
  <c r="H49" i="7"/>
  <c r="G49" i="7"/>
  <c r="C49" i="7"/>
  <c r="X48" i="7"/>
  <c r="V48" i="7"/>
  <c r="T48" i="7"/>
  <c r="R48" i="7"/>
  <c r="P48" i="7"/>
  <c r="N48" i="7"/>
  <c r="L48" i="7"/>
  <c r="J48" i="7"/>
  <c r="H48" i="7"/>
  <c r="G48" i="7"/>
  <c r="C48" i="7"/>
  <c r="X47" i="7"/>
  <c r="V47" i="7"/>
  <c r="T47" i="7"/>
  <c r="R47" i="7"/>
  <c r="P47" i="7"/>
  <c r="N47" i="7"/>
  <c r="L47" i="7"/>
  <c r="J47" i="7"/>
  <c r="H47" i="7"/>
  <c r="G47" i="7"/>
  <c r="C47" i="7"/>
  <c r="X46" i="7"/>
  <c r="V46" i="7"/>
  <c r="T46" i="7"/>
  <c r="R46" i="7"/>
  <c r="P46" i="7"/>
  <c r="N46" i="7"/>
  <c r="L46" i="7"/>
  <c r="J46" i="7"/>
  <c r="H46" i="7"/>
  <c r="G46" i="7"/>
  <c r="C46" i="7"/>
  <c r="X45" i="7"/>
  <c r="V45" i="7"/>
  <c r="T45" i="7"/>
  <c r="R45" i="7"/>
  <c r="P45" i="7"/>
  <c r="N45" i="7"/>
  <c r="L45" i="7"/>
  <c r="J45" i="7"/>
  <c r="H45" i="7"/>
  <c r="G45" i="7"/>
  <c r="C45" i="7"/>
  <c r="X44" i="7"/>
  <c r="V44" i="7"/>
  <c r="T44" i="7"/>
  <c r="R44" i="7"/>
  <c r="P44" i="7"/>
  <c r="N44" i="7"/>
  <c r="L44" i="7"/>
  <c r="J44" i="7"/>
  <c r="H44" i="7"/>
  <c r="G44" i="7"/>
  <c r="C44" i="7"/>
  <c r="X43" i="7"/>
  <c r="V43" i="7"/>
  <c r="T43" i="7"/>
  <c r="R43" i="7"/>
  <c r="P43" i="7"/>
  <c r="N43" i="7"/>
  <c r="L43" i="7"/>
  <c r="J43" i="7"/>
  <c r="H43" i="7"/>
  <c r="G43" i="7"/>
  <c r="C43" i="7"/>
  <c r="X42" i="7"/>
  <c r="V42" i="7"/>
  <c r="T42" i="7"/>
  <c r="R42" i="7"/>
  <c r="P42" i="7"/>
  <c r="N42" i="7"/>
  <c r="L42" i="7"/>
  <c r="J42" i="7"/>
  <c r="H42" i="7"/>
  <c r="G42" i="7"/>
  <c r="C42" i="7"/>
  <c r="X41" i="7"/>
  <c r="V41" i="7"/>
  <c r="T41" i="7"/>
  <c r="R41" i="7"/>
  <c r="P41" i="7"/>
  <c r="N41" i="7"/>
  <c r="L41" i="7"/>
  <c r="J41" i="7"/>
  <c r="H41" i="7"/>
  <c r="G41" i="7"/>
  <c r="C41" i="7"/>
  <c r="X40" i="7"/>
  <c r="V40" i="7"/>
  <c r="T40" i="7"/>
  <c r="R40" i="7"/>
  <c r="P40" i="7"/>
  <c r="N40" i="7"/>
  <c r="L40" i="7"/>
  <c r="J40" i="7"/>
  <c r="H40" i="7"/>
  <c r="G40" i="7"/>
  <c r="C40" i="7"/>
  <c r="X39" i="7"/>
  <c r="V39" i="7"/>
  <c r="T39" i="7"/>
  <c r="R39" i="7"/>
  <c r="P39" i="7"/>
  <c r="N39" i="7"/>
  <c r="L39" i="7"/>
  <c r="J39" i="7"/>
  <c r="H39" i="7"/>
  <c r="G39" i="7"/>
  <c r="C39" i="7"/>
  <c r="X38" i="7"/>
  <c r="V38" i="7"/>
  <c r="T38" i="7"/>
  <c r="R38" i="7"/>
  <c r="P38" i="7"/>
  <c r="N38" i="7"/>
  <c r="L38" i="7"/>
  <c r="J38" i="7"/>
  <c r="H38" i="7"/>
  <c r="G38" i="7"/>
  <c r="C38" i="7"/>
  <c r="X37" i="7"/>
  <c r="V37" i="7"/>
  <c r="T37" i="7"/>
  <c r="R37" i="7"/>
  <c r="P37" i="7"/>
  <c r="N37" i="7"/>
  <c r="L37" i="7"/>
  <c r="J37" i="7"/>
  <c r="H37" i="7"/>
  <c r="G37" i="7"/>
  <c r="C37" i="7"/>
  <c r="X36" i="7"/>
  <c r="V36" i="7"/>
  <c r="T36" i="7"/>
  <c r="R36" i="7"/>
  <c r="P36" i="7"/>
  <c r="N36" i="7"/>
  <c r="L36" i="7"/>
  <c r="J36" i="7"/>
  <c r="H36" i="7"/>
  <c r="G36" i="7"/>
  <c r="C36" i="7"/>
  <c r="X35" i="7"/>
  <c r="V35" i="7"/>
  <c r="T35" i="7"/>
  <c r="R35" i="7"/>
  <c r="P35" i="7"/>
  <c r="N35" i="7"/>
  <c r="L35" i="7"/>
  <c r="J35" i="7"/>
  <c r="H35" i="7"/>
  <c r="G35" i="7"/>
  <c r="C35" i="7"/>
  <c r="X34" i="7"/>
  <c r="V34" i="7"/>
  <c r="T34" i="7"/>
  <c r="R34" i="7"/>
  <c r="P34" i="7"/>
  <c r="N34" i="7"/>
  <c r="L34" i="7"/>
  <c r="J34" i="7"/>
  <c r="H34" i="7"/>
  <c r="G34" i="7"/>
  <c r="C34" i="7"/>
  <c r="X33" i="7"/>
  <c r="V33" i="7"/>
  <c r="T33" i="7"/>
  <c r="R33" i="7"/>
  <c r="P33" i="7"/>
  <c r="N33" i="7"/>
  <c r="L33" i="7"/>
  <c r="J33" i="7"/>
  <c r="H33" i="7"/>
  <c r="G33" i="7"/>
  <c r="C33" i="7"/>
  <c r="X32" i="7"/>
  <c r="V32" i="7"/>
  <c r="T32" i="7"/>
  <c r="R32" i="7"/>
  <c r="P32" i="7"/>
  <c r="N32" i="7"/>
  <c r="L32" i="7"/>
  <c r="J32" i="7"/>
  <c r="H32" i="7"/>
  <c r="G32" i="7"/>
  <c r="C32" i="7"/>
  <c r="X31" i="7"/>
  <c r="V31" i="7"/>
  <c r="T31" i="7"/>
  <c r="R31" i="7"/>
  <c r="P31" i="7"/>
  <c r="N31" i="7"/>
  <c r="L31" i="7"/>
  <c r="J31" i="7"/>
  <c r="H31" i="7"/>
  <c r="G31" i="7"/>
  <c r="C31" i="7"/>
  <c r="X30" i="7"/>
  <c r="V30" i="7"/>
  <c r="T30" i="7"/>
  <c r="R30" i="7"/>
  <c r="P30" i="7"/>
  <c r="N30" i="7"/>
  <c r="L30" i="7"/>
  <c r="J30" i="7"/>
  <c r="H30" i="7"/>
  <c r="G30" i="7"/>
  <c r="C30" i="7"/>
  <c r="X29" i="7"/>
  <c r="V29" i="7"/>
  <c r="T29" i="7"/>
  <c r="R29" i="7"/>
  <c r="P29" i="7"/>
  <c r="N29" i="7"/>
  <c r="L29" i="7"/>
  <c r="J29" i="7"/>
  <c r="H29" i="7"/>
  <c r="G29" i="7"/>
  <c r="C29" i="7"/>
  <c r="X28" i="7"/>
  <c r="V28" i="7"/>
  <c r="T28" i="7"/>
  <c r="R28" i="7"/>
  <c r="P28" i="7"/>
  <c r="N28" i="7"/>
  <c r="L28" i="7"/>
  <c r="J28" i="7"/>
  <c r="H28" i="7"/>
  <c r="G28" i="7"/>
  <c r="C28" i="7"/>
  <c r="X27" i="7"/>
  <c r="V27" i="7"/>
  <c r="T27" i="7"/>
  <c r="R27" i="7"/>
  <c r="P27" i="7"/>
  <c r="N27" i="7"/>
  <c r="L27" i="7"/>
  <c r="J27" i="7"/>
  <c r="H27" i="7"/>
  <c r="G27" i="7"/>
  <c r="C27" i="7"/>
  <c r="X26" i="7"/>
  <c r="V26" i="7"/>
  <c r="T26" i="7"/>
  <c r="R26" i="7"/>
  <c r="P26" i="7"/>
  <c r="N26" i="7"/>
  <c r="L26" i="7"/>
  <c r="J26" i="7"/>
  <c r="H26" i="7"/>
  <c r="G26" i="7"/>
  <c r="C26" i="7"/>
  <c r="X25" i="7"/>
  <c r="V25" i="7"/>
  <c r="T25" i="7"/>
  <c r="R25" i="7"/>
  <c r="P25" i="7"/>
  <c r="N25" i="7"/>
  <c r="L25" i="7"/>
  <c r="J25" i="7"/>
  <c r="H25" i="7"/>
  <c r="G25" i="7"/>
  <c r="C25" i="7"/>
  <c r="X24" i="7"/>
  <c r="V24" i="7"/>
  <c r="T24" i="7"/>
  <c r="R24" i="7"/>
  <c r="P24" i="7"/>
  <c r="N24" i="7"/>
  <c r="L24" i="7"/>
  <c r="J24" i="7"/>
  <c r="H24" i="7"/>
  <c r="G24" i="7"/>
  <c r="C24" i="7"/>
  <c r="X23" i="7"/>
  <c r="V23" i="7"/>
  <c r="T23" i="7"/>
  <c r="R23" i="7"/>
  <c r="P23" i="7"/>
  <c r="N23" i="7"/>
  <c r="L23" i="7"/>
  <c r="J23" i="7"/>
  <c r="H23" i="7"/>
  <c r="G23" i="7"/>
  <c r="C23" i="7"/>
  <c r="X22" i="7"/>
  <c r="V22" i="7"/>
  <c r="T22" i="7"/>
  <c r="R22" i="7"/>
  <c r="P22" i="7"/>
  <c r="N22" i="7"/>
  <c r="L22" i="7"/>
  <c r="J22" i="7"/>
  <c r="H22" i="7"/>
  <c r="G22" i="7"/>
  <c r="C22" i="7"/>
  <c r="X21" i="7"/>
  <c r="V21" i="7"/>
  <c r="T21" i="7"/>
  <c r="R21" i="7"/>
  <c r="P21" i="7"/>
  <c r="N21" i="7"/>
  <c r="L21" i="7"/>
  <c r="J21" i="7"/>
  <c r="H21" i="7"/>
  <c r="G21" i="7"/>
  <c r="C21" i="7"/>
  <c r="X20" i="7"/>
  <c r="V20" i="7"/>
  <c r="T20" i="7"/>
  <c r="R20" i="7"/>
  <c r="P20" i="7"/>
  <c r="N20" i="7"/>
  <c r="L20" i="7"/>
  <c r="J20" i="7"/>
  <c r="H20" i="7"/>
  <c r="G20" i="7"/>
  <c r="C20" i="7"/>
  <c r="X19" i="7"/>
  <c r="V19" i="7"/>
  <c r="T19" i="7"/>
  <c r="R19" i="7"/>
  <c r="P19" i="7"/>
  <c r="N19" i="7"/>
  <c r="L19" i="7"/>
  <c r="J19" i="7"/>
  <c r="H19" i="7"/>
  <c r="G19" i="7"/>
  <c r="C19" i="7"/>
  <c r="X18" i="7"/>
  <c r="V18" i="7"/>
  <c r="T18" i="7"/>
  <c r="R18" i="7"/>
  <c r="P18" i="7"/>
  <c r="N18" i="7"/>
  <c r="L18" i="7"/>
  <c r="J18" i="7"/>
  <c r="H18" i="7"/>
  <c r="G18" i="7"/>
  <c r="C18" i="7"/>
  <c r="X17" i="7"/>
  <c r="V17" i="7"/>
  <c r="T17" i="7"/>
  <c r="R17" i="7"/>
  <c r="P17" i="7"/>
  <c r="N17" i="7"/>
  <c r="L17" i="7"/>
  <c r="J17" i="7"/>
  <c r="H17" i="7"/>
  <c r="G17" i="7"/>
  <c r="C17" i="7"/>
  <c r="X16" i="7"/>
  <c r="V16" i="7"/>
  <c r="T16" i="7"/>
  <c r="R16" i="7"/>
  <c r="P16" i="7"/>
  <c r="N16" i="7"/>
  <c r="L16" i="7"/>
  <c r="J16" i="7"/>
  <c r="H16" i="7"/>
  <c r="G16" i="7"/>
  <c r="C16" i="7"/>
  <c r="X15" i="7"/>
  <c r="V15" i="7"/>
  <c r="T15" i="7"/>
  <c r="R15" i="7"/>
  <c r="P15" i="7"/>
  <c r="N15" i="7"/>
  <c r="L15" i="7"/>
  <c r="J15" i="7"/>
  <c r="H15" i="7"/>
  <c r="G15" i="7"/>
  <c r="C15" i="7"/>
  <c r="X14" i="7"/>
  <c r="V14" i="7"/>
  <c r="T14" i="7"/>
  <c r="R14" i="7"/>
  <c r="P14" i="7"/>
  <c r="N14" i="7"/>
  <c r="L14" i="7"/>
  <c r="J14" i="7"/>
  <c r="H14" i="7"/>
  <c r="G14" i="7"/>
  <c r="C14" i="7"/>
  <c r="X13" i="7"/>
  <c r="V13" i="7"/>
  <c r="T13" i="7"/>
  <c r="R13" i="7"/>
  <c r="P13" i="7"/>
  <c r="N13" i="7"/>
  <c r="L13" i="7"/>
  <c r="J13" i="7"/>
  <c r="H13" i="7"/>
  <c r="G13" i="7"/>
  <c r="C13" i="7"/>
  <c r="X12" i="7"/>
  <c r="V12" i="7"/>
  <c r="T12" i="7"/>
  <c r="R12" i="7"/>
  <c r="P12" i="7"/>
  <c r="N12" i="7"/>
  <c r="L12" i="7"/>
  <c r="J12" i="7"/>
  <c r="H12" i="7"/>
  <c r="G12" i="7"/>
  <c r="C12" i="7"/>
  <c r="X11" i="7"/>
  <c r="V11" i="7"/>
  <c r="T11" i="7"/>
  <c r="R11" i="7"/>
  <c r="P11" i="7"/>
  <c r="N11" i="7"/>
  <c r="L11" i="7"/>
  <c r="J11" i="7"/>
  <c r="H11" i="7"/>
  <c r="G11" i="7"/>
  <c r="C11" i="7"/>
  <c r="B8" i="7"/>
  <c r="X91" i="6"/>
  <c r="V91" i="6"/>
  <c r="T91" i="6"/>
  <c r="R91" i="6"/>
  <c r="P91" i="6"/>
  <c r="N91" i="6"/>
  <c r="L91" i="6"/>
  <c r="J91" i="6"/>
  <c r="G91" i="6"/>
  <c r="F91" i="6"/>
  <c r="X90" i="6"/>
  <c r="V90" i="6"/>
  <c r="T90" i="6"/>
  <c r="R90" i="6"/>
  <c r="P90" i="6"/>
  <c r="N90" i="6"/>
  <c r="L90" i="6"/>
  <c r="J90" i="6"/>
  <c r="G90" i="6"/>
  <c r="F90" i="6"/>
  <c r="X89" i="6"/>
  <c r="V89" i="6"/>
  <c r="T89" i="6"/>
  <c r="R89" i="6"/>
  <c r="P89" i="6"/>
  <c r="N89" i="6"/>
  <c r="L89" i="6"/>
  <c r="J89" i="6"/>
  <c r="G89" i="6"/>
  <c r="F89" i="6"/>
  <c r="X88" i="6"/>
  <c r="V88" i="6"/>
  <c r="T88" i="6"/>
  <c r="R88" i="6"/>
  <c r="P88" i="6"/>
  <c r="N88" i="6"/>
  <c r="L88" i="6"/>
  <c r="J88" i="6"/>
  <c r="G88" i="6"/>
  <c r="F88" i="6"/>
  <c r="X87" i="6"/>
  <c r="V87" i="6"/>
  <c r="T87" i="6"/>
  <c r="R87" i="6"/>
  <c r="P87" i="6"/>
  <c r="N87" i="6"/>
  <c r="L87" i="6"/>
  <c r="J87" i="6"/>
  <c r="G87" i="6"/>
  <c r="F87" i="6"/>
  <c r="X86" i="6"/>
  <c r="V86" i="6"/>
  <c r="T86" i="6"/>
  <c r="R86" i="6"/>
  <c r="P86" i="6"/>
  <c r="N86" i="6"/>
  <c r="L86" i="6"/>
  <c r="J86" i="6"/>
  <c r="G86" i="6"/>
  <c r="F86" i="6"/>
  <c r="X85" i="6"/>
  <c r="V85" i="6"/>
  <c r="T85" i="6"/>
  <c r="R85" i="6"/>
  <c r="P85" i="6"/>
  <c r="N85" i="6"/>
  <c r="L85" i="6"/>
  <c r="J85" i="6"/>
  <c r="G85" i="6"/>
  <c r="F85" i="6"/>
  <c r="X84" i="6"/>
  <c r="V84" i="6"/>
  <c r="T84" i="6"/>
  <c r="R84" i="6"/>
  <c r="P84" i="6"/>
  <c r="N84" i="6"/>
  <c r="L84" i="6"/>
  <c r="J84" i="6"/>
  <c r="G84" i="6"/>
  <c r="F84" i="6"/>
  <c r="X83" i="6"/>
  <c r="V83" i="6"/>
  <c r="T83" i="6"/>
  <c r="R83" i="6"/>
  <c r="P83" i="6"/>
  <c r="N83" i="6"/>
  <c r="L83" i="6"/>
  <c r="J83" i="6"/>
  <c r="G83" i="6"/>
  <c r="F83" i="6"/>
  <c r="X82" i="6"/>
  <c r="V82" i="6"/>
  <c r="T82" i="6"/>
  <c r="R82" i="6"/>
  <c r="P82" i="6"/>
  <c r="N82" i="6"/>
  <c r="L82" i="6"/>
  <c r="J82" i="6"/>
  <c r="G82" i="6"/>
  <c r="F82" i="6"/>
  <c r="X81" i="6"/>
  <c r="V81" i="6"/>
  <c r="T81" i="6"/>
  <c r="R81" i="6"/>
  <c r="P81" i="6"/>
  <c r="N81" i="6"/>
  <c r="L81" i="6"/>
  <c r="J81" i="6"/>
  <c r="G81" i="6"/>
  <c r="F81" i="6"/>
  <c r="X80" i="6"/>
  <c r="V80" i="6"/>
  <c r="T80" i="6"/>
  <c r="R80" i="6"/>
  <c r="P80" i="6"/>
  <c r="N80" i="6"/>
  <c r="L80" i="6"/>
  <c r="J80" i="6"/>
  <c r="G80" i="6"/>
  <c r="F80" i="6"/>
  <c r="X79" i="6"/>
  <c r="V79" i="6"/>
  <c r="T79" i="6"/>
  <c r="R79" i="6"/>
  <c r="P79" i="6"/>
  <c r="N79" i="6"/>
  <c r="L79" i="6"/>
  <c r="J79" i="6"/>
  <c r="G79" i="6"/>
  <c r="F79" i="6"/>
  <c r="X78" i="6"/>
  <c r="V78" i="6"/>
  <c r="T78" i="6"/>
  <c r="R78" i="6"/>
  <c r="P78" i="6"/>
  <c r="N78" i="6"/>
  <c r="L78" i="6"/>
  <c r="J78" i="6"/>
  <c r="G78" i="6"/>
  <c r="F78" i="6"/>
  <c r="X77" i="6"/>
  <c r="V77" i="6"/>
  <c r="T77" i="6"/>
  <c r="R77" i="6"/>
  <c r="P77" i="6"/>
  <c r="N77" i="6"/>
  <c r="L77" i="6"/>
  <c r="J77" i="6"/>
  <c r="G77" i="6"/>
  <c r="F77" i="6"/>
  <c r="X76" i="6"/>
  <c r="V76" i="6"/>
  <c r="T76" i="6"/>
  <c r="R76" i="6"/>
  <c r="P76" i="6"/>
  <c r="N76" i="6"/>
  <c r="L76" i="6"/>
  <c r="J76" i="6"/>
  <c r="G76" i="6"/>
  <c r="F76" i="6"/>
  <c r="X75" i="6"/>
  <c r="V75" i="6"/>
  <c r="T75" i="6"/>
  <c r="R75" i="6"/>
  <c r="P75" i="6"/>
  <c r="N75" i="6"/>
  <c r="L75" i="6"/>
  <c r="J75" i="6"/>
  <c r="G75" i="6"/>
  <c r="F75" i="6"/>
  <c r="X74" i="6"/>
  <c r="V74" i="6"/>
  <c r="T74" i="6"/>
  <c r="R74" i="6"/>
  <c r="P74" i="6"/>
  <c r="N74" i="6"/>
  <c r="L74" i="6"/>
  <c r="J74" i="6"/>
  <c r="G74" i="6"/>
  <c r="F74" i="6"/>
  <c r="X73" i="6"/>
  <c r="V73" i="6"/>
  <c r="T73" i="6"/>
  <c r="R73" i="6"/>
  <c r="P73" i="6"/>
  <c r="N73" i="6"/>
  <c r="L73" i="6"/>
  <c r="J73" i="6"/>
  <c r="G73" i="6"/>
  <c r="F73" i="6"/>
  <c r="X72" i="6"/>
  <c r="V72" i="6"/>
  <c r="T72" i="6"/>
  <c r="R72" i="6"/>
  <c r="P72" i="6"/>
  <c r="N72" i="6"/>
  <c r="L72" i="6"/>
  <c r="J72" i="6"/>
  <c r="G72" i="6"/>
  <c r="F72" i="6"/>
  <c r="X71" i="6"/>
  <c r="V71" i="6"/>
  <c r="T71" i="6"/>
  <c r="R71" i="6"/>
  <c r="P71" i="6"/>
  <c r="N71" i="6"/>
  <c r="L71" i="6"/>
  <c r="J71" i="6"/>
  <c r="G71" i="6"/>
  <c r="F71" i="6"/>
  <c r="X70" i="6"/>
  <c r="V70" i="6"/>
  <c r="T70" i="6"/>
  <c r="R70" i="6"/>
  <c r="P70" i="6"/>
  <c r="N70" i="6"/>
  <c r="L70" i="6"/>
  <c r="J70" i="6"/>
  <c r="G70" i="6"/>
  <c r="F70" i="6"/>
  <c r="X69" i="6"/>
  <c r="V69" i="6"/>
  <c r="T69" i="6"/>
  <c r="R69" i="6"/>
  <c r="P69" i="6"/>
  <c r="N69" i="6"/>
  <c r="L69" i="6"/>
  <c r="J69" i="6"/>
  <c r="G69" i="6"/>
  <c r="F69" i="6"/>
  <c r="X68" i="6"/>
  <c r="V68" i="6"/>
  <c r="T68" i="6"/>
  <c r="R68" i="6"/>
  <c r="P68" i="6"/>
  <c r="N68" i="6"/>
  <c r="L68" i="6"/>
  <c r="J68" i="6"/>
  <c r="G68" i="6"/>
  <c r="F68" i="6"/>
  <c r="X67" i="6"/>
  <c r="V67" i="6"/>
  <c r="T67" i="6"/>
  <c r="R67" i="6"/>
  <c r="P67" i="6"/>
  <c r="N67" i="6"/>
  <c r="L67" i="6"/>
  <c r="J67" i="6"/>
  <c r="G67" i="6"/>
  <c r="F67" i="6"/>
  <c r="X66" i="6"/>
  <c r="V66" i="6"/>
  <c r="T66" i="6"/>
  <c r="R66" i="6"/>
  <c r="P66" i="6"/>
  <c r="N66" i="6"/>
  <c r="L66" i="6"/>
  <c r="J66" i="6"/>
  <c r="G66" i="6"/>
  <c r="F66" i="6"/>
  <c r="X65" i="6"/>
  <c r="V65" i="6"/>
  <c r="T65" i="6"/>
  <c r="R65" i="6"/>
  <c r="P65" i="6"/>
  <c r="N65" i="6"/>
  <c r="L65" i="6"/>
  <c r="J65" i="6"/>
  <c r="G65" i="6"/>
  <c r="F65" i="6"/>
  <c r="X64" i="6"/>
  <c r="V64" i="6"/>
  <c r="T64" i="6"/>
  <c r="R64" i="6"/>
  <c r="P64" i="6"/>
  <c r="N64" i="6"/>
  <c r="L64" i="6"/>
  <c r="J64" i="6"/>
  <c r="G64" i="6"/>
  <c r="F64" i="6"/>
  <c r="X63" i="6"/>
  <c r="V63" i="6"/>
  <c r="T63" i="6"/>
  <c r="R63" i="6"/>
  <c r="P63" i="6"/>
  <c r="N63" i="6"/>
  <c r="L63" i="6"/>
  <c r="J63" i="6"/>
  <c r="G63" i="6"/>
  <c r="F63" i="6"/>
  <c r="X62" i="6"/>
  <c r="V62" i="6"/>
  <c r="T62" i="6"/>
  <c r="R62" i="6"/>
  <c r="P62" i="6"/>
  <c r="N62" i="6"/>
  <c r="L62" i="6"/>
  <c r="J62" i="6"/>
  <c r="G62" i="6"/>
  <c r="F62" i="6"/>
  <c r="X61" i="6"/>
  <c r="V61" i="6"/>
  <c r="T61" i="6"/>
  <c r="R61" i="6"/>
  <c r="P61" i="6"/>
  <c r="N61" i="6"/>
  <c r="L61" i="6"/>
  <c r="J61" i="6"/>
  <c r="G61" i="6"/>
  <c r="F61" i="6"/>
  <c r="X60" i="6"/>
  <c r="V60" i="6"/>
  <c r="T60" i="6"/>
  <c r="R60" i="6"/>
  <c r="P60" i="6"/>
  <c r="N60" i="6"/>
  <c r="L60" i="6"/>
  <c r="J60" i="6"/>
  <c r="G60" i="6"/>
  <c r="F60" i="6"/>
  <c r="X59" i="6"/>
  <c r="V59" i="6"/>
  <c r="T59" i="6"/>
  <c r="R59" i="6"/>
  <c r="P59" i="6"/>
  <c r="N59" i="6"/>
  <c r="L59" i="6"/>
  <c r="J59" i="6"/>
  <c r="G59" i="6"/>
  <c r="F59" i="6"/>
  <c r="X58" i="6"/>
  <c r="V58" i="6"/>
  <c r="T58" i="6"/>
  <c r="R58" i="6"/>
  <c r="P58" i="6"/>
  <c r="N58" i="6"/>
  <c r="L58" i="6"/>
  <c r="J58" i="6"/>
  <c r="G58" i="6"/>
  <c r="F58" i="6"/>
  <c r="X57" i="6"/>
  <c r="V57" i="6"/>
  <c r="T57" i="6"/>
  <c r="R57" i="6"/>
  <c r="P57" i="6"/>
  <c r="N57" i="6"/>
  <c r="L57" i="6"/>
  <c r="J57" i="6"/>
  <c r="G57" i="6"/>
  <c r="F57" i="6"/>
  <c r="X56" i="6"/>
  <c r="V56" i="6"/>
  <c r="T56" i="6"/>
  <c r="R56" i="6"/>
  <c r="P56" i="6"/>
  <c r="N56" i="6"/>
  <c r="L56" i="6"/>
  <c r="J56" i="6"/>
  <c r="G56" i="6"/>
  <c r="F56" i="6"/>
  <c r="X55" i="6"/>
  <c r="V55" i="6"/>
  <c r="T55" i="6"/>
  <c r="R55" i="6"/>
  <c r="P55" i="6"/>
  <c r="N55" i="6"/>
  <c r="L55" i="6"/>
  <c r="J55" i="6"/>
  <c r="G55" i="6"/>
  <c r="F55" i="6"/>
  <c r="X54" i="6"/>
  <c r="V54" i="6"/>
  <c r="T54" i="6"/>
  <c r="R54" i="6"/>
  <c r="P54" i="6"/>
  <c r="N54" i="6"/>
  <c r="L54" i="6"/>
  <c r="J54" i="6"/>
  <c r="G54" i="6"/>
  <c r="F54" i="6"/>
  <c r="X53" i="6"/>
  <c r="V53" i="6"/>
  <c r="T53" i="6"/>
  <c r="R53" i="6"/>
  <c r="P53" i="6"/>
  <c r="N53" i="6"/>
  <c r="L53" i="6"/>
  <c r="J53" i="6"/>
  <c r="G53" i="6"/>
  <c r="F53" i="6"/>
  <c r="X52" i="6"/>
  <c r="V52" i="6"/>
  <c r="T52" i="6"/>
  <c r="R52" i="6"/>
  <c r="P52" i="6"/>
  <c r="N52" i="6"/>
  <c r="L52" i="6"/>
  <c r="J52" i="6"/>
  <c r="G52" i="6"/>
  <c r="F52" i="6"/>
  <c r="X51" i="6"/>
  <c r="V51" i="6"/>
  <c r="T51" i="6"/>
  <c r="R51" i="6"/>
  <c r="P51" i="6"/>
  <c r="N51" i="6"/>
  <c r="L51" i="6"/>
  <c r="J51" i="6"/>
  <c r="G51" i="6"/>
  <c r="F51" i="6"/>
  <c r="X50" i="6"/>
  <c r="V50" i="6"/>
  <c r="T50" i="6"/>
  <c r="R50" i="6"/>
  <c r="P50" i="6"/>
  <c r="N50" i="6"/>
  <c r="L50" i="6"/>
  <c r="J50" i="6"/>
  <c r="G50" i="6"/>
  <c r="F50" i="6"/>
  <c r="X49" i="6"/>
  <c r="V49" i="6"/>
  <c r="T49" i="6"/>
  <c r="R49" i="6"/>
  <c r="P49" i="6"/>
  <c r="N49" i="6"/>
  <c r="L49" i="6"/>
  <c r="J49" i="6"/>
  <c r="G49" i="6"/>
  <c r="F49" i="6"/>
  <c r="X48" i="6"/>
  <c r="V48" i="6"/>
  <c r="T48" i="6"/>
  <c r="R48" i="6"/>
  <c r="P48" i="6"/>
  <c r="N48" i="6"/>
  <c r="L48" i="6"/>
  <c r="J48" i="6"/>
  <c r="G48" i="6"/>
  <c r="F48" i="6"/>
  <c r="X47" i="6"/>
  <c r="V47" i="6"/>
  <c r="T47" i="6"/>
  <c r="R47" i="6"/>
  <c r="P47" i="6"/>
  <c r="N47" i="6"/>
  <c r="L47" i="6"/>
  <c r="J47" i="6"/>
  <c r="G47" i="6"/>
  <c r="F47" i="6"/>
  <c r="X46" i="6"/>
  <c r="V46" i="6"/>
  <c r="T46" i="6"/>
  <c r="R46" i="6"/>
  <c r="P46" i="6"/>
  <c r="N46" i="6"/>
  <c r="L46" i="6"/>
  <c r="J46" i="6"/>
  <c r="G46" i="6"/>
  <c r="F46" i="6"/>
  <c r="X45" i="6"/>
  <c r="V45" i="6"/>
  <c r="T45" i="6"/>
  <c r="R45" i="6"/>
  <c r="P45" i="6"/>
  <c r="N45" i="6"/>
  <c r="L45" i="6"/>
  <c r="J45" i="6"/>
  <c r="G45" i="6"/>
  <c r="F45" i="6"/>
  <c r="X44" i="6"/>
  <c r="V44" i="6"/>
  <c r="T44" i="6"/>
  <c r="R44" i="6"/>
  <c r="P44" i="6"/>
  <c r="N44" i="6"/>
  <c r="L44" i="6"/>
  <c r="J44" i="6"/>
  <c r="G44" i="6"/>
  <c r="F44" i="6"/>
  <c r="X43" i="6"/>
  <c r="V43" i="6"/>
  <c r="T43" i="6"/>
  <c r="R43" i="6"/>
  <c r="P43" i="6"/>
  <c r="N43" i="6"/>
  <c r="L43" i="6"/>
  <c r="J43" i="6"/>
  <c r="G43" i="6"/>
  <c r="F43" i="6"/>
  <c r="X42" i="6"/>
  <c r="V42" i="6"/>
  <c r="T42" i="6"/>
  <c r="R42" i="6"/>
  <c r="P42" i="6"/>
  <c r="N42" i="6"/>
  <c r="L42" i="6"/>
  <c r="J42" i="6"/>
  <c r="G42" i="6"/>
  <c r="F42" i="6"/>
  <c r="X41" i="6"/>
  <c r="V41" i="6"/>
  <c r="T41" i="6"/>
  <c r="R41" i="6"/>
  <c r="P41" i="6"/>
  <c r="N41" i="6"/>
  <c r="L41" i="6"/>
  <c r="J41" i="6"/>
  <c r="G41" i="6"/>
  <c r="F41" i="6"/>
  <c r="X40" i="6"/>
  <c r="V40" i="6"/>
  <c r="T40" i="6"/>
  <c r="R40" i="6"/>
  <c r="P40" i="6"/>
  <c r="N40" i="6"/>
  <c r="L40" i="6"/>
  <c r="J40" i="6"/>
  <c r="G40" i="6"/>
  <c r="F40" i="6"/>
  <c r="X39" i="6"/>
  <c r="V39" i="6"/>
  <c r="T39" i="6"/>
  <c r="R39" i="6"/>
  <c r="P39" i="6"/>
  <c r="N39" i="6"/>
  <c r="L39" i="6"/>
  <c r="J39" i="6"/>
  <c r="G39" i="6"/>
  <c r="F39" i="6"/>
  <c r="X38" i="6"/>
  <c r="V38" i="6"/>
  <c r="T38" i="6"/>
  <c r="R38" i="6"/>
  <c r="P38" i="6"/>
  <c r="N38" i="6"/>
  <c r="L38" i="6"/>
  <c r="J38" i="6"/>
  <c r="G38" i="6"/>
  <c r="F38" i="6"/>
  <c r="X37" i="6"/>
  <c r="V37" i="6"/>
  <c r="T37" i="6"/>
  <c r="R37" i="6"/>
  <c r="P37" i="6"/>
  <c r="N37" i="6"/>
  <c r="L37" i="6"/>
  <c r="J37" i="6"/>
  <c r="G37" i="6"/>
  <c r="F37" i="6"/>
  <c r="X36" i="6"/>
  <c r="V36" i="6"/>
  <c r="T36" i="6"/>
  <c r="R36" i="6"/>
  <c r="P36" i="6"/>
  <c r="N36" i="6"/>
  <c r="L36" i="6"/>
  <c r="J36" i="6"/>
  <c r="G36" i="6"/>
  <c r="F36" i="6"/>
  <c r="X35" i="6"/>
  <c r="V35" i="6"/>
  <c r="T35" i="6"/>
  <c r="R35" i="6"/>
  <c r="P35" i="6"/>
  <c r="N35" i="6"/>
  <c r="L35" i="6"/>
  <c r="J35" i="6"/>
  <c r="G35" i="6"/>
  <c r="F35" i="6"/>
  <c r="X34" i="6"/>
  <c r="V34" i="6"/>
  <c r="T34" i="6"/>
  <c r="R34" i="6"/>
  <c r="P34" i="6"/>
  <c r="N34" i="6"/>
  <c r="L34" i="6"/>
  <c r="J34" i="6"/>
  <c r="G34" i="6"/>
  <c r="F34" i="6"/>
  <c r="X33" i="6"/>
  <c r="V33" i="6"/>
  <c r="T33" i="6"/>
  <c r="R33" i="6"/>
  <c r="P33" i="6"/>
  <c r="N33" i="6"/>
  <c r="L33" i="6"/>
  <c r="J33" i="6"/>
  <c r="G33" i="6"/>
  <c r="F33" i="6"/>
  <c r="X32" i="6"/>
  <c r="V32" i="6"/>
  <c r="T32" i="6"/>
  <c r="R32" i="6"/>
  <c r="P32" i="6"/>
  <c r="N32" i="6"/>
  <c r="L32" i="6"/>
  <c r="J32" i="6"/>
  <c r="G32" i="6"/>
  <c r="F32" i="6"/>
  <c r="X31" i="6"/>
  <c r="V31" i="6"/>
  <c r="T31" i="6"/>
  <c r="R31" i="6"/>
  <c r="P31" i="6"/>
  <c r="N31" i="6"/>
  <c r="L31" i="6"/>
  <c r="J31" i="6"/>
  <c r="G31" i="6"/>
  <c r="F31" i="6"/>
  <c r="X30" i="6"/>
  <c r="V30" i="6"/>
  <c r="T30" i="6"/>
  <c r="R30" i="6"/>
  <c r="P30" i="6"/>
  <c r="N30" i="6"/>
  <c r="L30" i="6"/>
  <c r="J30" i="6"/>
  <c r="G30" i="6"/>
  <c r="F30" i="6"/>
  <c r="X29" i="6"/>
  <c r="V29" i="6"/>
  <c r="T29" i="6"/>
  <c r="R29" i="6"/>
  <c r="P29" i="6"/>
  <c r="N29" i="6"/>
  <c r="L29" i="6"/>
  <c r="J29" i="6"/>
  <c r="G29" i="6"/>
  <c r="F29" i="6"/>
  <c r="X28" i="6"/>
  <c r="V28" i="6"/>
  <c r="T28" i="6"/>
  <c r="R28" i="6"/>
  <c r="P28" i="6"/>
  <c r="N28" i="6"/>
  <c r="L28" i="6"/>
  <c r="J28" i="6"/>
  <c r="G28" i="6"/>
  <c r="F28" i="6"/>
  <c r="X27" i="6"/>
  <c r="V27" i="6"/>
  <c r="T27" i="6"/>
  <c r="R27" i="6"/>
  <c r="P27" i="6"/>
  <c r="N27" i="6"/>
  <c r="L27" i="6"/>
  <c r="J27" i="6"/>
  <c r="G27" i="6"/>
  <c r="F27" i="6"/>
  <c r="X26" i="6"/>
  <c r="V26" i="6"/>
  <c r="T26" i="6"/>
  <c r="R26" i="6"/>
  <c r="P26" i="6"/>
  <c r="N26" i="6"/>
  <c r="L26" i="6"/>
  <c r="J26" i="6"/>
  <c r="G26" i="6"/>
  <c r="F26" i="6"/>
  <c r="X25" i="6"/>
  <c r="V25" i="6"/>
  <c r="T25" i="6"/>
  <c r="R25" i="6"/>
  <c r="P25" i="6"/>
  <c r="N25" i="6"/>
  <c r="L25" i="6"/>
  <c r="J25" i="6"/>
  <c r="G25" i="6"/>
  <c r="F25" i="6"/>
  <c r="X24" i="6"/>
  <c r="V24" i="6"/>
  <c r="T24" i="6"/>
  <c r="R24" i="6"/>
  <c r="P24" i="6"/>
  <c r="N24" i="6"/>
  <c r="L24" i="6"/>
  <c r="J24" i="6"/>
  <c r="G24" i="6"/>
  <c r="F24" i="6"/>
  <c r="X23" i="6"/>
  <c r="V23" i="6"/>
  <c r="T23" i="6"/>
  <c r="R23" i="6"/>
  <c r="P23" i="6"/>
  <c r="N23" i="6"/>
  <c r="L23" i="6"/>
  <c r="J23" i="6"/>
  <c r="G23" i="6"/>
  <c r="F23" i="6"/>
  <c r="X22" i="6"/>
  <c r="V22" i="6"/>
  <c r="T22" i="6"/>
  <c r="R22" i="6"/>
  <c r="P22" i="6"/>
  <c r="N22" i="6"/>
  <c r="L22" i="6"/>
  <c r="J22" i="6"/>
  <c r="G22" i="6"/>
  <c r="F22" i="6"/>
  <c r="X21" i="6"/>
  <c r="V21" i="6"/>
  <c r="T21" i="6"/>
  <c r="R21" i="6"/>
  <c r="P21" i="6"/>
  <c r="N21" i="6"/>
  <c r="L21" i="6"/>
  <c r="J21" i="6"/>
  <c r="G21" i="6"/>
  <c r="F21" i="6"/>
  <c r="X20" i="6"/>
  <c r="V20" i="6"/>
  <c r="T20" i="6"/>
  <c r="R20" i="6"/>
  <c r="P20" i="6"/>
  <c r="N20" i="6"/>
  <c r="L20" i="6"/>
  <c r="J20" i="6"/>
  <c r="G20" i="6"/>
  <c r="F20" i="6"/>
  <c r="X19" i="6"/>
  <c r="V19" i="6"/>
  <c r="T19" i="6"/>
  <c r="R19" i="6"/>
  <c r="P19" i="6"/>
  <c r="N19" i="6"/>
  <c r="L19" i="6"/>
  <c r="J19" i="6"/>
  <c r="G19" i="6"/>
  <c r="F19" i="6"/>
  <c r="X18" i="6"/>
  <c r="V18" i="6"/>
  <c r="T18" i="6"/>
  <c r="R18" i="6"/>
  <c r="P18" i="6"/>
  <c r="N18" i="6"/>
  <c r="L18" i="6"/>
  <c r="J18" i="6"/>
  <c r="G18" i="6"/>
  <c r="F18" i="6"/>
  <c r="X17" i="6"/>
  <c r="V17" i="6"/>
  <c r="T17" i="6"/>
  <c r="R17" i="6"/>
  <c r="P17" i="6"/>
  <c r="N17" i="6"/>
  <c r="L17" i="6"/>
  <c r="J17" i="6"/>
  <c r="G17" i="6"/>
  <c r="F17" i="6"/>
  <c r="X16" i="6"/>
  <c r="V16" i="6"/>
  <c r="T16" i="6"/>
  <c r="R16" i="6"/>
  <c r="P16" i="6"/>
  <c r="N16" i="6"/>
  <c r="L16" i="6"/>
  <c r="J16" i="6"/>
  <c r="G16" i="6"/>
  <c r="F16" i="6"/>
  <c r="X15" i="6"/>
  <c r="V15" i="6"/>
  <c r="T15" i="6"/>
  <c r="R15" i="6"/>
  <c r="P15" i="6"/>
  <c r="N15" i="6"/>
  <c r="L15" i="6"/>
  <c r="J15" i="6"/>
  <c r="G15" i="6"/>
  <c r="F15" i="6"/>
  <c r="X14" i="6"/>
  <c r="V14" i="6"/>
  <c r="T14" i="6"/>
  <c r="R14" i="6"/>
  <c r="P14" i="6"/>
  <c r="N14" i="6"/>
  <c r="L14" i="6"/>
  <c r="J14" i="6"/>
  <c r="G14" i="6"/>
  <c r="F14" i="6"/>
  <c r="X13" i="6"/>
  <c r="V13" i="6"/>
  <c r="T13" i="6"/>
  <c r="R13" i="6"/>
  <c r="P13" i="6"/>
  <c r="N13" i="6"/>
  <c r="L13" i="6"/>
  <c r="J13" i="6"/>
  <c r="G13" i="6"/>
  <c r="F13" i="6"/>
  <c r="X12" i="6"/>
  <c r="V12" i="6"/>
  <c r="T12" i="6"/>
  <c r="R12" i="6"/>
  <c r="P12" i="6"/>
  <c r="N12" i="6"/>
  <c r="L12" i="6"/>
  <c r="J12" i="6"/>
  <c r="G12" i="6"/>
  <c r="F12" i="6"/>
  <c r="X11" i="6"/>
  <c r="V11" i="6"/>
  <c r="T11" i="6"/>
  <c r="R11" i="6"/>
  <c r="P11" i="6"/>
  <c r="N11" i="6"/>
  <c r="L11" i="6"/>
  <c r="J11" i="6"/>
  <c r="G11" i="6"/>
  <c r="F11" i="6"/>
  <c r="B8" i="6"/>
  <c r="X91" i="5"/>
  <c r="V91" i="5"/>
  <c r="T91" i="5"/>
  <c r="R91" i="5"/>
  <c r="P91" i="5"/>
  <c r="N91" i="5"/>
  <c r="L91" i="5"/>
  <c r="J91" i="5"/>
  <c r="H91" i="5"/>
  <c r="G91" i="5"/>
  <c r="C91" i="5"/>
  <c r="X90" i="5"/>
  <c r="V90" i="5"/>
  <c r="T90" i="5"/>
  <c r="R90" i="5"/>
  <c r="P90" i="5"/>
  <c r="N90" i="5"/>
  <c r="L90" i="5"/>
  <c r="J90" i="5"/>
  <c r="H90" i="5"/>
  <c r="G90" i="5"/>
  <c r="C90" i="5"/>
  <c r="X89" i="5"/>
  <c r="V89" i="5"/>
  <c r="T89" i="5"/>
  <c r="R89" i="5"/>
  <c r="P89" i="5"/>
  <c r="N89" i="5"/>
  <c r="L89" i="5"/>
  <c r="J89" i="5"/>
  <c r="H89" i="5"/>
  <c r="G89" i="5"/>
  <c r="C89" i="5"/>
  <c r="X88" i="5"/>
  <c r="V88" i="5"/>
  <c r="T88" i="5"/>
  <c r="R88" i="5"/>
  <c r="P88" i="5"/>
  <c r="N88" i="5"/>
  <c r="L88" i="5"/>
  <c r="J88" i="5"/>
  <c r="H88" i="5"/>
  <c r="G88" i="5"/>
  <c r="C88" i="5"/>
  <c r="X87" i="5"/>
  <c r="V87" i="5"/>
  <c r="T87" i="5"/>
  <c r="R87" i="5"/>
  <c r="P87" i="5"/>
  <c r="N87" i="5"/>
  <c r="L87" i="5"/>
  <c r="J87" i="5"/>
  <c r="H87" i="5"/>
  <c r="G87" i="5"/>
  <c r="C87" i="5"/>
  <c r="X86" i="5"/>
  <c r="V86" i="5"/>
  <c r="T86" i="5"/>
  <c r="R86" i="5"/>
  <c r="P86" i="5"/>
  <c r="N86" i="5"/>
  <c r="L86" i="5"/>
  <c r="J86" i="5"/>
  <c r="H86" i="5"/>
  <c r="G86" i="5"/>
  <c r="C86" i="5"/>
  <c r="X85" i="5"/>
  <c r="V85" i="5"/>
  <c r="T85" i="5"/>
  <c r="R85" i="5"/>
  <c r="P85" i="5"/>
  <c r="N85" i="5"/>
  <c r="L85" i="5"/>
  <c r="J85" i="5"/>
  <c r="H85" i="5"/>
  <c r="G85" i="5"/>
  <c r="C85" i="5"/>
  <c r="X84" i="5"/>
  <c r="V84" i="5"/>
  <c r="T84" i="5"/>
  <c r="R84" i="5"/>
  <c r="P84" i="5"/>
  <c r="N84" i="5"/>
  <c r="L84" i="5"/>
  <c r="J84" i="5"/>
  <c r="H84" i="5"/>
  <c r="G84" i="5"/>
  <c r="C84" i="5"/>
  <c r="X83" i="5"/>
  <c r="V83" i="5"/>
  <c r="T83" i="5"/>
  <c r="R83" i="5"/>
  <c r="P83" i="5"/>
  <c r="N83" i="5"/>
  <c r="L83" i="5"/>
  <c r="J83" i="5"/>
  <c r="H83" i="5"/>
  <c r="G83" i="5"/>
  <c r="C83" i="5"/>
  <c r="X82" i="5"/>
  <c r="V82" i="5"/>
  <c r="T82" i="5"/>
  <c r="R82" i="5"/>
  <c r="P82" i="5"/>
  <c r="N82" i="5"/>
  <c r="L82" i="5"/>
  <c r="J82" i="5"/>
  <c r="H82" i="5"/>
  <c r="G82" i="5"/>
  <c r="C82" i="5"/>
  <c r="X81" i="5"/>
  <c r="V81" i="5"/>
  <c r="T81" i="5"/>
  <c r="R81" i="5"/>
  <c r="P81" i="5"/>
  <c r="N81" i="5"/>
  <c r="L81" i="5"/>
  <c r="J81" i="5"/>
  <c r="H81" i="5"/>
  <c r="G81" i="5"/>
  <c r="C81" i="5"/>
  <c r="X80" i="5"/>
  <c r="V80" i="5"/>
  <c r="T80" i="5"/>
  <c r="R80" i="5"/>
  <c r="P80" i="5"/>
  <c r="N80" i="5"/>
  <c r="L80" i="5"/>
  <c r="J80" i="5"/>
  <c r="H80" i="5"/>
  <c r="G80" i="5"/>
  <c r="C80" i="5"/>
  <c r="X79" i="5"/>
  <c r="V79" i="5"/>
  <c r="T79" i="5"/>
  <c r="R79" i="5"/>
  <c r="P79" i="5"/>
  <c r="N79" i="5"/>
  <c r="L79" i="5"/>
  <c r="J79" i="5"/>
  <c r="H79" i="5"/>
  <c r="G79" i="5"/>
  <c r="C79" i="5"/>
  <c r="X78" i="5"/>
  <c r="V78" i="5"/>
  <c r="T78" i="5"/>
  <c r="R78" i="5"/>
  <c r="P78" i="5"/>
  <c r="N78" i="5"/>
  <c r="L78" i="5"/>
  <c r="J78" i="5"/>
  <c r="H78" i="5"/>
  <c r="G78" i="5"/>
  <c r="C78" i="5"/>
  <c r="X77" i="5"/>
  <c r="V77" i="5"/>
  <c r="T77" i="5"/>
  <c r="R77" i="5"/>
  <c r="P77" i="5"/>
  <c r="N77" i="5"/>
  <c r="L77" i="5"/>
  <c r="J77" i="5"/>
  <c r="H77" i="5"/>
  <c r="G77" i="5"/>
  <c r="C77" i="5"/>
  <c r="X76" i="5"/>
  <c r="V76" i="5"/>
  <c r="T76" i="5"/>
  <c r="R76" i="5"/>
  <c r="P76" i="5"/>
  <c r="N76" i="5"/>
  <c r="L76" i="5"/>
  <c r="J76" i="5"/>
  <c r="H76" i="5"/>
  <c r="G76" i="5"/>
  <c r="C76" i="5"/>
  <c r="X75" i="5"/>
  <c r="V75" i="5"/>
  <c r="T75" i="5"/>
  <c r="R75" i="5"/>
  <c r="P75" i="5"/>
  <c r="N75" i="5"/>
  <c r="L75" i="5"/>
  <c r="J75" i="5"/>
  <c r="H75" i="5"/>
  <c r="G75" i="5"/>
  <c r="C75" i="5"/>
  <c r="X74" i="5"/>
  <c r="V74" i="5"/>
  <c r="T74" i="5"/>
  <c r="R74" i="5"/>
  <c r="P74" i="5"/>
  <c r="N74" i="5"/>
  <c r="L74" i="5"/>
  <c r="J74" i="5"/>
  <c r="H74" i="5"/>
  <c r="G74" i="5"/>
  <c r="C74" i="5"/>
  <c r="X73" i="5"/>
  <c r="V73" i="5"/>
  <c r="T73" i="5"/>
  <c r="R73" i="5"/>
  <c r="P73" i="5"/>
  <c r="N73" i="5"/>
  <c r="L73" i="5"/>
  <c r="J73" i="5"/>
  <c r="H73" i="5"/>
  <c r="G73" i="5"/>
  <c r="C73" i="5"/>
  <c r="X72" i="5"/>
  <c r="V72" i="5"/>
  <c r="T72" i="5"/>
  <c r="R72" i="5"/>
  <c r="P72" i="5"/>
  <c r="N72" i="5"/>
  <c r="L72" i="5"/>
  <c r="J72" i="5"/>
  <c r="H72" i="5"/>
  <c r="G72" i="5"/>
  <c r="C72" i="5"/>
  <c r="X71" i="5"/>
  <c r="V71" i="5"/>
  <c r="T71" i="5"/>
  <c r="R71" i="5"/>
  <c r="P71" i="5"/>
  <c r="N71" i="5"/>
  <c r="L71" i="5"/>
  <c r="J71" i="5"/>
  <c r="H71" i="5"/>
  <c r="G71" i="5"/>
  <c r="C71" i="5"/>
  <c r="X70" i="5"/>
  <c r="V70" i="5"/>
  <c r="T70" i="5"/>
  <c r="R70" i="5"/>
  <c r="P70" i="5"/>
  <c r="N70" i="5"/>
  <c r="L70" i="5"/>
  <c r="J70" i="5"/>
  <c r="H70" i="5"/>
  <c r="G70" i="5"/>
  <c r="C70" i="5"/>
  <c r="X69" i="5"/>
  <c r="V69" i="5"/>
  <c r="T69" i="5"/>
  <c r="R69" i="5"/>
  <c r="P69" i="5"/>
  <c r="N69" i="5"/>
  <c r="L69" i="5"/>
  <c r="J69" i="5"/>
  <c r="H69" i="5"/>
  <c r="G69" i="5"/>
  <c r="C69" i="5"/>
  <c r="X68" i="5"/>
  <c r="V68" i="5"/>
  <c r="T68" i="5"/>
  <c r="R68" i="5"/>
  <c r="P68" i="5"/>
  <c r="N68" i="5"/>
  <c r="L68" i="5"/>
  <c r="J68" i="5"/>
  <c r="H68" i="5"/>
  <c r="G68" i="5"/>
  <c r="C68" i="5"/>
  <c r="X67" i="5"/>
  <c r="V67" i="5"/>
  <c r="T67" i="5"/>
  <c r="R67" i="5"/>
  <c r="P67" i="5"/>
  <c r="N67" i="5"/>
  <c r="L67" i="5"/>
  <c r="J67" i="5"/>
  <c r="H67" i="5"/>
  <c r="G67" i="5"/>
  <c r="C67" i="5"/>
  <c r="X66" i="5"/>
  <c r="V66" i="5"/>
  <c r="T66" i="5"/>
  <c r="R66" i="5"/>
  <c r="P66" i="5"/>
  <c r="N66" i="5"/>
  <c r="L66" i="5"/>
  <c r="J66" i="5"/>
  <c r="H66" i="5"/>
  <c r="G66" i="5"/>
  <c r="C66" i="5"/>
  <c r="X65" i="5"/>
  <c r="V65" i="5"/>
  <c r="T65" i="5"/>
  <c r="R65" i="5"/>
  <c r="P65" i="5"/>
  <c r="N65" i="5"/>
  <c r="L65" i="5"/>
  <c r="J65" i="5"/>
  <c r="H65" i="5"/>
  <c r="G65" i="5"/>
  <c r="C65" i="5"/>
  <c r="X64" i="5"/>
  <c r="V64" i="5"/>
  <c r="T64" i="5"/>
  <c r="R64" i="5"/>
  <c r="P64" i="5"/>
  <c r="N64" i="5"/>
  <c r="L64" i="5"/>
  <c r="J64" i="5"/>
  <c r="H64" i="5"/>
  <c r="G64" i="5"/>
  <c r="C64" i="5"/>
  <c r="X63" i="5"/>
  <c r="V63" i="5"/>
  <c r="T63" i="5"/>
  <c r="R63" i="5"/>
  <c r="P63" i="5"/>
  <c r="N63" i="5"/>
  <c r="L63" i="5"/>
  <c r="J63" i="5"/>
  <c r="H63" i="5"/>
  <c r="G63" i="5"/>
  <c r="C63" i="5"/>
  <c r="X62" i="5"/>
  <c r="V62" i="5"/>
  <c r="T62" i="5"/>
  <c r="R62" i="5"/>
  <c r="P62" i="5"/>
  <c r="N62" i="5"/>
  <c r="L62" i="5"/>
  <c r="J62" i="5"/>
  <c r="H62" i="5"/>
  <c r="G62" i="5"/>
  <c r="C62" i="5"/>
  <c r="X61" i="5"/>
  <c r="V61" i="5"/>
  <c r="T61" i="5"/>
  <c r="R61" i="5"/>
  <c r="P61" i="5"/>
  <c r="N61" i="5"/>
  <c r="L61" i="5"/>
  <c r="J61" i="5"/>
  <c r="H61" i="5"/>
  <c r="G61" i="5"/>
  <c r="C61" i="5"/>
  <c r="X60" i="5"/>
  <c r="V60" i="5"/>
  <c r="T60" i="5"/>
  <c r="R60" i="5"/>
  <c r="P60" i="5"/>
  <c r="N60" i="5"/>
  <c r="L60" i="5"/>
  <c r="J60" i="5"/>
  <c r="H60" i="5"/>
  <c r="G60" i="5"/>
  <c r="C60" i="5"/>
  <c r="X59" i="5"/>
  <c r="V59" i="5"/>
  <c r="T59" i="5"/>
  <c r="R59" i="5"/>
  <c r="P59" i="5"/>
  <c r="N59" i="5"/>
  <c r="L59" i="5"/>
  <c r="J59" i="5"/>
  <c r="H59" i="5"/>
  <c r="G59" i="5"/>
  <c r="C59" i="5"/>
  <c r="X58" i="5"/>
  <c r="V58" i="5"/>
  <c r="T58" i="5"/>
  <c r="R58" i="5"/>
  <c r="P58" i="5"/>
  <c r="N58" i="5"/>
  <c r="L58" i="5"/>
  <c r="J58" i="5"/>
  <c r="H58" i="5"/>
  <c r="G58" i="5"/>
  <c r="C58" i="5"/>
  <c r="X57" i="5"/>
  <c r="V57" i="5"/>
  <c r="T57" i="5"/>
  <c r="R57" i="5"/>
  <c r="P57" i="5"/>
  <c r="N57" i="5"/>
  <c r="L57" i="5"/>
  <c r="J57" i="5"/>
  <c r="H57" i="5"/>
  <c r="G57" i="5"/>
  <c r="C57" i="5"/>
  <c r="X56" i="5"/>
  <c r="V56" i="5"/>
  <c r="T56" i="5"/>
  <c r="R56" i="5"/>
  <c r="P56" i="5"/>
  <c r="N56" i="5"/>
  <c r="L56" i="5"/>
  <c r="J56" i="5"/>
  <c r="H56" i="5"/>
  <c r="G56" i="5"/>
  <c r="C56" i="5"/>
  <c r="X55" i="5"/>
  <c r="V55" i="5"/>
  <c r="T55" i="5"/>
  <c r="R55" i="5"/>
  <c r="P55" i="5"/>
  <c r="N55" i="5"/>
  <c r="L55" i="5"/>
  <c r="J55" i="5"/>
  <c r="H55" i="5"/>
  <c r="G55" i="5"/>
  <c r="C55" i="5"/>
  <c r="X54" i="5"/>
  <c r="V54" i="5"/>
  <c r="T54" i="5"/>
  <c r="R54" i="5"/>
  <c r="P54" i="5"/>
  <c r="N54" i="5"/>
  <c r="L54" i="5"/>
  <c r="J54" i="5"/>
  <c r="H54" i="5"/>
  <c r="G54" i="5"/>
  <c r="C54" i="5"/>
  <c r="X53" i="5"/>
  <c r="V53" i="5"/>
  <c r="T53" i="5"/>
  <c r="R53" i="5"/>
  <c r="P53" i="5"/>
  <c r="N53" i="5"/>
  <c r="L53" i="5"/>
  <c r="J53" i="5"/>
  <c r="H53" i="5"/>
  <c r="G53" i="5"/>
  <c r="C53" i="5"/>
  <c r="X52" i="5"/>
  <c r="V52" i="5"/>
  <c r="T52" i="5"/>
  <c r="R52" i="5"/>
  <c r="P52" i="5"/>
  <c r="N52" i="5"/>
  <c r="L52" i="5"/>
  <c r="J52" i="5"/>
  <c r="H52" i="5"/>
  <c r="G52" i="5"/>
  <c r="C52" i="5"/>
  <c r="X51" i="5"/>
  <c r="V51" i="5"/>
  <c r="T51" i="5"/>
  <c r="R51" i="5"/>
  <c r="P51" i="5"/>
  <c r="N51" i="5"/>
  <c r="L51" i="5"/>
  <c r="J51" i="5"/>
  <c r="H51" i="5"/>
  <c r="G51" i="5"/>
  <c r="C51" i="5"/>
  <c r="X50" i="5"/>
  <c r="V50" i="5"/>
  <c r="T50" i="5"/>
  <c r="R50" i="5"/>
  <c r="P50" i="5"/>
  <c r="N50" i="5"/>
  <c r="L50" i="5"/>
  <c r="J50" i="5"/>
  <c r="H50" i="5"/>
  <c r="G50" i="5"/>
  <c r="C50" i="5"/>
  <c r="X49" i="5"/>
  <c r="V49" i="5"/>
  <c r="T49" i="5"/>
  <c r="R49" i="5"/>
  <c r="P49" i="5"/>
  <c r="N49" i="5"/>
  <c r="L49" i="5"/>
  <c r="J49" i="5"/>
  <c r="H49" i="5"/>
  <c r="G49" i="5"/>
  <c r="C49" i="5"/>
  <c r="X48" i="5"/>
  <c r="V48" i="5"/>
  <c r="T48" i="5"/>
  <c r="R48" i="5"/>
  <c r="P48" i="5"/>
  <c r="N48" i="5"/>
  <c r="L48" i="5"/>
  <c r="J48" i="5"/>
  <c r="H48" i="5"/>
  <c r="G48" i="5"/>
  <c r="C48" i="5"/>
  <c r="X47" i="5"/>
  <c r="V47" i="5"/>
  <c r="T47" i="5"/>
  <c r="R47" i="5"/>
  <c r="P47" i="5"/>
  <c r="N47" i="5"/>
  <c r="L47" i="5"/>
  <c r="J47" i="5"/>
  <c r="H47" i="5"/>
  <c r="G47" i="5"/>
  <c r="C47" i="5"/>
  <c r="X46" i="5"/>
  <c r="V46" i="5"/>
  <c r="T46" i="5"/>
  <c r="R46" i="5"/>
  <c r="P46" i="5"/>
  <c r="N46" i="5"/>
  <c r="L46" i="5"/>
  <c r="J46" i="5"/>
  <c r="H46" i="5"/>
  <c r="G46" i="5"/>
  <c r="C46" i="5"/>
  <c r="X45" i="5"/>
  <c r="V45" i="5"/>
  <c r="T45" i="5"/>
  <c r="R45" i="5"/>
  <c r="P45" i="5"/>
  <c r="N45" i="5"/>
  <c r="L45" i="5"/>
  <c r="J45" i="5"/>
  <c r="H45" i="5"/>
  <c r="G45" i="5"/>
  <c r="C45" i="5"/>
  <c r="X44" i="5"/>
  <c r="V44" i="5"/>
  <c r="T44" i="5"/>
  <c r="R44" i="5"/>
  <c r="P44" i="5"/>
  <c r="N44" i="5"/>
  <c r="L44" i="5"/>
  <c r="J44" i="5"/>
  <c r="H44" i="5"/>
  <c r="G44" i="5"/>
  <c r="C44" i="5"/>
  <c r="X43" i="5"/>
  <c r="V43" i="5"/>
  <c r="T43" i="5"/>
  <c r="R43" i="5"/>
  <c r="P43" i="5"/>
  <c r="N43" i="5"/>
  <c r="L43" i="5"/>
  <c r="J43" i="5"/>
  <c r="H43" i="5"/>
  <c r="G43" i="5"/>
  <c r="C43" i="5"/>
  <c r="X42" i="5"/>
  <c r="V42" i="5"/>
  <c r="T42" i="5"/>
  <c r="R42" i="5"/>
  <c r="P42" i="5"/>
  <c r="N42" i="5"/>
  <c r="L42" i="5"/>
  <c r="J42" i="5"/>
  <c r="H42" i="5"/>
  <c r="G42" i="5"/>
  <c r="C42" i="5"/>
  <c r="X41" i="5"/>
  <c r="V41" i="5"/>
  <c r="T41" i="5"/>
  <c r="R41" i="5"/>
  <c r="P41" i="5"/>
  <c r="N41" i="5"/>
  <c r="L41" i="5"/>
  <c r="J41" i="5"/>
  <c r="H41" i="5"/>
  <c r="G41" i="5"/>
  <c r="C41" i="5"/>
  <c r="X40" i="5"/>
  <c r="V40" i="5"/>
  <c r="T40" i="5"/>
  <c r="R40" i="5"/>
  <c r="P40" i="5"/>
  <c r="N40" i="5"/>
  <c r="L40" i="5"/>
  <c r="J40" i="5"/>
  <c r="H40" i="5"/>
  <c r="G40" i="5"/>
  <c r="C40" i="5"/>
  <c r="X39" i="5"/>
  <c r="V39" i="5"/>
  <c r="T39" i="5"/>
  <c r="R39" i="5"/>
  <c r="P39" i="5"/>
  <c r="N39" i="5"/>
  <c r="L39" i="5"/>
  <c r="J39" i="5"/>
  <c r="H39" i="5"/>
  <c r="G39" i="5"/>
  <c r="C39" i="5"/>
  <c r="X38" i="5"/>
  <c r="V38" i="5"/>
  <c r="T38" i="5"/>
  <c r="R38" i="5"/>
  <c r="P38" i="5"/>
  <c r="N38" i="5"/>
  <c r="L38" i="5"/>
  <c r="J38" i="5"/>
  <c r="H38" i="5"/>
  <c r="G38" i="5"/>
  <c r="C38" i="5"/>
  <c r="X37" i="5"/>
  <c r="V37" i="5"/>
  <c r="T37" i="5"/>
  <c r="R37" i="5"/>
  <c r="P37" i="5"/>
  <c r="N37" i="5"/>
  <c r="L37" i="5"/>
  <c r="J37" i="5"/>
  <c r="H37" i="5"/>
  <c r="G37" i="5"/>
  <c r="C37" i="5"/>
  <c r="X36" i="5"/>
  <c r="V36" i="5"/>
  <c r="T36" i="5"/>
  <c r="R36" i="5"/>
  <c r="P36" i="5"/>
  <c r="N36" i="5"/>
  <c r="L36" i="5"/>
  <c r="J36" i="5"/>
  <c r="H36" i="5"/>
  <c r="G36" i="5"/>
  <c r="C36" i="5"/>
  <c r="X35" i="5"/>
  <c r="V35" i="5"/>
  <c r="T35" i="5"/>
  <c r="R35" i="5"/>
  <c r="P35" i="5"/>
  <c r="N35" i="5"/>
  <c r="L35" i="5"/>
  <c r="J35" i="5"/>
  <c r="H35" i="5"/>
  <c r="G35" i="5"/>
  <c r="C35" i="5"/>
  <c r="X34" i="5"/>
  <c r="V34" i="5"/>
  <c r="T34" i="5"/>
  <c r="R34" i="5"/>
  <c r="P34" i="5"/>
  <c r="N34" i="5"/>
  <c r="L34" i="5"/>
  <c r="J34" i="5"/>
  <c r="H34" i="5"/>
  <c r="G34" i="5"/>
  <c r="C34" i="5"/>
  <c r="X33" i="5"/>
  <c r="V33" i="5"/>
  <c r="T33" i="5"/>
  <c r="R33" i="5"/>
  <c r="P33" i="5"/>
  <c r="N33" i="5"/>
  <c r="L33" i="5"/>
  <c r="J33" i="5"/>
  <c r="H33" i="5"/>
  <c r="G33" i="5"/>
  <c r="C33" i="5"/>
  <c r="X32" i="5"/>
  <c r="V32" i="5"/>
  <c r="T32" i="5"/>
  <c r="R32" i="5"/>
  <c r="P32" i="5"/>
  <c r="N32" i="5"/>
  <c r="L32" i="5"/>
  <c r="J32" i="5"/>
  <c r="H32" i="5"/>
  <c r="G32" i="5"/>
  <c r="C32" i="5"/>
  <c r="X31" i="5"/>
  <c r="V31" i="5"/>
  <c r="T31" i="5"/>
  <c r="R31" i="5"/>
  <c r="P31" i="5"/>
  <c r="N31" i="5"/>
  <c r="L31" i="5"/>
  <c r="J31" i="5"/>
  <c r="H31" i="5"/>
  <c r="G31" i="5"/>
  <c r="C31" i="5"/>
  <c r="X30" i="5"/>
  <c r="V30" i="5"/>
  <c r="T30" i="5"/>
  <c r="R30" i="5"/>
  <c r="P30" i="5"/>
  <c r="N30" i="5"/>
  <c r="L30" i="5"/>
  <c r="J30" i="5"/>
  <c r="H30" i="5"/>
  <c r="G30" i="5"/>
  <c r="C30" i="5"/>
  <c r="X29" i="5"/>
  <c r="V29" i="5"/>
  <c r="T29" i="5"/>
  <c r="R29" i="5"/>
  <c r="P29" i="5"/>
  <c r="N29" i="5"/>
  <c r="L29" i="5"/>
  <c r="J29" i="5"/>
  <c r="H29" i="5"/>
  <c r="G29" i="5"/>
  <c r="C29" i="5"/>
  <c r="X28" i="5"/>
  <c r="V28" i="5"/>
  <c r="T28" i="5"/>
  <c r="R28" i="5"/>
  <c r="P28" i="5"/>
  <c r="N28" i="5"/>
  <c r="L28" i="5"/>
  <c r="J28" i="5"/>
  <c r="H28" i="5"/>
  <c r="G28" i="5"/>
  <c r="C28" i="5"/>
  <c r="X27" i="5"/>
  <c r="V27" i="5"/>
  <c r="T27" i="5"/>
  <c r="R27" i="5"/>
  <c r="P27" i="5"/>
  <c r="N27" i="5"/>
  <c r="L27" i="5"/>
  <c r="J27" i="5"/>
  <c r="H27" i="5"/>
  <c r="G27" i="5"/>
  <c r="C27" i="5"/>
  <c r="X26" i="5"/>
  <c r="V26" i="5"/>
  <c r="T26" i="5"/>
  <c r="R26" i="5"/>
  <c r="P26" i="5"/>
  <c r="N26" i="5"/>
  <c r="L26" i="5"/>
  <c r="J26" i="5"/>
  <c r="H26" i="5"/>
  <c r="G26" i="5"/>
  <c r="C26" i="5"/>
  <c r="X25" i="5"/>
  <c r="V25" i="5"/>
  <c r="T25" i="5"/>
  <c r="R25" i="5"/>
  <c r="P25" i="5"/>
  <c r="N25" i="5"/>
  <c r="L25" i="5"/>
  <c r="J25" i="5"/>
  <c r="H25" i="5"/>
  <c r="G25" i="5"/>
  <c r="C25" i="5"/>
  <c r="X24" i="5"/>
  <c r="V24" i="5"/>
  <c r="T24" i="5"/>
  <c r="R24" i="5"/>
  <c r="P24" i="5"/>
  <c r="N24" i="5"/>
  <c r="L24" i="5"/>
  <c r="J24" i="5"/>
  <c r="H24" i="5"/>
  <c r="G24" i="5"/>
  <c r="C24" i="5"/>
  <c r="X23" i="5"/>
  <c r="V23" i="5"/>
  <c r="T23" i="5"/>
  <c r="R23" i="5"/>
  <c r="P23" i="5"/>
  <c r="N23" i="5"/>
  <c r="L23" i="5"/>
  <c r="J23" i="5"/>
  <c r="H23" i="5"/>
  <c r="G23" i="5"/>
  <c r="C23" i="5"/>
  <c r="X22" i="5"/>
  <c r="V22" i="5"/>
  <c r="T22" i="5"/>
  <c r="R22" i="5"/>
  <c r="P22" i="5"/>
  <c r="N22" i="5"/>
  <c r="L22" i="5"/>
  <c r="J22" i="5"/>
  <c r="H22" i="5"/>
  <c r="G22" i="5"/>
  <c r="C22" i="5"/>
  <c r="X21" i="5"/>
  <c r="V21" i="5"/>
  <c r="T21" i="5"/>
  <c r="R21" i="5"/>
  <c r="P21" i="5"/>
  <c r="N21" i="5"/>
  <c r="L21" i="5"/>
  <c r="J21" i="5"/>
  <c r="H21" i="5"/>
  <c r="G21" i="5"/>
  <c r="C21" i="5"/>
  <c r="X20" i="5"/>
  <c r="V20" i="5"/>
  <c r="T20" i="5"/>
  <c r="R20" i="5"/>
  <c r="P20" i="5"/>
  <c r="N20" i="5"/>
  <c r="L20" i="5"/>
  <c r="J20" i="5"/>
  <c r="H20" i="5"/>
  <c r="G20" i="5"/>
  <c r="C20" i="5"/>
  <c r="X19" i="5"/>
  <c r="V19" i="5"/>
  <c r="T19" i="5"/>
  <c r="R19" i="5"/>
  <c r="P19" i="5"/>
  <c r="N19" i="5"/>
  <c r="L19" i="5"/>
  <c r="J19" i="5"/>
  <c r="H19" i="5"/>
  <c r="G19" i="5"/>
  <c r="C19" i="5"/>
  <c r="X18" i="5"/>
  <c r="V18" i="5"/>
  <c r="T18" i="5"/>
  <c r="R18" i="5"/>
  <c r="P18" i="5"/>
  <c r="N18" i="5"/>
  <c r="L18" i="5"/>
  <c r="J18" i="5"/>
  <c r="H18" i="5"/>
  <c r="G18" i="5"/>
  <c r="C18" i="5"/>
  <c r="X17" i="5"/>
  <c r="V17" i="5"/>
  <c r="T17" i="5"/>
  <c r="R17" i="5"/>
  <c r="P17" i="5"/>
  <c r="N17" i="5"/>
  <c r="L17" i="5"/>
  <c r="J17" i="5"/>
  <c r="H17" i="5"/>
  <c r="G17" i="5"/>
  <c r="C17" i="5"/>
  <c r="X16" i="5"/>
  <c r="V16" i="5"/>
  <c r="T16" i="5"/>
  <c r="R16" i="5"/>
  <c r="P16" i="5"/>
  <c r="N16" i="5"/>
  <c r="L16" i="5"/>
  <c r="J16" i="5"/>
  <c r="H16" i="5"/>
  <c r="G16" i="5"/>
  <c r="C16" i="5"/>
  <c r="X15" i="5"/>
  <c r="V15" i="5"/>
  <c r="T15" i="5"/>
  <c r="R15" i="5"/>
  <c r="P15" i="5"/>
  <c r="N15" i="5"/>
  <c r="L15" i="5"/>
  <c r="J15" i="5"/>
  <c r="H15" i="5"/>
  <c r="G15" i="5"/>
  <c r="C15" i="5"/>
  <c r="X14" i="5"/>
  <c r="V14" i="5"/>
  <c r="T14" i="5"/>
  <c r="R14" i="5"/>
  <c r="P14" i="5"/>
  <c r="N14" i="5"/>
  <c r="L14" i="5"/>
  <c r="J14" i="5"/>
  <c r="H14" i="5"/>
  <c r="G14" i="5"/>
  <c r="C14" i="5"/>
  <c r="X13" i="5"/>
  <c r="V13" i="5"/>
  <c r="T13" i="5"/>
  <c r="R13" i="5"/>
  <c r="P13" i="5"/>
  <c r="N13" i="5"/>
  <c r="L13" i="5"/>
  <c r="J13" i="5"/>
  <c r="H13" i="5"/>
  <c r="G13" i="5"/>
  <c r="C13" i="5"/>
  <c r="X12" i="5"/>
  <c r="V12" i="5"/>
  <c r="T12" i="5"/>
  <c r="R12" i="5"/>
  <c r="P12" i="5"/>
  <c r="N12" i="5"/>
  <c r="L12" i="5"/>
  <c r="J12" i="5"/>
  <c r="H12" i="5"/>
  <c r="G12" i="5"/>
  <c r="C12" i="5"/>
  <c r="X11" i="5"/>
  <c r="V11" i="5"/>
  <c r="T11" i="5"/>
  <c r="R11" i="5"/>
  <c r="P11" i="5"/>
  <c r="N11" i="5"/>
  <c r="L11" i="5"/>
  <c r="J11" i="5"/>
  <c r="H11" i="5"/>
  <c r="G11" i="5"/>
  <c r="C11" i="5"/>
  <c r="B8" i="5"/>
  <c r="X91" i="4"/>
  <c r="V91" i="4"/>
  <c r="T91" i="4"/>
  <c r="R91" i="4"/>
  <c r="P91" i="4"/>
  <c r="N91" i="4"/>
  <c r="L91" i="4"/>
  <c r="J91" i="4"/>
  <c r="G91" i="4"/>
  <c r="F91" i="4"/>
  <c r="C91" i="4"/>
  <c r="X90" i="4"/>
  <c r="V90" i="4"/>
  <c r="T90" i="4"/>
  <c r="R90" i="4"/>
  <c r="P90" i="4"/>
  <c r="N90" i="4"/>
  <c r="L90" i="4"/>
  <c r="J90" i="4"/>
  <c r="G90" i="4"/>
  <c r="F90" i="4"/>
  <c r="C90" i="4"/>
  <c r="X89" i="4"/>
  <c r="V89" i="4"/>
  <c r="T89" i="4"/>
  <c r="R89" i="4"/>
  <c r="P89" i="4"/>
  <c r="N89" i="4"/>
  <c r="L89" i="4"/>
  <c r="J89" i="4"/>
  <c r="G89" i="4"/>
  <c r="F89" i="4"/>
  <c r="C89" i="4"/>
  <c r="X88" i="4"/>
  <c r="V88" i="4"/>
  <c r="T88" i="4"/>
  <c r="R88" i="4"/>
  <c r="P88" i="4"/>
  <c r="N88" i="4"/>
  <c r="L88" i="4"/>
  <c r="J88" i="4"/>
  <c r="G88" i="4"/>
  <c r="F88" i="4"/>
  <c r="X87" i="4"/>
  <c r="V87" i="4"/>
  <c r="T87" i="4"/>
  <c r="R87" i="4"/>
  <c r="P87" i="4"/>
  <c r="N87" i="4"/>
  <c r="L87" i="4"/>
  <c r="J87" i="4"/>
  <c r="G87" i="4"/>
  <c r="F87" i="4"/>
  <c r="X86" i="4"/>
  <c r="V86" i="4"/>
  <c r="T86" i="4"/>
  <c r="R86" i="4"/>
  <c r="P86" i="4"/>
  <c r="N86" i="4"/>
  <c r="L86" i="4"/>
  <c r="J86" i="4"/>
  <c r="G86" i="4"/>
  <c r="F86" i="4"/>
  <c r="X85" i="4"/>
  <c r="V85" i="4"/>
  <c r="T85" i="4"/>
  <c r="R85" i="4"/>
  <c r="P85" i="4"/>
  <c r="N85" i="4"/>
  <c r="L85" i="4"/>
  <c r="J85" i="4"/>
  <c r="G85" i="4"/>
  <c r="F85" i="4"/>
  <c r="X84" i="4"/>
  <c r="V84" i="4"/>
  <c r="T84" i="4"/>
  <c r="R84" i="4"/>
  <c r="P84" i="4"/>
  <c r="N84" i="4"/>
  <c r="L84" i="4"/>
  <c r="J84" i="4"/>
  <c r="G84" i="4"/>
  <c r="F84" i="4"/>
  <c r="X83" i="4"/>
  <c r="V83" i="4"/>
  <c r="T83" i="4"/>
  <c r="R83" i="4"/>
  <c r="P83" i="4"/>
  <c r="N83" i="4"/>
  <c r="L83" i="4"/>
  <c r="J83" i="4"/>
  <c r="G83" i="4"/>
  <c r="F83" i="4"/>
  <c r="X82" i="4"/>
  <c r="V82" i="4"/>
  <c r="T82" i="4"/>
  <c r="R82" i="4"/>
  <c r="P82" i="4"/>
  <c r="N82" i="4"/>
  <c r="L82" i="4"/>
  <c r="J82" i="4"/>
  <c r="G82" i="4"/>
  <c r="F82" i="4"/>
  <c r="X81" i="4"/>
  <c r="V81" i="4"/>
  <c r="T81" i="4"/>
  <c r="R81" i="4"/>
  <c r="P81" i="4"/>
  <c r="N81" i="4"/>
  <c r="L81" i="4"/>
  <c r="J81" i="4"/>
  <c r="G81" i="4"/>
  <c r="F81" i="4"/>
  <c r="X80" i="4"/>
  <c r="V80" i="4"/>
  <c r="T80" i="4"/>
  <c r="R80" i="4"/>
  <c r="P80" i="4"/>
  <c r="N80" i="4"/>
  <c r="L80" i="4"/>
  <c r="J80" i="4"/>
  <c r="G80" i="4"/>
  <c r="F80" i="4"/>
  <c r="X79" i="4"/>
  <c r="V79" i="4"/>
  <c r="T79" i="4"/>
  <c r="R79" i="4"/>
  <c r="P79" i="4"/>
  <c r="N79" i="4"/>
  <c r="L79" i="4"/>
  <c r="J79" i="4"/>
  <c r="G79" i="4"/>
  <c r="F79" i="4"/>
  <c r="X78" i="4"/>
  <c r="V78" i="4"/>
  <c r="T78" i="4"/>
  <c r="R78" i="4"/>
  <c r="P78" i="4"/>
  <c r="N78" i="4"/>
  <c r="L78" i="4"/>
  <c r="J78" i="4"/>
  <c r="G78" i="4"/>
  <c r="F78" i="4"/>
  <c r="X77" i="4"/>
  <c r="V77" i="4"/>
  <c r="T77" i="4"/>
  <c r="R77" i="4"/>
  <c r="P77" i="4"/>
  <c r="N77" i="4"/>
  <c r="L77" i="4"/>
  <c r="J77" i="4"/>
  <c r="G77" i="4"/>
  <c r="F77" i="4"/>
  <c r="X76" i="4"/>
  <c r="V76" i="4"/>
  <c r="T76" i="4"/>
  <c r="R76" i="4"/>
  <c r="P76" i="4"/>
  <c r="N76" i="4"/>
  <c r="L76" i="4"/>
  <c r="J76" i="4"/>
  <c r="G76" i="4"/>
  <c r="F76" i="4"/>
  <c r="X75" i="4"/>
  <c r="V75" i="4"/>
  <c r="T75" i="4"/>
  <c r="R75" i="4"/>
  <c r="P75" i="4"/>
  <c r="N75" i="4"/>
  <c r="L75" i="4"/>
  <c r="J75" i="4"/>
  <c r="G75" i="4"/>
  <c r="F75" i="4"/>
  <c r="X74" i="4"/>
  <c r="V74" i="4"/>
  <c r="T74" i="4"/>
  <c r="R74" i="4"/>
  <c r="P74" i="4"/>
  <c r="N74" i="4"/>
  <c r="L74" i="4"/>
  <c r="J74" i="4"/>
  <c r="G74" i="4"/>
  <c r="F74" i="4"/>
  <c r="X73" i="4"/>
  <c r="V73" i="4"/>
  <c r="T73" i="4"/>
  <c r="R73" i="4"/>
  <c r="P73" i="4"/>
  <c r="N73" i="4"/>
  <c r="L73" i="4"/>
  <c r="J73" i="4"/>
  <c r="G73" i="4"/>
  <c r="F73" i="4"/>
  <c r="X72" i="4"/>
  <c r="V72" i="4"/>
  <c r="T72" i="4"/>
  <c r="R72" i="4"/>
  <c r="P72" i="4"/>
  <c r="N72" i="4"/>
  <c r="L72" i="4"/>
  <c r="J72" i="4"/>
  <c r="G72" i="4"/>
  <c r="F72" i="4"/>
  <c r="X71" i="4"/>
  <c r="V71" i="4"/>
  <c r="T71" i="4"/>
  <c r="R71" i="4"/>
  <c r="P71" i="4"/>
  <c r="N71" i="4"/>
  <c r="L71" i="4"/>
  <c r="J71" i="4"/>
  <c r="G71" i="4"/>
  <c r="F71" i="4"/>
  <c r="X70" i="4"/>
  <c r="V70" i="4"/>
  <c r="T70" i="4"/>
  <c r="R70" i="4"/>
  <c r="P70" i="4"/>
  <c r="N70" i="4"/>
  <c r="L70" i="4"/>
  <c r="J70" i="4"/>
  <c r="G70" i="4"/>
  <c r="F70" i="4"/>
  <c r="X69" i="4"/>
  <c r="V69" i="4"/>
  <c r="T69" i="4"/>
  <c r="R69" i="4"/>
  <c r="P69" i="4"/>
  <c r="N69" i="4"/>
  <c r="L69" i="4"/>
  <c r="J69" i="4"/>
  <c r="G69" i="4"/>
  <c r="F69" i="4"/>
  <c r="X68" i="4"/>
  <c r="V68" i="4"/>
  <c r="T68" i="4"/>
  <c r="R68" i="4"/>
  <c r="P68" i="4"/>
  <c r="N68" i="4"/>
  <c r="L68" i="4"/>
  <c r="J68" i="4"/>
  <c r="G68" i="4"/>
  <c r="F68" i="4"/>
  <c r="X67" i="4"/>
  <c r="V67" i="4"/>
  <c r="T67" i="4"/>
  <c r="R67" i="4"/>
  <c r="P67" i="4"/>
  <c r="N67" i="4"/>
  <c r="L67" i="4"/>
  <c r="J67" i="4"/>
  <c r="G67" i="4"/>
  <c r="F67" i="4"/>
  <c r="X66" i="4"/>
  <c r="V66" i="4"/>
  <c r="T66" i="4"/>
  <c r="R66" i="4"/>
  <c r="P66" i="4"/>
  <c r="N66" i="4"/>
  <c r="L66" i="4"/>
  <c r="J66" i="4"/>
  <c r="G66" i="4"/>
  <c r="F66" i="4"/>
  <c r="X65" i="4"/>
  <c r="V65" i="4"/>
  <c r="T65" i="4"/>
  <c r="R65" i="4"/>
  <c r="P65" i="4"/>
  <c r="N65" i="4"/>
  <c r="L65" i="4"/>
  <c r="J65" i="4"/>
  <c r="G65" i="4"/>
  <c r="F65" i="4"/>
  <c r="X64" i="4"/>
  <c r="V64" i="4"/>
  <c r="T64" i="4"/>
  <c r="R64" i="4"/>
  <c r="P64" i="4"/>
  <c r="N64" i="4"/>
  <c r="L64" i="4"/>
  <c r="J64" i="4"/>
  <c r="G64" i="4"/>
  <c r="F64" i="4"/>
  <c r="X63" i="4"/>
  <c r="V63" i="4"/>
  <c r="T63" i="4"/>
  <c r="R63" i="4"/>
  <c r="P63" i="4"/>
  <c r="N63" i="4"/>
  <c r="L63" i="4"/>
  <c r="J63" i="4"/>
  <c r="G63" i="4"/>
  <c r="F63" i="4"/>
  <c r="X62" i="4"/>
  <c r="V62" i="4"/>
  <c r="T62" i="4"/>
  <c r="R62" i="4"/>
  <c r="P62" i="4"/>
  <c r="N62" i="4"/>
  <c r="L62" i="4"/>
  <c r="J62" i="4"/>
  <c r="G62" i="4"/>
  <c r="F62" i="4"/>
  <c r="X61" i="4"/>
  <c r="V61" i="4"/>
  <c r="T61" i="4"/>
  <c r="R61" i="4"/>
  <c r="P61" i="4"/>
  <c r="N61" i="4"/>
  <c r="L61" i="4"/>
  <c r="J61" i="4"/>
  <c r="G61" i="4"/>
  <c r="F61" i="4"/>
  <c r="X60" i="4"/>
  <c r="V60" i="4"/>
  <c r="T60" i="4"/>
  <c r="R60" i="4"/>
  <c r="P60" i="4"/>
  <c r="N60" i="4"/>
  <c r="L60" i="4"/>
  <c r="J60" i="4"/>
  <c r="G60" i="4"/>
  <c r="F60" i="4"/>
  <c r="X59" i="4"/>
  <c r="V59" i="4"/>
  <c r="T59" i="4"/>
  <c r="R59" i="4"/>
  <c r="P59" i="4"/>
  <c r="N59" i="4"/>
  <c r="L59" i="4"/>
  <c r="J59" i="4"/>
  <c r="G59" i="4"/>
  <c r="F59" i="4"/>
  <c r="X58" i="4"/>
  <c r="V58" i="4"/>
  <c r="T58" i="4"/>
  <c r="R58" i="4"/>
  <c r="P58" i="4"/>
  <c r="N58" i="4"/>
  <c r="L58" i="4"/>
  <c r="J58" i="4"/>
  <c r="G58" i="4"/>
  <c r="F58" i="4"/>
  <c r="X57" i="4"/>
  <c r="V57" i="4"/>
  <c r="T57" i="4"/>
  <c r="R57" i="4"/>
  <c r="P57" i="4"/>
  <c r="N57" i="4"/>
  <c r="L57" i="4"/>
  <c r="J57" i="4"/>
  <c r="G57" i="4"/>
  <c r="F57" i="4"/>
  <c r="X56" i="4"/>
  <c r="V56" i="4"/>
  <c r="T56" i="4"/>
  <c r="R56" i="4"/>
  <c r="P56" i="4"/>
  <c r="N56" i="4"/>
  <c r="L56" i="4"/>
  <c r="J56" i="4"/>
  <c r="G56" i="4"/>
  <c r="F56" i="4"/>
  <c r="X55" i="4"/>
  <c r="V55" i="4"/>
  <c r="T55" i="4"/>
  <c r="R55" i="4"/>
  <c r="P55" i="4"/>
  <c r="N55" i="4"/>
  <c r="L55" i="4"/>
  <c r="J55" i="4"/>
  <c r="G55" i="4"/>
  <c r="F55" i="4"/>
  <c r="X54" i="4"/>
  <c r="V54" i="4"/>
  <c r="T54" i="4"/>
  <c r="R54" i="4"/>
  <c r="P54" i="4"/>
  <c r="N54" i="4"/>
  <c r="L54" i="4"/>
  <c r="J54" i="4"/>
  <c r="G54" i="4"/>
  <c r="F54" i="4"/>
  <c r="X53" i="4"/>
  <c r="V53" i="4"/>
  <c r="T53" i="4"/>
  <c r="R53" i="4"/>
  <c r="P53" i="4"/>
  <c r="N53" i="4"/>
  <c r="L53" i="4"/>
  <c r="J53" i="4"/>
  <c r="G53" i="4"/>
  <c r="F53" i="4"/>
  <c r="X52" i="4"/>
  <c r="V52" i="4"/>
  <c r="T52" i="4"/>
  <c r="R52" i="4"/>
  <c r="P52" i="4"/>
  <c r="N52" i="4"/>
  <c r="L52" i="4"/>
  <c r="J52" i="4"/>
  <c r="G52" i="4"/>
  <c r="F52" i="4"/>
  <c r="X51" i="4"/>
  <c r="V51" i="4"/>
  <c r="T51" i="4"/>
  <c r="R51" i="4"/>
  <c r="P51" i="4"/>
  <c r="N51" i="4"/>
  <c r="L51" i="4"/>
  <c r="J51" i="4"/>
  <c r="G51" i="4"/>
  <c r="F51" i="4"/>
  <c r="X50" i="4"/>
  <c r="V50" i="4"/>
  <c r="T50" i="4"/>
  <c r="R50" i="4"/>
  <c r="P50" i="4"/>
  <c r="N50" i="4"/>
  <c r="L50" i="4"/>
  <c r="J50" i="4"/>
  <c r="G50" i="4"/>
  <c r="F50" i="4"/>
  <c r="X49" i="4"/>
  <c r="V49" i="4"/>
  <c r="T49" i="4"/>
  <c r="R49" i="4"/>
  <c r="P49" i="4"/>
  <c r="N49" i="4"/>
  <c r="L49" i="4"/>
  <c r="J49" i="4"/>
  <c r="G49" i="4"/>
  <c r="F49" i="4"/>
  <c r="X48" i="4"/>
  <c r="V48" i="4"/>
  <c r="T48" i="4"/>
  <c r="R48" i="4"/>
  <c r="P48" i="4"/>
  <c r="N48" i="4"/>
  <c r="L48" i="4"/>
  <c r="J48" i="4"/>
  <c r="G48" i="4"/>
  <c r="F48" i="4"/>
  <c r="X47" i="4"/>
  <c r="V47" i="4"/>
  <c r="T47" i="4"/>
  <c r="R47" i="4"/>
  <c r="P47" i="4"/>
  <c r="N47" i="4"/>
  <c r="L47" i="4"/>
  <c r="J47" i="4"/>
  <c r="G47" i="4"/>
  <c r="F47" i="4"/>
  <c r="X46" i="4"/>
  <c r="V46" i="4"/>
  <c r="T46" i="4"/>
  <c r="R46" i="4"/>
  <c r="P46" i="4"/>
  <c r="N46" i="4"/>
  <c r="L46" i="4"/>
  <c r="J46" i="4"/>
  <c r="G46" i="4"/>
  <c r="F46" i="4"/>
  <c r="X45" i="4"/>
  <c r="V45" i="4"/>
  <c r="T45" i="4"/>
  <c r="R45" i="4"/>
  <c r="P45" i="4"/>
  <c r="N45" i="4"/>
  <c r="L45" i="4"/>
  <c r="J45" i="4"/>
  <c r="G45" i="4"/>
  <c r="F45" i="4"/>
  <c r="X44" i="4"/>
  <c r="V44" i="4"/>
  <c r="T44" i="4"/>
  <c r="R44" i="4"/>
  <c r="P44" i="4"/>
  <c r="N44" i="4"/>
  <c r="L44" i="4"/>
  <c r="J44" i="4"/>
  <c r="G44" i="4"/>
  <c r="F44" i="4"/>
  <c r="X43" i="4"/>
  <c r="V43" i="4"/>
  <c r="T43" i="4"/>
  <c r="R43" i="4"/>
  <c r="P43" i="4"/>
  <c r="N43" i="4"/>
  <c r="L43" i="4"/>
  <c r="J43" i="4"/>
  <c r="G43" i="4"/>
  <c r="F43" i="4"/>
  <c r="X42" i="4"/>
  <c r="V42" i="4"/>
  <c r="T42" i="4"/>
  <c r="R42" i="4"/>
  <c r="P42" i="4"/>
  <c r="N42" i="4"/>
  <c r="L42" i="4"/>
  <c r="J42" i="4"/>
  <c r="G42" i="4"/>
  <c r="F42" i="4"/>
  <c r="X41" i="4"/>
  <c r="V41" i="4"/>
  <c r="T41" i="4"/>
  <c r="R41" i="4"/>
  <c r="P41" i="4"/>
  <c r="N41" i="4"/>
  <c r="L41" i="4"/>
  <c r="J41" i="4"/>
  <c r="G41" i="4"/>
  <c r="F41" i="4"/>
  <c r="X40" i="4"/>
  <c r="V40" i="4"/>
  <c r="T40" i="4"/>
  <c r="R40" i="4"/>
  <c r="P40" i="4"/>
  <c r="N40" i="4"/>
  <c r="L40" i="4"/>
  <c r="J40" i="4"/>
  <c r="G40" i="4"/>
  <c r="F40" i="4"/>
  <c r="X39" i="4"/>
  <c r="V39" i="4"/>
  <c r="T39" i="4"/>
  <c r="R39" i="4"/>
  <c r="P39" i="4"/>
  <c r="N39" i="4"/>
  <c r="L39" i="4"/>
  <c r="J39" i="4"/>
  <c r="G39" i="4"/>
  <c r="F39" i="4"/>
  <c r="X38" i="4"/>
  <c r="V38" i="4"/>
  <c r="T38" i="4"/>
  <c r="R38" i="4"/>
  <c r="P38" i="4"/>
  <c r="N38" i="4"/>
  <c r="L38" i="4"/>
  <c r="J38" i="4"/>
  <c r="G38" i="4"/>
  <c r="F38" i="4"/>
  <c r="X37" i="4"/>
  <c r="V37" i="4"/>
  <c r="T37" i="4"/>
  <c r="R37" i="4"/>
  <c r="P37" i="4"/>
  <c r="N37" i="4"/>
  <c r="L37" i="4"/>
  <c r="J37" i="4"/>
  <c r="G37" i="4"/>
  <c r="F37" i="4"/>
  <c r="X36" i="4"/>
  <c r="V36" i="4"/>
  <c r="T36" i="4"/>
  <c r="R36" i="4"/>
  <c r="P36" i="4"/>
  <c r="N36" i="4"/>
  <c r="L36" i="4"/>
  <c r="J36" i="4"/>
  <c r="G36" i="4"/>
  <c r="F36" i="4"/>
  <c r="X35" i="4"/>
  <c r="V35" i="4"/>
  <c r="T35" i="4"/>
  <c r="R35" i="4"/>
  <c r="P35" i="4"/>
  <c r="N35" i="4"/>
  <c r="L35" i="4"/>
  <c r="J35" i="4"/>
  <c r="G35" i="4"/>
  <c r="F35" i="4"/>
  <c r="X34" i="4"/>
  <c r="V34" i="4"/>
  <c r="T34" i="4"/>
  <c r="R34" i="4"/>
  <c r="P34" i="4"/>
  <c r="N34" i="4"/>
  <c r="L34" i="4"/>
  <c r="J34" i="4"/>
  <c r="G34" i="4"/>
  <c r="F34" i="4"/>
  <c r="X33" i="4"/>
  <c r="V33" i="4"/>
  <c r="T33" i="4"/>
  <c r="R33" i="4"/>
  <c r="P33" i="4"/>
  <c r="N33" i="4"/>
  <c r="L33" i="4"/>
  <c r="J33" i="4"/>
  <c r="G33" i="4"/>
  <c r="F33" i="4"/>
  <c r="X32" i="4"/>
  <c r="V32" i="4"/>
  <c r="T32" i="4"/>
  <c r="R32" i="4"/>
  <c r="P32" i="4"/>
  <c r="N32" i="4"/>
  <c r="L32" i="4"/>
  <c r="J32" i="4"/>
  <c r="G32" i="4"/>
  <c r="F32" i="4"/>
  <c r="X31" i="4"/>
  <c r="V31" i="4"/>
  <c r="T31" i="4"/>
  <c r="R31" i="4"/>
  <c r="P31" i="4"/>
  <c r="N31" i="4"/>
  <c r="L31" i="4"/>
  <c r="J31" i="4"/>
  <c r="G31" i="4"/>
  <c r="F31" i="4"/>
  <c r="X30" i="4"/>
  <c r="V30" i="4"/>
  <c r="T30" i="4"/>
  <c r="R30" i="4"/>
  <c r="P30" i="4"/>
  <c r="N30" i="4"/>
  <c r="L30" i="4"/>
  <c r="J30" i="4"/>
  <c r="G30" i="4"/>
  <c r="F30" i="4"/>
  <c r="X29" i="4"/>
  <c r="V29" i="4"/>
  <c r="T29" i="4"/>
  <c r="R29" i="4"/>
  <c r="P29" i="4"/>
  <c r="N29" i="4"/>
  <c r="L29" i="4"/>
  <c r="J29" i="4"/>
  <c r="G29" i="4"/>
  <c r="F29" i="4"/>
  <c r="X28" i="4"/>
  <c r="V28" i="4"/>
  <c r="T28" i="4"/>
  <c r="R28" i="4"/>
  <c r="P28" i="4"/>
  <c r="N28" i="4"/>
  <c r="L28" i="4"/>
  <c r="J28" i="4"/>
  <c r="G28" i="4"/>
  <c r="F28" i="4"/>
  <c r="X27" i="4"/>
  <c r="V27" i="4"/>
  <c r="T27" i="4"/>
  <c r="R27" i="4"/>
  <c r="P27" i="4"/>
  <c r="N27" i="4"/>
  <c r="L27" i="4"/>
  <c r="J27" i="4"/>
  <c r="G27" i="4"/>
  <c r="F27" i="4"/>
  <c r="X26" i="4"/>
  <c r="V26" i="4"/>
  <c r="T26" i="4"/>
  <c r="R26" i="4"/>
  <c r="P26" i="4"/>
  <c r="N26" i="4"/>
  <c r="L26" i="4"/>
  <c r="J26" i="4"/>
  <c r="G26" i="4"/>
  <c r="F26" i="4"/>
  <c r="X25" i="4"/>
  <c r="V25" i="4"/>
  <c r="T25" i="4"/>
  <c r="R25" i="4"/>
  <c r="P25" i="4"/>
  <c r="N25" i="4"/>
  <c r="L25" i="4"/>
  <c r="J25" i="4"/>
  <c r="G25" i="4"/>
  <c r="F25" i="4"/>
  <c r="X24" i="4"/>
  <c r="V24" i="4"/>
  <c r="T24" i="4"/>
  <c r="R24" i="4"/>
  <c r="P24" i="4"/>
  <c r="N24" i="4"/>
  <c r="L24" i="4"/>
  <c r="J24" i="4"/>
  <c r="G24" i="4"/>
  <c r="F24" i="4"/>
  <c r="X23" i="4"/>
  <c r="V23" i="4"/>
  <c r="T23" i="4"/>
  <c r="R23" i="4"/>
  <c r="P23" i="4"/>
  <c r="N23" i="4"/>
  <c r="L23" i="4"/>
  <c r="J23" i="4"/>
  <c r="G23" i="4"/>
  <c r="F23" i="4"/>
  <c r="X22" i="4"/>
  <c r="V22" i="4"/>
  <c r="T22" i="4"/>
  <c r="R22" i="4"/>
  <c r="P22" i="4"/>
  <c r="N22" i="4"/>
  <c r="L22" i="4"/>
  <c r="J22" i="4"/>
  <c r="G22" i="4"/>
  <c r="F22" i="4"/>
  <c r="X21" i="4"/>
  <c r="V21" i="4"/>
  <c r="T21" i="4"/>
  <c r="R21" i="4"/>
  <c r="P21" i="4"/>
  <c r="N21" i="4"/>
  <c r="L21" i="4"/>
  <c r="J21" i="4"/>
  <c r="G21" i="4"/>
  <c r="F21" i="4"/>
  <c r="X20" i="4"/>
  <c r="V20" i="4"/>
  <c r="T20" i="4"/>
  <c r="R20" i="4"/>
  <c r="P20" i="4"/>
  <c r="N20" i="4"/>
  <c r="L20" i="4"/>
  <c r="J20" i="4"/>
  <c r="G20" i="4"/>
  <c r="F20" i="4"/>
  <c r="X19" i="4"/>
  <c r="V19" i="4"/>
  <c r="T19" i="4"/>
  <c r="R19" i="4"/>
  <c r="P19" i="4"/>
  <c r="N19" i="4"/>
  <c r="L19" i="4"/>
  <c r="J19" i="4"/>
  <c r="G19" i="4"/>
  <c r="F19" i="4"/>
  <c r="X18" i="4"/>
  <c r="V18" i="4"/>
  <c r="T18" i="4"/>
  <c r="R18" i="4"/>
  <c r="P18" i="4"/>
  <c r="N18" i="4"/>
  <c r="L18" i="4"/>
  <c r="J18" i="4"/>
  <c r="G18" i="4"/>
  <c r="F18" i="4"/>
  <c r="X17" i="4"/>
  <c r="V17" i="4"/>
  <c r="T17" i="4"/>
  <c r="R17" i="4"/>
  <c r="P17" i="4"/>
  <c r="N17" i="4"/>
  <c r="L17" i="4"/>
  <c r="J17" i="4"/>
  <c r="G17" i="4"/>
  <c r="F17" i="4"/>
  <c r="X16" i="4"/>
  <c r="V16" i="4"/>
  <c r="T16" i="4"/>
  <c r="R16" i="4"/>
  <c r="P16" i="4"/>
  <c r="N16" i="4"/>
  <c r="L16" i="4"/>
  <c r="J16" i="4"/>
  <c r="G16" i="4"/>
  <c r="F16" i="4"/>
  <c r="X15" i="4"/>
  <c r="V15" i="4"/>
  <c r="T15" i="4"/>
  <c r="R15" i="4"/>
  <c r="P15" i="4"/>
  <c r="N15" i="4"/>
  <c r="L15" i="4"/>
  <c r="J15" i="4"/>
  <c r="G15" i="4"/>
  <c r="F15" i="4"/>
  <c r="X14" i="4"/>
  <c r="V14" i="4"/>
  <c r="T14" i="4"/>
  <c r="R14" i="4"/>
  <c r="P14" i="4"/>
  <c r="N14" i="4"/>
  <c r="L14" i="4"/>
  <c r="J14" i="4"/>
  <c r="G14" i="4"/>
  <c r="F14" i="4"/>
  <c r="X13" i="4"/>
  <c r="V13" i="4"/>
  <c r="T13" i="4"/>
  <c r="R13" i="4"/>
  <c r="P13" i="4"/>
  <c r="N13" i="4"/>
  <c r="L13" i="4"/>
  <c r="J13" i="4"/>
  <c r="G13" i="4"/>
  <c r="F13" i="4"/>
  <c r="X12" i="4"/>
  <c r="V12" i="4"/>
  <c r="T12" i="4"/>
  <c r="R12" i="4"/>
  <c r="P12" i="4"/>
  <c r="N12" i="4"/>
  <c r="L12" i="4"/>
  <c r="J12" i="4"/>
  <c r="G12" i="4"/>
  <c r="F12" i="4"/>
  <c r="X11" i="4"/>
  <c r="V11" i="4"/>
  <c r="T11" i="4"/>
  <c r="R11" i="4"/>
  <c r="P11" i="4"/>
  <c r="N11" i="4"/>
  <c r="L11" i="4"/>
  <c r="J11" i="4"/>
  <c r="G11" i="4"/>
  <c r="F11" i="4"/>
  <c r="B8" i="4"/>
  <c r="X52" i="3"/>
  <c r="V52" i="3"/>
  <c r="T52" i="3"/>
  <c r="R52" i="3"/>
  <c r="P52" i="3"/>
  <c r="N52" i="3"/>
  <c r="L52" i="3"/>
  <c r="J52" i="3"/>
  <c r="G52" i="3"/>
  <c r="F52" i="3"/>
  <c r="X51" i="3"/>
  <c r="V51" i="3"/>
  <c r="T51" i="3"/>
  <c r="R51" i="3"/>
  <c r="P51" i="3"/>
  <c r="N51" i="3"/>
  <c r="L51" i="3"/>
  <c r="J51" i="3"/>
  <c r="G51" i="3"/>
  <c r="F51" i="3"/>
  <c r="X50" i="3"/>
  <c r="V50" i="3"/>
  <c r="T50" i="3"/>
  <c r="R50" i="3"/>
  <c r="P50" i="3"/>
  <c r="N50" i="3"/>
  <c r="L50" i="3"/>
  <c r="J50" i="3"/>
  <c r="G50" i="3"/>
  <c r="F50" i="3"/>
  <c r="X49" i="3"/>
  <c r="V49" i="3"/>
  <c r="T49" i="3"/>
  <c r="R49" i="3"/>
  <c r="P49" i="3"/>
  <c r="N49" i="3"/>
  <c r="L49" i="3"/>
  <c r="J49" i="3"/>
  <c r="G49" i="3"/>
  <c r="F49" i="3"/>
  <c r="X48" i="3"/>
  <c r="V48" i="3"/>
  <c r="T48" i="3"/>
  <c r="R48" i="3"/>
  <c r="P48" i="3"/>
  <c r="N48" i="3"/>
  <c r="L48" i="3"/>
  <c r="J48" i="3"/>
  <c r="G48" i="3"/>
  <c r="F48" i="3"/>
  <c r="X47" i="3"/>
  <c r="V47" i="3"/>
  <c r="T47" i="3"/>
  <c r="R47" i="3"/>
  <c r="P47" i="3"/>
  <c r="N47" i="3"/>
  <c r="L47" i="3"/>
  <c r="J47" i="3"/>
  <c r="G47" i="3"/>
  <c r="F47" i="3"/>
  <c r="X46" i="3"/>
  <c r="V46" i="3"/>
  <c r="T46" i="3"/>
  <c r="R46" i="3"/>
  <c r="P46" i="3"/>
  <c r="N46" i="3"/>
  <c r="L46" i="3"/>
  <c r="J46" i="3"/>
  <c r="G46" i="3"/>
  <c r="F46" i="3"/>
  <c r="X45" i="3"/>
  <c r="V45" i="3"/>
  <c r="T45" i="3"/>
  <c r="R45" i="3"/>
  <c r="P45" i="3"/>
  <c r="N45" i="3"/>
  <c r="L45" i="3"/>
  <c r="J45" i="3"/>
  <c r="G45" i="3"/>
  <c r="F45" i="3"/>
  <c r="X44" i="3"/>
  <c r="V44" i="3"/>
  <c r="T44" i="3"/>
  <c r="R44" i="3"/>
  <c r="P44" i="3"/>
  <c r="N44" i="3"/>
  <c r="L44" i="3"/>
  <c r="J44" i="3"/>
  <c r="G44" i="3"/>
  <c r="F44" i="3"/>
  <c r="X43" i="3"/>
  <c r="V43" i="3"/>
  <c r="T43" i="3"/>
  <c r="R43" i="3"/>
  <c r="P43" i="3"/>
  <c r="N43" i="3"/>
  <c r="L43" i="3"/>
  <c r="J43" i="3"/>
  <c r="G43" i="3"/>
  <c r="F43" i="3"/>
  <c r="X42" i="3"/>
  <c r="V42" i="3"/>
  <c r="T42" i="3"/>
  <c r="R42" i="3"/>
  <c r="P42" i="3"/>
  <c r="N42" i="3"/>
  <c r="L42" i="3"/>
  <c r="J42" i="3"/>
  <c r="G42" i="3"/>
  <c r="F42" i="3"/>
  <c r="X41" i="3"/>
  <c r="V41" i="3"/>
  <c r="T41" i="3"/>
  <c r="R41" i="3"/>
  <c r="P41" i="3"/>
  <c r="N41" i="3"/>
  <c r="L41" i="3"/>
  <c r="J41" i="3"/>
  <c r="G41" i="3"/>
  <c r="F41" i="3"/>
  <c r="X40" i="3"/>
  <c r="V40" i="3"/>
  <c r="T40" i="3"/>
  <c r="R40" i="3"/>
  <c r="P40" i="3"/>
  <c r="N40" i="3"/>
  <c r="L40" i="3"/>
  <c r="J40" i="3"/>
  <c r="G40" i="3"/>
  <c r="F40" i="3"/>
  <c r="X39" i="3"/>
  <c r="V39" i="3"/>
  <c r="T39" i="3"/>
  <c r="R39" i="3"/>
  <c r="P39" i="3"/>
  <c r="N39" i="3"/>
  <c r="L39" i="3"/>
  <c r="J39" i="3"/>
  <c r="G39" i="3"/>
  <c r="F39" i="3"/>
  <c r="X38" i="3"/>
  <c r="V38" i="3"/>
  <c r="T38" i="3"/>
  <c r="R38" i="3"/>
  <c r="P38" i="3"/>
  <c r="N38" i="3"/>
  <c r="L38" i="3"/>
  <c r="J38" i="3"/>
  <c r="G38" i="3"/>
  <c r="F38" i="3"/>
  <c r="X37" i="3"/>
  <c r="V37" i="3"/>
  <c r="T37" i="3"/>
  <c r="R37" i="3"/>
  <c r="P37" i="3"/>
  <c r="N37" i="3"/>
  <c r="L37" i="3"/>
  <c r="J37" i="3"/>
  <c r="G37" i="3"/>
  <c r="F37" i="3"/>
  <c r="X36" i="3"/>
  <c r="V36" i="3"/>
  <c r="T36" i="3"/>
  <c r="R36" i="3"/>
  <c r="P36" i="3"/>
  <c r="N36" i="3"/>
  <c r="L36" i="3"/>
  <c r="J36" i="3"/>
  <c r="G36" i="3"/>
  <c r="F36" i="3"/>
  <c r="X35" i="3"/>
  <c r="V35" i="3"/>
  <c r="T35" i="3"/>
  <c r="R35" i="3"/>
  <c r="P35" i="3"/>
  <c r="N35" i="3"/>
  <c r="L35" i="3"/>
  <c r="J35" i="3"/>
  <c r="G35" i="3"/>
  <c r="F35" i="3"/>
  <c r="X34" i="3"/>
  <c r="V34" i="3"/>
  <c r="T34" i="3"/>
  <c r="R34" i="3"/>
  <c r="P34" i="3"/>
  <c r="N34" i="3"/>
  <c r="L34" i="3"/>
  <c r="J34" i="3"/>
  <c r="G34" i="3"/>
  <c r="F34" i="3"/>
  <c r="X33" i="3"/>
  <c r="V33" i="3"/>
  <c r="T33" i="3"/>
  <c r="R33" i="3"/>
  <c r="P33" i="3"/>
  <c r="N33" i="3"/>
  <c r="L33" i="3"/>
  <c r="J33" i="3"/>
  <c r="G33" i="3"/>
  <c r="F33" i="3"/>
  <c r="X32" i="3"/>
  <c r="V32" i="3"/>
  <c r="T32" i="3"/>
  <c r="R32" i="3"/>
  <c r="P32" i="3"/>
  <c r="N32" i="3"/>
  <c r="L32" i="3"/>
  <c r="J32" i="3"/>
  <c r="G32" i="3"/>
  <c r="F32" i="3"/>
  <c r="X31" i="3"/>
  <c r="V31" i="3"/>
  <c r="T31" i="3"/>
  <c r="R31" i="3"/>
  <c r="P31" i="3"/>
  <c r="N31" i="3"/>
  <c r="L31" i="3"/>
  <c r="J31" i="3"/>
  <c r="G31" i="3"/>
  <c r="F31" i="3"/>
  <c r="X30" i="3"/>
  <c r="V30" i="3"/>
  <c r="T30" i="3"/>
  <c r="R30" i="3"/>
  <c r="P30" i="3"/>
  <c r="N30" i="3"/>
  <c r="L30" i="3"/>
  <c r="J30" i="3"/>
  <c r="G30" i="3"/>
  <c r="F30" i="3"/>
  <c r="X29" i="3"/>
  <c r="V29" i="3"/>
  <c r="T29" i="3"/>
  <c r="R29" i="3"/>
  <c r="P29" i="3"/>
  <c r="N29" i="3"/>
  <c r="L29" i="3"/>
  <c r="J29" i="3"/>
  <c r="G29" i="3"/>
  <c r="F29" i="3"/>
  <c r="X28" i="3"/>
  <c r="V28" i="3"/>
  <c r="T28" i="3"/>
  <c r="R28" i="3"/>
  <c r="P28" i="3"/>
  <c r="N28" i="3"/>
  <c r="L28" i="3"/>
  <c r="J28" i="3"/>
  <c r="G28" i="3"/>
  <c r="F28" i="3"/>
  <c r="X27" i="3"/>
  <c r="V27" i="3"/>
  <c r="T27" i="3"/>
  <c r="R27" i="3"/>
  <c r="P27" i="3"/>
  <c r="N27" i="3"/>
  <c r="L27" i="3"/>
  <c r="J27" i="3"/>
  <c r="G27" i="3"/>
  <c r="F27" i="3"/>
  <c r="X26" i="3"/>
  <c r="V26" i="3"/>
  <c r="T26" i="3"/>
  <c r="R26" i="3"/>
  <c r="P26" i="3"/>
  <c r="N26" i="3"/>
  <c r="L26" i="3"/>
  <c r="J26" i="3"/>
  <c r="G26" i="3"/>
  <c r="F26" i="3"/>
  <c r="X25" i="3"/>
  <c r="V25" i="3"/>
  <c r="T25" i="3"/>
  <c r="R25" i="3"/>
  <c r="P25" i="3"/>
  <c r="N25" i="3"/>
  <c r="L25" i="3"/>
  <c r="J25" i="3"/>
  <c r="G25" i="3"/>
  <c r="F25" i="3"/>
  <c r="X24" i="3"/>
  <c r="V24" i="3"/>
  <c r="T24" i="3"/>
  <c r="R24" i="3"/>
  <c r="P24" i="3"/>
  <c r="N24" i="3"/>
  <c r="L24" i="3"/>
  <c r="J24" i="3"/>
  <c r="G24" i="3"/>
  <c r="F24" i="3"/>
  <c r="X23" i="3"/>
  <c r="V23" i="3"/>
  <c r="T23" i="3"/>
  <c r="R23" i="3"/>
  <c r="P23" i="3"/>
  <c r="N23" i="3"/>
  <c r="L23" i="3"/>
  <c r="J23" i="3"/>
  <c r="G23" i="3"/>
  <c r="F23" i="3"/>
  <c r="X22" i="3"/>
  <c r="V22" i="3"/>
  <c r="T22" i="3"/>
  <c r="R22" i="3"/>
  <c r="P22" i="3"/>
  <c r="N22" i="3"/>
  <c r="L22" i="3"/>
  <c r="J22" i="3"/>
  <c r="G22" i="3"/>
  <c r="F22" i="3"/>
  <c r="X21" i="3"/>
  <c r="V21" i="3"/>
  <c r="T21" i="3"/>
  <c r="R21" i="3"/>
  <c r="P21" i="3"/>
  <c r="N21" i="3"/>
  <c r="L21" i="3"/>
  <c r="J21" i="3"/>
  <c r="G21" i="3"/>
  <c r="F21" i="3"/>
  <c r="X20" i="3"/>
  <c r="V20" i="3"/>
  <c r="T20" i="3"/>
  <c r="R20" i="3"/>
  <c r="P20" i="3"/>
  <c r="N20" i="3"/>
  <c r="L20" i="3"/>
  <c r="J20" i="3"/>
  <c r="G20" i="3"/>
  <c r="F20" i="3"/>
  <c r="X19" i="3"/>
  <c r="V19" i="3"/>
  <c r="T19" i="3"/>
  <c r="R19" i="3"/>
  <c r="P19" i="3"/>
  <c r="N19" i="3"/>
  <c r="L19" i="3"/>
  <c r="J19" i="3"/>
  <c r="G19" i="3"/>
  <c r="F19" i="3"/>
  <c r="X18" i="3"/>
  <c r="V18" i="3"/>
  <c r="T18" i="3"/>
  <c r="R18" i="3"/>
  <c r="P18" i="3"/>
  <c r="N18" i="3"/>
  <c r="L18" i="3"/>
  <c r="J18" i="3"/>
  <c r="G18" i="3"/>
  <c r="F18" i="3"/>
  <c r="X17" i="3"/>
  <c r="V17" i="3"/>
  <c r="T17" i="3"/>
  <c r="R17" i="3"/>
  <c r="P17" i="3"/>
  <c r="N17" i="3"/>
  <c r="L17" i="3"/>
  <c r="J17" i="3"/>
  <c r="G17" i="3"/>
  <c r="F17" i="3"/>
  <c r="X16" i="3"/>
  <c r="V16" i="3"/>
  <c r="T16" i="3"/>
  <c r="R16" i="3"/>
  <c r="P16" i="3"/>
  <c r="N16" i="3"/>
  <c r="L16" i="3"/>
  <c r="J16" i="3"/>
  <c r="G16" i="3"/>
  <c r="F16" i="3"/>
  <c r="X15" i="3"/>
  <c r="V15" i="3"/>
  <c r="T15" i="3"/>
  <c r="R15" i="3"/>
  <c r="P15" i="3"/>
  <c r="N15" i="3"/>
  <c r="L15" i="3"/>
  <c r="J15" i="3"/>
  <c r="G15" i="3"/>
  <c r="F15" i="3"/>
  <c r="X14" i="3"/>
  <c r="V14" i="3"/>
  <c r="T14" i="3"/>
  <c r="R14" i="3"/>
  <c r="P14" i="3"/>
  <c r="N14" i="3"/>
  <c r="L14" i="3"/>
  <c r="J14" i="3"/>
  <c r="G14" i="3"/>
  <c r="F14" i="3"/>
  <c r="X13" i="3"/>
  <c r="V13" i="3"/>
  <c r="T13" i="3"/>
  <c r="R13" i="3"/>
  <c r="P13" i="3"/>
  <c r="N13" i="3"/>
  <c r="L13" i="3"/>
  <c r="J13" i="3"/>
  <c r="G13" i="3"/>
  <c r="F13" i="3"/>
  <c r="X12" i="3"/>
  <c r="V12" i="3"/>
  <c r="T12" i="3"/>
  <c r="R12" i="3"/>
  <c r="P12" i="3"/>
  <c r="N12" i="3"/>
  <c r="L12" i="3"/>
  <c r="J12" i="3"/>
  <c r="G12" i="3"/>
  <c r="F12" i="3"/>
  <c r="X11" i="3"/>
  <c r="V11" i="3"/>
  <c r="T11" i="3"/>
  <c r="R11" i="3"/>
  <c r="P11" i="3"/>
  <c r="N11" i="3"/>
  <c r="L11" i="3"/>
  <c r="J11" i="3"/>
  <c r="G11" i="3"/>
  <c r="F11" i="3"/>
  <c r="B8" i="3"/>
  <c r="X39" i="2"/>
  <c r="V39" i="2"/>
  <c r="T39" i="2"/>
  <c r="R39" i="2"/>
  <c r="P39" i="2"/>
  <c r="N39" i="2"/>
  <c r="L39" i="2"/>
  <c r="J39" i="2"/>
  <c r="G39" i="2"/>
  <c r="F39" i="2"/>
  <c r="X38" i="2"/>
  <c r="V38" i="2"/>
  <c r="T38" i="2"/>
  <c r="R38" i="2"/>
  <c r="P38" i="2"/>
  <c r="N38" i="2"/>
  <c r="L38" i="2"/>
  <c r="J38" i="2"/>
  <c r="G38" i="2"/>
  <c r="F38" i="2"/>
  <c r="X37" i="2"/>
  <c r="V37" i="2"/>
  <c r="T37" i="2"/>
  <c r="R37" i="2"/>
  <c r="P37" i="2"/>
  <c r="N37" i="2"/>
  <c r="L37" i="2"/>
  <c r="J37" i="2"/>
  <c r="G37" i="2"/>
  <c r="F37" i="2"/>
  <c r="X36" i="2"/>
  <c r="V36" i="2"/>
  <c r="T36" i="2"/>
  <c r="R36" i="2"/>
  <c r="P36" i="2"/>
  <c r="N36" i="2"/>
  <c r="L36" i="2"/>
  <c r="J36" i="2"/>
  <c r="G36" i="2"/>
  <c r="F36" i="2"/>
  <c r="X35" i="2"/>
  <c r="V35" i="2"/>
  <c r="T35" i="2"/>
  <c r="R35" i="2"/>
  <c r="P35" i="2"/>
  <c r="N35" i="2"/>
  <c r="L35" i="2"/>
  <c r="J35" i="2"/>
  <c r="G35" i="2"/>
  <c r="F35" i="2"/>
  <c r="X34" i="2"/>
  <c r="V34" i="2"/>
  <c r="T34" i="2"/>
  <c r="R34" i="2"/>
  <c r="P34" i="2"/>
  <c r="N34" i="2"/>
  <c r="L34" i="2"/>
  <c r="J34" i="2"/>
  <c r="G34" i="2"/>
  <c r="F34" i="2"/>
  <c r="X33" i="2"/>
  <c r="V33" i="2"/>
  <c r="T33" i="2"/>
  <c r="R33" i="2"/>
  <c r="P33" i="2"/>
  <c r="N33" i="2"/>
  <c r="L33" i="2"/>
  <c r="J33" i="2"/>
  <c r="G33" i="2"/>
  <c r="F33" i="2"/>
  <c r="X32" i="2"/>
  <c r="V32" i="2"/>
  <c r="T32" i="2"/>
  <c r="R32" i="2"/>
  <c r="P32" i="2"/>
  <c r="N32" i="2"/>
  <c r="L32" i="2"/>
  <c r="J32" i="2"/>
  <c r="G32" i="2"/>
  <c r="F32" i="2"/>
  <c r="X31" i="2"/>
  <c r="V31" i="2"/>
  <c r="T31" i="2"/>
  <c r="R31" i="2"/>
  <c r="P31" i="2"/>
  <c r="N31" i="2"/>
  <c r="L31" i="2"/>
  <c r="J31" i="2"/>
  <c r="G31" i="2"/>
  <c r="F31" i="2"/>
  <c r="X30" i="2"/>
  <c r="V30" i="2"/>
  <c r="T30" i="2"/>
  <c r="R30" i="2"/>
  <c r="P30" i="2"/>
  <c r="N30" i="2"/>
  <c r="L30" i="2"/>
  <c r="J30" i="2"/>
  <c r="G30" i="2"/>
  <c r="F30" i="2"/>
  <c r="X29" i="2"/>
  <c r="V29" i="2"/>
  <c r="T29" i="2"/>
  <c r="R29" i="2"/>
  <c r="P29" i="2"/>
  <c r="N29" i="2"/>
  <c r="L29" i="2"/>
  <c r="J29" i="2"/>
  <c r="G29" i="2"/>
  <c r="F29" i="2"/>
  <c r="X28" i="2"/>
  <c r="V28" i="2"/>
  <c r="T28" i="2"/>
  <c r="R28" i="2"/>
  <c r="P28" i="2"/>
  <c r="N28" i="2"/>
  <c r="L28" i="2"/>
  <c r="J28" i="2"/>
  <c r="G28" i="2"/>
  <c r="F28" i="2"/>
  <c r="X27" i="2"/>
  <c r="V27" i="2"/>
  <c r="T27" i="2"/>
  <c r="R27" i="2"/>
  <c r="P27" i="2"/>
  <c r="N27" i="2"/>
  <c r="L27" i="2"/>
  <c r="J27" i="2"/>
  <c r="G27" i="2"/>
  <c r="F27" i="2"/>
  <c r="X26" i="2"/>
  <c r="V26" i="2"/>
  <c r="T26" i="2"/>
  <c r="R26" i="2"/>
  <c r="P26" i="2"/>
  <c r="N26" i="2"/>
  <c r="L26" i="2"/>
  <c r="J26" i="2"/>
  <c r="G26" i="2"/>
  <c r="F26" i="2"/>
  <c r="X25" i="2"/>
  <c r="V25" i="2"/>
  <c r="T25" i="2"/>
  <c r="R25" i="2"/>
  <c r="P25" i="2"/>
  <c r="N25" i="2"/>
  <c r="L25" i="2"/>
  <c r="J25" i="2"/>
  <c r="G25" i="2"/>
  <c r="F25" i="2"/>
  <c r="X24" i="2"/>
  <c r="V24" i="2"/>
  <c r="T24" i="2"/>
  <c r="R24" i="2"/>
  <c r="P24" i="2"/>
  <c r="N24" i="2"/>
  <c r="L24" i="2"/>
  <c r="J24" i="2"/>
  <c r="G24" i="2"/>
  <c r="F24" i="2"/>
  <c r="X23" i="2"/>
  <c r="V23" i="2"/>
  <c r="T23" i="2"/>
  <c r="R23" i="2"/>
  <c r="P23" i="2"/>
  <c r="N23" i="2"/>
  <c r="L23" i="2"/>
  <c r="J23" i="2"/>
  <c r="G23" i="2"/>
  <c r="F23" i="2"/>
  <c r="X22" i="2"/>
  <c r="V22" i="2"/>
  <c r="T22" i="2"/>
  <c r="R22" i="2"/>
  <c r="P22" i="2"/>
  <c r="N22" i="2"/>
  <c r="L22" i="2"/>
  <c r="J22" i="2"/>
  <c r="G22" i="2"/>
  <c r="F22" i="2"/>
  <c r="X21" i="2"/>
  <c r="V21" i="2"/>
  <c r="T21" i="2"/>
  <c r="R21" i="2"/>
  <c r="P21" i="2"/>
  <c r="N21" i="2"/>
  <c r="L21" i="2"/>
  <c r="J21" i="2"/>
  <c r="G21" i="2"/>
  <c r="F21" i="2"/>
  <c r="X20" i="2"/>
  <c r="V20" i="2"/>
  <c r="T20" i="2"/>
  <c r="R20" i="2"/>
  <c r="P20" i="2"/>
  <c r="N20" i="2"/>
  <c r="L20" i="2"/>
  <c r="J20" i="2"/>
  <c r="G20" i="2"/>
  <c r="F20" i="2"/>
  <c r="X19" i="2"/>
  <c r="V19" i="2"/>
  <c r="T19" i="2"/>
  <c r="R19" i="2"/>
  <c r="P19" i="2"/>
  <c r="N19" i="2"/>
  <c r="L19" i="2"/>
  <c r="J19" i="2"/>
  <c r="G19" i="2"/>
  <c r="F19" i="2"/>
  <c r="X18" i="2"/>
  <c r="V18" i="2"/>
  <c r="T18" i="2"/>
  <c r="R18" i="2"/>
  <c r="P18" i="2"/>
  <c r="N18" i="2"/>
  <c r="L18" i="2"/>
  <c r="J18" i="2"/>
  <c r="G18" i="2"/>
  <c r="F18" i="2"/>
  <c r="X17" i="2"/>
  <c r="V17" i="2"/>
  <c r="T17" i="2"/>
  <c r="R17" i="2"/>
  <c r="P17" i="2"/>
  <c r="N17" i="2"/>
  <c r="L17" i="2"/>
  <c r="J17" i="2"/>
  <c r="G17" i="2"/>
  <c r="F17" i="2"/>
  <c r="X16" i="2"/>
  <c r="V16" i="2"/>
  <c r="T16" i="2"/>
  <c r="R16" i="2"/>
  <c r="P16" i="2"/>
  <c r="N16" i="2"/>
  <c r="L16" i="2"/>
  <c r="J16" i="2"/>
  <c r="G16" i="2"/>
  <c r="F16" i="2"/>
  <c r="X15" i="2"/>
  <c r="V15" i="2"/>
  <c r="T15" i="2"/>
  <c r="R15" i="2"/>
  <c r="P15" i="2"/>
  <c r="N15" i="2"/>
  <c r="L15" i="2"/>
  <c r="J15" i="2"/>
  <c r="G15" i="2"/>
  <c r="F15" i="2"/>
  <c r="X14" i="2"/>
  <c r="V14" i="2"/>
  <c r="T14" i="2"/>
  <c r="R14" i="2"/>
  <c r="P14" i="2"/>
  <c r="N14" i="2"/>
  <c r="L14" i="2"/>
  <c r="J14" i="2"/>
  <c r="G14" i="2"/>
  <c r="F14" i="2"/>
  <c r="X13" i="2"/>
  <c r="V13" i="2"/>
  <c r="T13" i="2"/>
  <c r="R13" i="2"/>
  <c r="P13" i="2"/>
  <c r="N13" i="2"/>
  <c r="L13" i="2"/>
  <c r="J13" i="2"/>
  <c r="G13" i="2"/>
  <c r="F13" i="2"/>
  <c r="X12" i="2"/>
  <c r="V12" i="2"/>
  <c r="T12" i="2"/>
  <c r="R12" i="2"/>
  <c r="P12" i="2"/>
  <c r="N12" i="2"/>
  <c r="L12" i="2"/>
  <c r="J12" i="2"/>
  <c r="G12" i="2"/>
  <c r="F12" i="2"/>
  <c r="X11" i="2"/>
  <c r="V11" i="2"/>
  <c r="T11" i="2"/>
  <c r="R11" i="2"/>
  <c r="P11" i="2"/>
  <c r="N11" i="2"/>
  <c r="L11" i="2"/>
  <c r="J11" i="2"/>
  <c r="G11" i="2"/>
  <c r="F11" i="2"/>
  <c r="B8" i="2"/>
  <c r="G31" i="1"/>
  <c r="F31" i="1"/>
  <c r="E31" i="1"/>
  <c r="C31" i="1"/>
  <c r="G30" i="1"/>
  <c r="F30" i="1"/>
  <c r="E30" i="1"/>
  <c r="C30" i="1"/>
  <c r="G29" i="1"/>
  <c r="F29" i="1"/>
  <c r="E29" i="1"/>
  <c r="C29" i="1"/>
  <c r="G28" i="1"/>
  <c r="F28" i="1"/>
  <c r="E28" i="1"/>
  <c r="C28" i="1"/>
  <c r="G27" i="1"/>
  <c r="F27" i="1"/>
  <c r="E27" i="1"/>
  <c r="C27" i="1"/>
  <c r="G26" i="1"/>
  <c r="F26" i="1"/>
  <c r="E26" i="1"/>
  <c r="C26" i="1"/>
  <c r="G25" i="1"/>
  <c r="F25" i="1"/>
  <c r="E25" i="1"/>
  <c r="C25" i="1"/>
  <c r="G24" i="1"/>
  <c r="F24" i="1"/>
  <c r="E24" i="1"/>
  <c r="C24" i="1"/>
  <c r="G23" i="1"/>
  <c r="F23" i="1"/>
  <c r="E23" i="1"/>
  <c r="C23" i="1"/>
  <c r="G18" i="1"/>
  <c r="F18" i="1"/>
  <c r="E18" i="1"/>
  <c r="B18" i="1"/>
  <c r="F17" i="1"/>
  <c r="E17" i="1"/>
  <c r="B17" i="1"/>
  <c r="F16" i="1"/>
  <c r="E16" i="1"/>
  <c r="D16" i="1"/>
  <c r="B16" i="1"/>
  <c r="F15" i="1"/>
  <c r="E15" i="1"/>
  <c r="B15" i="1"/>
  <c r="F14" i="1"/>
  <c r="E14" i="1"/>
  <c r="B14" i="1"/>
  <c r="F13" i="1"/>
  <c r="E13" i="1"/>
  <c r="B13" i="1"/>
  <c r="F12" i="1"/>
  <c r="E12" i="1"/>
  <c r="B12" i="1"/>
  <c r="F11" i="1"/>
  <c r="E11" i="1"/>
  <c r="B11" i="1"/>
  <c r="F10" i="1"/>
  <c r="E10" i="1"/>
  <c r="B10" i="1"/>
  <c r="F9" i="1"/>
  <c r="E9" i="1"/>
  <c r="B9" i="1"/>
  <c r="F8" i="1"/>
  <c r="E8" i="1"/>
  <c r="B8" i="1"/>
  <c r="F7" i="1"/>
  <c r="E7" i="1"/>
  <c r="D7" i="1"/>
  <c r="B7" i="1"/>
  <c r="C54" i="8" l="1"/>
  <c r="C52" i="8"/>
  <c r="C51" i="8"/>
  <c r="C50" i="8"/>
  <c r="H49" i="8"/>
  <c r="C47" i="8"/>
  <c r="C46" i="8"/>
  <c r="C43" i="8"/>
  <c r="H42" i="8"/>
  <c r="H40" i="8"/>
  <c r="C39" i="8"/>
  <c r="C37" i="8"/>
  <c r="C36" i="8"/>
  <c r="H31" i="8"/>
  <c r="H29" i="8"/>
  <c r="C27" i="8"/>
  <c r="C23" i="8"/>
  <c r="C20" i="8"/>
  <c r="H11" i="8"/>
  <c r="H91" i="4"/>
  <c r="G17" i="1"/>
  <c r="G16" i="1"/>
  <c r="G14" i="1"/>
  <c r="D14" i="1"/>
  <c r="D12" i="1"/>
  <c r="H91" i="6"/>
  <c r="C91" i="6"/>
  <c r="H90" i="6"/>
  <c r="C90" i="6"/>
  <c r="H89" i="6"/>
  <c r="C89" i="6"/>
  <c r="H88" i="6"/>
  <c r="C88" i="6"/>
  <c r="H87" i="6"/>
  <c r="C87" i="6"/>
  <c r="H86" i="6"/>
  <c r="C86" i="6"/>
  <c r="H85" i="6"/>
  <c r="C85" i="6"/>
  <c r="H84" i="6"/>
  <c r="C84" i="6"/>
  <c r="H83" i="6"/>
  <c r="C83" i="6"/>
  <c r="H82" i="6"/>
  <c r="C82" i="6"/>
  <c r="H81" i="6"/>
  <c r="C81" i="6"/>
  <c r="H80" i="6"/>
  <c r="C80" i="6"/>
  <c r="H79" i="6"/>
  <c r="C79" i="6"/>
  <c r="H78" i="6"/>
  <c r="C78" i="6"/>
  <c r="H77" i="6"/>
  <c r="C77" i="6"/>
  <c r="H76" i="6"/>
  <c r="C76" i="6"/>
  <c r="H75" i="6"/>
  <c r="C75" i="6"/>
  <c r="H74" i="6"/>
  <c r="C74" i="6"/>
  <c r="H73" i="6"/>
  <c r="C73" i="6"/>
  <c r="H72" i="6"/>
  <c r="C72" i="6"/>
  <c r="H71" i="6"/>
  <c r="C71" i="6"/>
  <c r="H70" i="6"/>
  <c r="C70" i="6"/>
  <c r="H69" i="6"/>
  <c r="C69" i="6"/>
  <c r="H68" i="6"/>
  <c r="C68" i="6"/>
  <c r="H67" i="6"/>
  <c r="C67" i="6"/>
  <c r="H66" i="6"/>
  <c r="C66" i="6"/>
  <c r="H65" i="6"/>
  <c r="C65" i="6"/>
  <c r="H64" i="6"/>
  <c r="C64" i="6"/>
  <c r="H63" i="6"/>
  <c r="C63" i="6"/>
  <c r="H62" i="6"/>
  <c r="C62" i="6"/>
  <c r="H61" i="6"/>
  <c r="C61" i="6"/>
  <c r="H60" i="6"/>
  <c r="C60" i="6"/>
  <c r="H59" i="6"/>
  <c r="C59" i="6"/>
  <c r="H58" i="6"/>
  <c r="C58" i="6"/>
  <c r="H57" i="6"/>
  <c r="C57" i="6"/>
  <c r="H56" i="6"/>
  <c r="C56" i="6"/>
  <c r="H55" i="6"/>
  <c r="C55" i="6"/>
  <c r="H54" i="6"/>
  <c r="C54" i="6"/>
  <c r="H53" i="6"/>
  <c r="C53" i="6"/>
  <c r="H52" i="6"/>
  <c r="C52" i="6"/>
  <c r="H51" i="6"/>
  <c r="C51" i="6"/>
  <c r="H50" i="6"/>
  <c r="C50" i="6"/>
  <c r="H49" i="6"/>
  <c r="C49" i="6"/>
  <c r="H48" i="6"/>
  <c r="C48" i="6"/>
  <c r="H47" i="6"/>
  <c r="C47" i="6"/>
  <c r="H46" i="6"/>
  <c r="C46" i="6"/>
  <c r="H45" i="6"/>
  <c r="C45" i="6"/>
  <c r="H44" i="6"/>
  <c r="C44" i="6"/>
  <c r="H43" i="6"/>
  <c r="C43" i="6"/>
  <c r="H42" i="6"/>
  <c r="C42" i="6"/>
  <c r="H41" i="6"/>
  <c r="C41" i="6"/>
  <c r="H40" i="6"/>
  <c r="C40" i="6"/>
  <c r="H39" i="6"/>
  <c r="C39" i="6"/>
  <c r="C38" i="6"/>
  <c r="H37" i="6"/>
  <c r="C37" i="6"/>
  <c r="H36" i="6"/>
  <c r="C36" i="6"/>
  <c r="H35" i="6"/>
  <c r="C35" i="6"/>
  <c r="H34" i="6"/>
  <c r="C34" i="6"/>
  <c r="H33" i="6"/>
  <c r="C33" i="6"/>
  <c r="H32" i="6"/>
  <c r="C32" i="6"/>
  <c r="H31" i="6"/>
  <c r="C31" i="6"/>
  <c r="H30" i="6"/>
  <c r="C30" i="6"/>
  <c r="H29" i="6"/>
  <c r="C29" i="6"/>
  <c r="H28" i="6"/>
  <c r="C28" i="6"/>
  <c r="H27" i="6"/>
  <c r="C27" i="6"/>
  <c r="H26" i="6"/>
  <c r="C26" i="6"/>
  <c r="H25" i="6"/>
  <c r="C25" i="6"/>
  <c r="H24" i="6"/>
  <c r="C24" i="6"/>
  <c r="H23" i="6"/>
  <c r="C23" i="6"/>
  <c r="H22" i="6"/>
  <c r="C22" i="6"/>
  <c r="H21" i="6"/>
  <c r="C21" i="6"/>
  <c r="H20" i="6"/>
  <c r="C20" i="6"/>
  <c r="H19" i="6"/>
  <c r="C17" i="6"/>
  <c r="H16" i="6"/>
  <c r="H12" i="6"/>
  <c r="C12" i="6"/>
  <c r="D18" i="1"/>
  <c r="D17" i="1"/>
  <c r="G15" i="1"/>
  <c r="G12" i="1"/>
  <c r="G11" i="1"/>
  <c r="G10" i="1"/>
  <c r="H38" i="6"/>
  <c r="H88" i="4"/>
  <c r="C88" i="4"/>
  <c r="H87" i="4"/>
  <c r="C87" i="4"/>
  <c r="H86" i="4"/>
  <c r="C86" i="4"/>
  <c r="H85" i="4"/>
  <c r="C85" i="4"/>
  <c r="H84" i="4"/>
  <c r="C84" i="4"/>
  <c r="H83" i="4"/>
  <c r="C83" i="4"/>
  <c r="H82" i="4"/>
  <c r="C82" i="4"/>
  <c r="H81" i="4"/>
  <c r="C81" i="4"/>
  <c r="H80" i="4"/>
  <c r="C80" i="4"/>
  <c r="H79" i="4"/>
  <c r="C79" i="4"/>
  <c r="H78" i="4"/>
  <c r="C78" i="4"/>
  <c r="H77" i="4"/>
  <c r="C77" i="4"/>
  <c r="H76" i="4"/>
  <c r="C76" i="4"/>
  <c r="H75" i="4"/>
  <c r="C75" i="4"/>
  <c r="H74" i="4"/>
  <c r="C74" i="4"/>
  <c r="H73" i="4"/>
  <c r="C73" i="4"/>
  <c r="H72" i="4"/>
  <c r="C72" i="4"/>
  <c r="H71" i="4"/>
  <c r="C71" i="4"/>
  <c r="H70" i="4"/>
  <c r="C70" i="4"/>
  <c r="H69" i="4"/>
  <c r="C69" i="4"/>
  <c r="H68" i="4"/>
  <c r="C68" i="4"/>
  <c r="H67" i="4"/>
  <c r="C67" i="4"/>
  <c r="H66" i="4"/>
  <c r="C66" i="4"/>
  <c r="H65" i="4"/>
  <c r="C65" i="4"/>
  <c r="H64" i="4"/>
  <c r="C64" i="4"/>
  <c r="H63" i="4"/>
  <c r="C63" i="4"/>
  <c r="H62" i="4"/>
  <c r="C62" i="4"/>
  <c r="H61" i="4"/>
  <c r="C61" i="4"/>
  <c r="H60" i="4"/>
  <c r="C60" i="4"/>
  <c r="H59" i="4"/>
  <c r="C59" i="4"/>
  <c r="H58" i="4"/>
  <c r="C58" i="4"/>
  <c r="H57" i="4"/>
  <c r="C57" i="4"/>
  <c r="H56" i="4"/>
  <c r="C56" i="4"/>
  <c r="H55" i="4"/>
  <c r="C55" i="4"/>
  <c r="H54" i="4"/>
  <c r="C54" i="4"/>
  <c r="H53" i="4"/>
  <c r="C53" i="4"/>
  <c r="H52" i="4"/>
  <c r="C52" i="4"/>
  <c r="H51" i="4"/>
  <c r="C51" i="4"/>
  <c r="H50" i="4"/>
  <c r="C50" i="4"/>
  <c r="H49" i="4"/>
  <c r="C49" i="4"/>
  <c r="H48" i="4"/>
  <c r="C48" i="4"/>
  <c r="H47" i="4"/>
  <c r="C47" i="4"/>
  <c r="H46" i="4"/>
  <c r="C46" i="4"/>
  <c r="H45" i="4"/>
  <c r="C45" i="4"/>
  <c r="H44" i="4"/>
  <c r="C44" i="4"/>
  <c r="H43" i="4"/>
  <c r="C43" i="4"/>
  <c r="H42" i="4"/>
  <c r="C42" i="4"/>
  <c r="H41" i="4"/>
  <c r="C41" i="4"/>
  <c r="H40" i="4"/>
  <c r="C40" i="4"/>
  <c r="H39" i="4"/>
  <c r="C39" i="4"/>
  <c r="H38" i="4"/>
  <c r="C38" i="4"/>
  <c r="H37" i="4"/>
  <c r="C37" i="4"/>
  <c r="H36" i="4"/>
  <c r="C36" i="4"/>
  <c r="H35" i="4"/>
  <c r="C35" i="4"/>
  <c r="H34" i="4"/>
  <c r="C34" i="4"/>
  <c r="H33" i="4"/>
  <c r="C33" i="4"/>
  <c r="H32" i="4"/>
  <c r="C32" i="4"/>
  <c r="H31" i="4"/>
  <c r="C31" i="4"/>
  <c r="H30" i="4"/>
  <c r="C30" i="4"/>
  <c r="H29" i="4"/>
  <c r="C29" i="4"/>
  <c r="H28" i="4"/>
  <c r="C28" i="4"/>
  <c r="H27" i="4"/>
  <c r="C27" i="4"/>
  <c r="H26" i="4"/>
  <c r="C26" i="4"/>
  <c r="H25" i="4"/>
  <c r="C25" i="4"/>
  <c r="H24" i="4"/>
  <c r="C24" i="4"/>
  <c r="H23" i="4"/>
  <c r="C23" i="4"/>
  <c r="H22" i="4"/>
  <c r="C22" i="4"/>
  <c r="H21" i="4"/>
  <c r="C21" i="4"/>
  <c r="H20" i="4"/>
  <c r="C20" i="4"/>
  <c r="H19" i="4"/>
  <c r="C19" i="4"/>
  <c r="H18" i="4"/>
  <c r="C18" i="4"/>
  <c r="H17" i="4"/>
  <c r="C17" i="4"/>
  <c r="H16" i="4"/>
  <c r="C16" i="4"/>
  <c r="H15" i="4"/>
  <c r="C15" i="4"/>
  <c r="H14" i="4"/>
  <c r="C14" i="4"/>
  <c r="H13" i="4"/>
  <c r="C13" i="4"/>
  <c r="H12" i="4"/>
  <c r="C12" i="4"/>
  <c r="H11" i="4"/>
  <c r="C11" i="4"/>
  <c r="H52" i="3"/>
  <c r="C52" i="3"/>
  <c r="H51" i="3"/>
  <c r="C51" i="3"/>
  <c r="H50" i="3"/>
  <c r="C50" i="3"/>
  <c r="H49" i="3"/>
  <c r="C49" i="3"/>
  <c r="H48" i="3"/>
  <c r="C48" i="3"/>
  <c r="H47" i="3"/>
  <c r="C47" i="3"/>
  <c r="H46" i="3"/>
  <c r="C46" i="3"/>
  <c r="H45" i="3"/>
  <c r="C45" i="3"/>
  <c r="H44" i="3"/>
  <c r="C44" i="3"/>
  <c r="H43" i="3"/>
  <c r="C43" i="3"/>
  <c r="H42" i="3"/>
  <c r="C42" i="3"/>
  <c r="H41" i="3"/>
  <c r="C41" i="3"/>
  <c r="H40" i="3"/>
  <c r="C40" i="3"/>
  <c r="H39" i="3"/>
  <c r="C39" i="3"/>
  <c r="H38" i="3"/>
  <c r="C38" i="3"/>
  <c r="H37" i="3"/>
  <c r="C37" i="3"/>
  <c r="H36" i="3"/>
  <c r="C36" i="3"/>
  <c r="H35" i="3"/>
  <c r="C35" i="3"/>
  <c r="H34" i="3"/>
  <c r="C34" i="3"/>
  <c r="H33" i="3"/>
  <c r="C33" i="3"/>
  <c r="H32" i="3"/>
  <c r="C32" i="3"/>
  <c r="C31" i="3"/>
  <c r="H30" i="3"/>
  <c r="C30" i="3"/>
  <c r="H29" i="3"/>
  <c r="C29" i="3"/>
  <c r="H28" i="3"/>
  <c r="C28" i="3"/>
  <c r="H27" i="3"/>
  <c r="C27" i="3"/>
  <c r="H26" i="3"/>
  <c r="C26" i="3"/>
  <c r="H25" i="3"/>
  <c r="C25" i="3"/>
  <c r="H24" i="3"/>
  <c r="C24" i="3"/>
  <c r="H23" i="3"/>
  <c r="C23" i="3"/>
  <c r="H22" i="3"/>
  <c r="C22" i="3"/>
  <c r="H21" i="3"/>
  <c r="C21" i="3"/>
  <c r="H20" i="3"/>
  <c r="C20" i="3"/>
  <c r="H19" i="3"/>
  <c r="C19" i="3"/>
  <c r="H18" i="3"/>
  <c r="C18" i="3"/>
  <c r="H17" i="3"/>
  <c r="C17" i="3"/>
  <c r="H16" i="3"/>
  <c r="C16" i="3"/>
  <c r="H15" i="3"/>
  <c r="C15" i="3"/>
  <c r="H14" i="3"/>
  <c r="C14" i="3"/>
  <c r="H13" i="3"/>
  <c r="C13" i="3"/>
  <c r="H12" i="3"/>
  <c r="C12" i="3"/>
  <c r="H11" i="3"/>
  <c r="C11" i="3"/>
  <c r="H39" i="2"/>
  <c r="C39" i="2"/>
  <c r="H38" i="2"/>
  <c r="C38" i="2"/>
  <c r="H37" i="2"/>
  <c r="C37" i="2"/>
  <c r="H36" i="2"/>
  <c r="C36" i="2"/>
  <c r="H35" i="2"/>
  <c r="C35" i="2"/>
  <c r="H34" i="2"/>
  <c r="C34" i="2"/>
  <c r="H33" i="2"/>
  <c r="C33" i="2"/>
  <c r="H32" i="2"/>
  <c r="C32" i="2"/>
  <c r="H31" i="2"/>
  <c r="C31" i="2"/>
  <c r="H30" i="2"/>
  <c r="C30" i="2"/>
  <c r="H29" i="2"/>
  <c r="C29" i="2"/>
  <c r="H28" i="2"/>
  <c r="C28" i="2"/>
  <c r="H27" i="2"/>
  <c r="C27" i="2"/>
  <c r="H26" i="2"/>
  <c r="C26" i="2"/>
  <c r="H25" i="2"/>
  <c r="C25" i="2"/>
  <c r="H24" i="2"/>
  <c r="C24" i="2"/>
  <c r="H23" i="2"/>
  <c r="C23" i="2"/>
  <c r="H22" i="2"/>
  <c r="C22" i="2"/>
  <c r="H21" i="2"/>
  <c r="C21" i="2"/>
  <c r="H20" i="2"/>
  <c r="C20" i="2"/>
  <c r="H19" i="2"/>
  <c r="C19" i="2"/>
  <c r="H18" i="2"/>
  <c r="C18" i="2"/>
  <c r="H17" i="2"/>
  <c r="C17" i="2"/>
  <c r="H16" i="2"/>
  <c r="C16" i="2"/>
  <c r="H15" i="2"/>
  <c r="C15" i="2"/>
  <c r="H14" i="2"/>
  <c r="C14" i="2"/>
  <c r="H13" i="2"/>
  <c r="C13" i="2"/>
  <c r="H12" i="2"/>
  <c r="C12" i="2"/>
  <c r="H11" i="2"/>
  <c r="C11" i="2"/>
  <c r="H31" i="3"/>
  <c r="H51" i="8"/>
  <c r="H47" i="8"/>
  <c r="H37" i="8"/>
  <c r="H36" i="8"/>
  <c r="H30" i="8"/>
  <c r="H28" i="8"/>
  <c r="H25" i="8"/>
  <c r="C24" i="8"/>
  <c r="H23" i="8"/>
  <c r="H21" i="8"/>
  <c r="C21" i="8"/>
  <c r="H19" i="8"/>
  <c r="C19" i="8"/>
  <c r="C16" i="6"/>
  <c r="H14" i="6"/>
  <c r="H13" i="6"/>
  <c r="H50" i="8"/>
  <c r="H48" i="8"/>
  <c r="C48" i="8"/>
  <c r="H45" i="8"/>
  <c r="H44" i="8"/>
  <c r="C41" i="8"/>
  <c r="H39" i="8"/>
  <c r="H34" i="8"/>
  <c r="H33" i="8"/>
  <c r="H24" i="8"/>
  <c r="H20" i="8"/>
  <c r="C17" i="8"/>
  <c r="H16" i="8"/>
  <c r="C14" i="8"/>
  <c r="C12" i="8"/>
  <c r="C19" i="6"/>
  <c r="H18" i="6"/>
  <c r="C18" i="6"/>
  <c r="H15" i="6"/>
  <c r="C11" i="6"/>
  <c r="H90" i="4"/>
  <c r="D11" i="1"/>
  <c r="G8" i="1"/>
  <c r="G7" i="1"/>
  <c r="C53" i="8"/>
  <c r="H38" i="8"/>
  <c r="C35" i="8"/>
  <c r="C34" i="8"/>
  <c r="C33" i="8"/>
  <c r="C28" i="8"/>
  <c r="H17" i="8"/>
  <c r="H14" i="8"/>
  <c r="C13" i="8"/>
  <c r="H12" i="8"/>
  <c r="C15" i="6"/>
  <c r="H89" i="4"/>
  <c r="H56" i="8"/>
  <c r="C55" i="8"/>
  <c r="C44" i="8"/>
  <c r="C40" i="8"/>
  <c r="H35" i="8"/>
  <c r="C32" i="8"/>
  <c r="C31" i="8"/>
  <c r="C30" i="8"/>
  <c r="H22" i="8"/>
  <c r="H18" i="8"/>
  <c r="C16" i="8"/>
  <c r="C15" i="8"/>
  <c r="H13" i="8"/>
  <c r="C11" i="8"/>
  <c r="H11" i="6"/>
  <c r="G13" i="1"/>
  <c r="D13" i="1"/>
  <c r="G9" i="1"/>
  <c r="D9" i="1"/>
  <c r="D8" i="1"/>
  <c r="C56" i="8"/>
  <c r="H54" i="8"/>
  <c r="H53" i="8"/>
  <c r="H52" i="8"/>
  <c r="C49" i="8"/>
  <c r="H46" i="8"/>
  <c r="C45" i="8"/>
  <c r="C42" i="8"/>
  <c r="H41" i="8"/>
  <c r="C38" i="8"/>
  <c r="H27" i="8"/>
  <c r="H26" i="8"/>
  <c r="C22" i="8"/>
  <c r="C18" i="8"/>
  <c r="H17" i="6"/>
  <c r="H43" i="8"/>
  <c r="H32" i="8"/>
  <c r="C29" i="8"/>
  <c r="C26" i="8"/>
  <c r="C25" i="8"/>
  <c r="H15" i="8"/>
  <c r="C14" i="6"/>
  <c r="C13" i="6"/>
  <c r="D10" i="1"/>
  <c r="D15" i="1"/>
  <c r="E11" i="4" l="1"/>
  <c r="E12" i="4"/>
  <c r="E13" i="4"/>
  <c r="E14" i="4"/>
  <c r="E15" i="4"/>
  <c r="E16" i="4"/>
  <c r="E17" i="4"/>
  <c r="E18" i="4"/>
  <c r="E19" i="4"/>
  <c r="E20" i="4"/>
  <c r="E21" i="4"/>
  <c r="E22" i="4"/>
  <c r="E23" i="4"/>
  <c r="E24" i="4"/>
  <c r="E25" i="4"/>
  <c r="E26" i="4"/>
  <c r="E27" i="4"/>
  <c r="E28" i="4"/>
  <c r="E29" i="4"/>
  <c r="E30" i="4"/>
  <c r="E31" i="4"/>
  <c r="E32" i="4"/>
  <c r="E33" i="4"/>
  <c r="E34" i="4"/>
  <c r="E35" i="4"/>
  <c r="E36" i="4"/>
  <c r="E37" i="4"/>
  <c r="E38" i="4"/>
  <c r="E39" i="4"/>
  <c r="E40" i="4"/>
  <c r="E41" i="4"/>
  <c r="E42" i="4"/>
  <c r="E43" i="4"/>
  <c r="E44" i="4"/>
  <c r="E45" i="4"/>
  <c r="E46" i="4"/>
  <c r="E47" i="4"/>
  <c r="E48" i="4"/>
  <c r="E49" i="4"/>
  <c r="E50" i="4"/>
  <c r="E51" i="4"/>
  <c r="E52" i="4"/>
  <c r="E53" i="4"/>
  <c r="E54" i="4"/>
  <c r="E55" i="4"/>
  <c r="E56" i="4"/>
  <c r="E57" i="4"/>
  <c r="E58" i="4"/>
  <c r="E59" i="4"/>
  <c r="E60" i="4"/>
  <c r="E61" i="4"/>
  <c r="E62" i="4"/>
  <c r="E63" i="4"/>
  <c r="E64" i="4"/>
  <c r="E65" i="4"/>
  <c r="E66" i="4"/>
  <c r="E67" i="4"/>
  <c r="E68" i="4"/>
  <c r="E69" i="4"/>
  <c r="E70" i="4"/>
  <c r="E71" i="4"/>
  <c r="E72" i="4"/>
  <c r="E73" i="4"/>
  <c r="E74" i="4"/>
  <c r="E75" i="4"/>
  <c r="E76" i="4"/>
  <c r="E77" i="4"/>
  <c r="E78" i="4"/>
  <c r="E79" i="4"/>
  <c r="E80" i="4"/>
  <c r="E81" i="4"/>
  <c r="E82" i="4"/>
  <c r="E83" i="4"/>
  <c r="E84" i="4"/>
  <c r="E85" i="4"/>
  <c r="E86" i="4"/>
  <c r="E87" i="4"/>
  <c r="E88" i="4"/>
  <c r="E91" i="4"/>
  <c r="E89" i="4"/>
  <c r="E90" i="4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16" i="6"/>
  <c r="E11" i="6"/>
  <c r="E15" i="6"/>
  <c r="E17" i="6"/>
  <c r="E20" i="6"/>
  <c r="E21" i="6"/>
  <c r="E22" i="6"/>
  <c r="E23" i="6"/>
  <c r="E24" i="6"/>
  <c r="E25" i="6"/>
  <c r="E26" i="6"/>
  <c r="E27" i="6"/>
  <c r="E28" i="6"/>
  <c r="E29" i="6"/>
  <c r="E30" i="6"/>
  <c r="E31" i="6"/>
  <c r="E32" i="6"/>
  <c r="E33" i="6"/>
  <c r="E34" i="6"/>
  <c r="E35" i="6"/>
  <c r="E36" i="6"/>
  <c r="E37" i="6"/>
  <c r="E38" i="6"/>
  <c r="E39" i="6"/>
  <c r="E40" i="6"/>
  <c r="E41" i="6"/>
  <c r="E42" i="6"/>
  <c r="E43" i="6"/>
  <c r="E44" i="6"/>
  <c r="E45" i="6"/>
  <c r="E46" i="6"/>
  <c r="E47" i="6"/>
  <c r="E48" i="6"/>
  <c r="E49" i="6"/>
  <c r="E50" i="6"/>
  <c r="E51" i="6"/>
  <c r="E52" i="6"/>
  <c r="E53" i="6"/>
  <c r="E54" i="6"/>
  <c r="E55" i="6"/>
  <c r="E56" i="6"/>
  <c r="E57" i="6"/>
  <c r="E58" i="6"/>
  <c r="E59" i="6"/>
  <c r="E60" i="6"/>
  <c r="E61" i="6"/>
  <c r="E62" i="6"/>
  <c r="E63" i="6"/>
  <c r="E64" i="6"/>
  <c r="E65" i="6"/>
  <c r="E66" i="6"/>
  <c r="E67" i="6"/>
  <c r="E68" i="6"/>
  <c r="E69" i="6"/>
  <c r="E70" i="6"/>
  <c r="E71" i="6"/>
  <c r="E72" i="6"/>
  <c r="E73" i="6"/>
  <c r="E74" i="6"/>
  <c r="E75" i="6"/>
  <c r="E76" i="6"/>
  <c r="E77" i="6"/>
  <c r="E78" i="6"/>
  <c r="E79" i="6"/>
  <c r="E80" i="6"/>
  <c r="E81" i="6"/>
  <c r="E82" i="6"/>
  <c r="E83" i="6"/>
  <c r="E84" i="6"/>
  <c r="E85" i="6"/>
  <c r="E86" i="6"/>
  <c r="E87" i="6"/>
  <c r="E88" i="6"/>
  <c r="E89" i="6"/>
  <c r="E90" i="6"/>
  <c r="E91" i="6"/>
  <c r="E12" i="6"/>
  <c r="E19" i="6"/>
  <c r="E13" i="6"/>
  <c r="E18" i="6"/>
  <c r="E14" i="6"/>
  <c r="E21" i="8"/>
  <c r="E28" i="8"/>
  <c r="E37" i="8"/>
  <c r="E53" i="8"/>
  <c r="E54" i="8"/>
  <c r="E30" i="8"/>
  <c r="E33" i="8"/>
  <c r="E34" i="8"/>
  <c r="E39" i="8"/>
  <c r="E40" i="8"/>
  <c r="E48" i="8"/>
  <c r="E49" i="8"/>
  <c r="E52" i="8"/>
  <c r="E56" i="8"/>
  <c r="E11" i="8"/>
  <c r="E16" i="8"/>
  <c r="E20" i="8"/>
  <c r="E25" i="8"/>
  <c r="E32" i="8"/>
  <c r="E35" i="8"/>
  <c r="E36" i="8"/>
  <c r="E43" i="8"/>
  <c r="E44" i="8"/>
  <c r="E50" i="8"/>
  <c r="E51" i="8"/>
  <c r="E12" i="8"/>
  <c r="E13" i="8"/>
  <c r="E15" i="8"/>
  <c r="E17" i="8"/>
  <c r="E18" i="8"/>
  <c r="E26" i="8"/>
  <c r="E29" i="8"/>
  <c r="E38" i="8"/>
  <c r="E41" i="8"/>
  <c r="E45" i="8"/>
  <c r="E46" i="8"/>
  <c r="E47" i="8"/>
  <c r="E31" i="8"/>
  <c r="E55" i="8"/>
  <c r="E14" i="8"/>
  <c r="E19" i="8"/>
  <c r="E22" i="8"/>
  <c r="E23" i="8"/>
  <c r="E24" i="8"/>
  <c r="E27" i="8"/>
  <c r="E42" i="8"/>
</calcChain>
</file>

<file path=xl/sharedStrings.xml><?xml version="1.0" encoding="utf-8"?>
<sst xmlns="http://schemas.openxmlformats.org/spreadsheetml/2006/main" count="513" uniqueCount="173">
  <si>
    <t>Tablero 4DX — GBM Nicaragua</t>
  </si>
  <si>
    <t>WIG de la compañía: Generar $1,000,000 de utilidad neta después de impuestos (NAT) en el 2027</t>
  </si>
  <si>
    <t>Meta anual NAT:</t>
  </si>
  <si>
    <t>Mes</t>
  </si>
  <si>
    <t>Meta mensual</t>
  </si>
  <si>
    <t>NAT real</t>
  </si>
  <si>
    <t>Meta acum.</t>
  </si>
  <si>
    <t>Real acum.</t>
  </si>
  <si>
    <t>% avance</t>
  </si>
  <si>
    <t>Estado</t>
  </si>
  <si>
    <t>WIGs de soporte — estado al último dato ingresado</t>
  </si>
  <si>
    <t>#</t>
  </si>
  <si>
    <t>WIG de soporte</t>
  </si>
  <si>
    <t>Dueño</t>
  </si>
  <si>
    <t>Equipo</t>
  </si>
  <si>
    <t>Meta</t>
  </si>
  <si>
    <t>Último real</t>
  </si>
  <si>
    <t>Ir a pestaña</t>
  </si>
  <si>
    <t>Incrementar el Parque de Smart User en 500 equipos en el 2026</t>
  </si>
  <si>
    <t>Pre-Sales, Del - DEX</t>
  </si>
  <si>
    <t>1. Smart User 500</t>
  </si>
  <si>
    <t>Lograr un Monthly Value de $X en advisory en el primer trimestre de 2027</t>
  </si>
  <si>
    <t>Ventas, Customer Success, Pre-Sales, Del - TSS</t>
  </si>
  <si>
    <t>2. MV Advisory</t>
  </si>
  <si>
    <t>Reconocer 10 negocios mayores a $30K de GP en el 2027</t>
  </si>
  <si>
    <t>Ventas, Pre-Sales</t>
  </si>
  <si>
    <t>3. Negocios +30K GP</t>
  </si>
  <si>
    <t>Cumplir el 100% de entregas y colocaciones en tiempo y forma</t>
  </si>
  <si>
    <t>Finanzas</t>
  </si>
  <si>
    <t>4. Entregas 100%</t>
  </si>
  <si>
    <t>Incrementar el MV de servicios basados en el DC GBM San Marcos en $20,000</t>
  </si>
  <si>
    <t>Pre-Sales, Del - DC</t>
  </si>
  <si>
    <t>5. MV Datacenter</t>
  </si>
  <si>
    <t>Tener cero contratos expired en al menos 16 de los próximos 18 meses</t>
  </si>
  <si>
    <t>Customer Success, Del - DEX, Del - TSS, Del - DC</t>
  </si>
  <si>
    <t>6. Cero Expired</t>
  </si>
  <si>
    <t>Incrementar el MV de Digital Solutions en $30K/mes al 1ro de mayo 2027</t>
  </si>
  <si>
    <t>Ventas, Del - DS</t>
  </si>
  <si>
    <t>7. MV Digital Sol</t>
  </si>
  <si>
    <t>Lograr un GP consolidado de 16% en el 2027</t>
  </si>
  <si>
    <t>Finanzas (todas las áreas aportan)</t>
  </si>
  <si>
    <t>8. GP 16%</t>
  </si>
  <si>
    <t>Incrementar el CSAT de X a Y, sosteniéndolo 4 meses consecutivos</t>
  </si>
  <si>
    <t>Customer Success (todas las áreas de entrega aportan)</t>
  </si>
  <si>
    <t>9. CSAT</t>
  </si>
  <si>
    <t>WIG 1 — Incrementar el Parque de Smart User en 500 equipos en el 2026</t>
  </si>
  <si>
    <t>Indicador lag:</t>
  </si>
  <si>
    <t>Equipos Smart User colocados (acumulado). 500 equipos a $40/mes = $6.4K MRR adicional en GP.</t>
  </si>
  <si>
    <t>De X a Y:</t>
  </si>
  <si>
    <t>De 0 a 500 equipos colocados, antes del 31 de diciembre de 2026.</t>
  </si>
  <si>
    <t>Dueño:</t>
  </si>
  <si>
    <t>Por asignar</t>
  </si>
  <si>
    <t>Equipo:</t>
  </si>
  <si>
    <t>Meta:</t>
  </si>
  <si>
    <t>Inicio:</t>
  </si>
  <si>
    <t>Fin:</t>
  </si>
  <si>
    <t>Leads:</t>
  </si>
  <si>
    <t>Hasta 8 indicadores predictivos a la derecha. L1–L2 = apuesta principal del equipo; L3–L8 = indicadores de apoyo. Nombre (fila 8) y meta semanal (fila 9) editables en azul.</t>
  </si>
  <si>
    <t>Periodos:</t>
  </si>
  <si>
    <t>Lead →</t>
  </si>
  <si>
    <t>L1. Compromisos de asignación firmados (equipos)</t>
  </si>
  <si>
    <t>L2. Demos / POCs activos (Promerica, Disnorte, otros)</t>
  </si>
  <si>
    <t>L3. Presentaciones de oferta Smart User realizadas</t>
  </si>
  <si>
    <t>L4. Equipos cotizados en la semana</t>
  </si>
  <si>
    <t>L5. Equipos en bodega listos para colocar</t>
  </si>
  <si>
    <t>L6. Clientes nuevos contactados con la oferta</t>
  </si>
  <si>
    <t>L7. % equipos colocados en ≤2 semanas tras firma</t>
  </si>
  <si>
    <t>(Disponible)</t>
  </si>
  <si>
    <t>Celdas azules = se digitan cada lunes. Celdas negras = fórmulas, no tocar.</t>
  </si>
  <si>
    <t>Meta →</t>
  </si>
  <si>
    <t>Semana</t>
  </si>
  <si>
    <t>Meta semana</t>
  </si>
  <si>
    <t>Real</t>
  </si>
  <si>
    <t>%</t>
  </si>
  <si>
    <t>WIG 2 — Lograr un Monthly Value de $X en advisory en el primer trimestre de 2027</t>
  </si>
  <si>
    <t>MV de horas advisory de ingenieros locales vendidas (USD acumulado). Costo fijo ya cubierto = mayor utilidad.</t>
  </si>
  <si>
    <t>De $0 a la meta de MV advisory, antes del 31 de marzo de 2027. (Definir $X en la celda Meta)</t>
  </si>
  <si>
    <t>L1. Propuestas de advisory presentadas</t>
  </si>
  <si>
    <t>L2. Horas advisory cotizadas</t>
  </si>
  <si>
    <t>L3. Reuniones de venta consultiva con clientes</t>
  </si>
  <si>
    <t>L4. Assessments / health checks ofrecidos</t>
  </si>
  <si>
    <t>L5. % utilización de ingenieros locales en advisory</t>
  </si>
  <si>
    <t>L6. Opps de advisory activas en pipeline</t>
  </si>
  <si>
    <t>L7. Contratos advisory firmados en la semana</t>
  </si>
  <si>
    <t>WIG 3 — Reconocer 10 negocios mayores a $30K de GP en el 2027</t>
  </si>
  <si>
    <t>Negocios con GP &gt; $30K reconocidos (acumulado). Negocios grandes que mueven el NAT.</t>
  </si>
  <si>
    <t>De 0 a 10 negocios &gt; $30K GP reconocidos, antes del 31 de diciembre de 2027.</t>
  </si>
  <si>
    <t>L1. Opps &gt; $30K GP activas en pipeline</t>
  </si>
  <si>
    <t>L2. Opps nuevas ingresadas en la semana</t>
  </si>
  <si>
    <t>L3. Propuestas &gt; $30K presentadas</t>
  </si>
  <si>
    <t>L4. Reuniones C-level realizadas</t>
  </si>
  <si>
    <t>L5. Leads activas al cierre de la semana</t>
  </si>
  <si>
    <t>L6. Opps &gt; $30K avanzadas de etapa</t>
  </si>
  <si>
    <t>L7. Win rate de opps &gt; $30K (acumulado)</t>
  </si>
  <si>
    <t>WIG 4 — Cumplir el 100% de entregas y colocaciones en tiempo y forma</t>
  </si>
  <si>
    <t>% de colocaciones y entregas de la semana realizadas en tiempo y forma.</t>
  </si>
  <si>
    <t>Sostener 100% de cumplimiento semanal durante todo el periodo.</t>
  </si>
  <si>
    <t>L1. % entregas programadas con checklist completo</t>
  </si>
  <si>
    <t>L2. Riesgos de entrega escalados ≥1 semana antes</t>
  </si>
  <si>
    <t>L3. % órdenes de compra liberadas a tiempo</t>
  </si>
  <si>
    <t>L4. % inventario confirmado ≥5 días antes</t>
  </si>
  <si>
    <t>L5. Coordinaciones logísticas confirmadas</t>
  </si>
  <si>
    <t>L6. % facturas emitidas ≤48h tras la entrega</t>
  </si>
  <si>
    <t>Brecha vs meta</t>
  </si>
  <si>
    <t>WIG 5 — Incrementar el MV de servicios basados en el DC GBM San Marcos en $20,000</t>
  </si>
  <si>
    <t>MV nuevo firmado de servicios basados desde el datacenter (USD acumulado).</t>
  </si>
  <si>
    <t>De $0 a +$20,000 de MV incremental, antes del 31 de diciembre de 2027.</t>
  </si>
  <si>
    <t>L1. Propuestas de servicios DC presentadas</t>
  </si>
  <si>
    <t>L2. Workloads nuevos aprovisionados / migrados</t>
  </si>
  <si>
    <t>L3. Assessments de migración realizados</t>
  </si>
  <si>
    <t>L4. Opps DC activas en pipeline</t>
  </si>
  <si>
    <t>L5. Clientes contactados con oferta DC</t>
  </si>
  <si>
    <t>L6. % capacidad DC documentada y actualizada</t>
  </si>
  <si>
    <t>WIG 6 — Tener cero contratos expired en al menos 16 de los próximos 18 meses</t>
  </si>
  <si>
    <t>Contratos en estado Expired / On-Hold al cierre de la semana (meta: 0).</t>
  </si>
  <si>
    <t>De N a 0 contratos expired, sosteniéndolo en 16 de los próximos 18 meses (jun 2026 – dic 2027).</t>
  </si>
  <si>
    <t>L1. % contratos por vencer en 90 días con plan</t>
  </si>
  <si>
    <t>L2. Renovaciones cerradas a tiempo en la semana</t>
  </si>
  <si>
    <t>L3. Cotizaciones de renovación enviadas ≥60 días antes</t>
  </si>
  <si>
    <t>L4. QBRs con clientes en riesgo de no renovar</t>
  </si>
  <si>
    <t>L5. % contratos on-hold con plan de reactivación</t>
  </si>
  <si>
    <t>L6. Forecast de renovaciones actualizado (1 = sí)</t>
  </si>
  <si>
    <t>WIG 7 — Incrementar el MV de Digital Solutions en $30K/mes al 1ro de mayo 2027</t>
  </si>
  <si>
    <t>MV incremental firmado de servicios Digital Solutions (SOC y Célula), USD acumulado.</t>
  </si>
  <si>
    <t>De $0 a +$30,000 de MV mensual, antes del 1 de mayo de 2027.</t>
  </si>
  <si>
    <t>L1. Opps SOC / Célula activas en pipeline</t>
  </si>
  <si>
    <t>L2. Propuestas DS presentadas</t>
  </si>
  <si>
    <t>L3. Demos / PoV de SOC ejecutados</t>
  </si>
  <si>
    <t>L4. Workshops de células de desarrollo</t>
  </si>
  <si>
    <t>L5. Casos de éxito / referencias compartidas</t>
  </si>
  <si>
    <t>L6. Opps DS avanzadas de etapa</t>
  </si>
  <si>
    <t>WIG 8 — Lograr un GP consolidado de 16% en el 2027</t>
  </si>
  <si>
    <t>GP consolidado del mes (%).</t>
  </si>
  <si>
    <t>De GP actual a 16% consolidado sostenido en 2027.</t>
  </si>
  <si>
    <t>Hasta 8 indicadores predictivos a la derecha. L1–L2 = apuesta principal del equipo; L3–L8 = indicadores de apoyo. Nombre (fila 8) y meta mensual (fila 9) editables en azul.</t>
  </si>
  <si>
    <t>L1. % distribuciones del mes vs plan de baja distribución</t>
  </si>
  <si>
    <t>L2. % reservas (inventario + ITA + IR) bajo el tope del plan</t>
  </si>
  <si>
    <t>L3. % negocios cotizados con GP ≥ margen mínimo</t>
  </si>
  <si>
    <t>L4. Acciones de recuperación de margen ejecutadas</t>
  </si>
  <si>
    <t>L5. Revisiones de pricing realizadas en el mes</t>
  </si>
  <si>
    <t>L6. % proyectos con revisión de rentabilidad mensual</t>
  </si>
  <si>
    <t>WIG 9 — Incrementar el CSAT de X a Y, sosteniéndolo 4 meses consecutivos</t>
  </si>
  <si>
    <t>CSAT del mes (puntaje de encuestas de satisfacción).</t>
  </si>
  <si>
    <t>De X a Y, con 4 meses consecutivos en la meta. (Definir X y Y en la celda Meta)</t>
  </si>
  <si>
    <t>L1. % encuestas CSAT enviadas y respondidas</t>
  </si>
  <si>
    <t>L2. QBRs / touchpoints de CS ejecutados</t>
  </si>
  <si>
    <t>L3. % detractores con plan de acción en ≤5 días</t>
  </si>
  <si>
    <t>L4. % casos críticos resueltos dentro del SLA</t>
  </si>
  <si>
    <t>L5. Llamadas proactivas de CSM en el mes</t>
  </si>
  <si>
    <t>L6. Promotores contactados para referencia</t>
  </si>
  <si>
    <t>WIG</t>
  </si>
  <si>
    <t>Lead</t>
  </si>
  <si>
    <t>Compromiso</t>
  </si>
  <si>
    <t>Responsable</t>
  </si>
  <si>
    <t>Cómo usar este tablero 4DX</t>
  </si>
  <si>
    <t>RITUAL DEL LUNES (antes de la reunión de WIG):</t>
  </si>
  <si>
    <t>1. Cada dueño de WIG abre su pestaña y digita en las celdas AZULES de la semana: el resultado real del lag (columna "Real") y el real de cada lead measure (columnas "Real" bajo cada lead, a la derecha).</t>
  </si>
  <si>
    <t>2. Finanzas digita el NAT del mes en el Dashboard (columna "NAT real") cuando cierre el mes.</t>
  </si>
  <si>
    <t>3. El Dashboard se actualiza solo, y el marcador del televisor se refresca arrastrando este archivo a la pantalla.</t>
  </si>
  <si>
    <t>4. Suban el archivo actualizado a Claude cada lunes y pidan el marcador semanal para la reunión de cadencia.</t>
  </si>
  <si>
    <t>LEAD MEASURES (hasta 8 por WIG):</t>
  </si>
  <si>
    <t>• Cada WIG tiene hasta 8 indicadores predictivos en columnas a la derecha: el nombre (fila 8) y la meta semanal/mensual (fila 9) son editables en azul.</t>
  </si>
  <si>
    <t>• Los leads L1 y L2 son la apuesta principal: ahí el equipo rinde cuentas con compromisos semanales. L3–L8 son indicadores de apoyo que explican el resultado.</t>
  </si>
  <si>
    <t>• El % de cada lead se calcula automáticamente contra su meta. Dejar la meta vacía desactiva el lead ("(Disponible)").</t>
  </si>
  <si>
    <t>• Definan todos los leads en positivo (más = mejor) para que el % se lea igual en todos.</t>
  </si>
  <si>
    <t>COMPROMISOS SEMANALES (pestaña "Compromisos"):</t>
  </si>
  <si>
    <t>• En la cadencia, cada quien registra sus compromisos de la semana: fecha (Semana), número de WIG (1–9), número de lead (1–8), el compromiso, el responsable y el estado (Pendiente / Hecho).</t>
  </si>
  <si>
    <t>• En el marcador del televisor, al tocar un lead se abre su detalle con la historia del indicador y sus compromisos.</t>
  </si>
  <si>
    <t>• Texto AZUL = celdas de entrada. Texto NEGRO = fórmulas (no tocar). Texto VERDE = vínculos entre pestañas.</t>
  </si>
  <si>
    <t>• Fondo AMARILLO = supuestos pendientes de definir (dueños, metas "X" de los WIGs 2 y 9).</t>
  </si>
  <si>
    <t>• Estado: En meta ≥ 95% del plan · Riesgo 80–95% · Atrasado &lt; 80%.</t>
  </si>
  <si>
    <t>PRINCIPIO 4DX:</t>
  </si>
  <si>
    <t>Las lead measures son predictivas e influenciables por el equipo; el lag solo se mueve si las leads se cumplen. En la cadencia semanal cada quien rinde cuentas de sus compromisos sobre las leads, no sobre el lag.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</si>
</sst>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5" formatCode="dd\-mmm\-yy"/>
    <numFmt numFmtId="166" formatCode="0.0%"/>
    <numFmt numFmtId="167" formatCode="&quot;$&quot;#,##0"/>
    <numFmt numFmtId="168" formatCode="0.0"/>
  </numFmts>
  <fonts count="16" x14ac:knownFonts="1">
    <font>
      <sz val="11"/>
      <color theme="1"/>
      <name val="Calibri"/>
      <family val="2"/>
      <scheme val="minor"/>
    </font>
    <font>
      <b/>
      <sz val="14"/>
      <color rgb="FF1F3864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color rgb="FF0000FF"/>
      <name val="Arial"/>
      <family val="2"/>
    </font>
    <font>
      <sz val="10"/>
      <color rgb="FF000000"/>
      <name val="Arial"/>
      <family val="2"/>
    </font>
    <font>
      <i/>
      <sz val="9"/>
      <color rgb="FF808080"/>
      <name val="Arial"/>
      <family val="2"/>
    </font>
    <font>
      <b/>
      <sz val="10"/>
      <color rgb="FFFFFFFF"/>
      <name val="Arial"/>
      <family val="2"/>
    </font>
    <font>
      <sz val="9"/>
      <color rgb="FF0000FF"/>
      <name val="Arial"/>
      <family val="2"/>
    </font>
    <font>
      <b/>
      <sz val="9"/>
      <color rgb="FFFFFFFF"/>
      <name val="Arial"/>
      <family val="2"/>
    </font>
    <font>
      <sz val="9"/>
      <name val="Arial"/>
      <family val="2"/>
    </font>
    <font>
      <b/>
      <sz val="16"/>
      <color rgb="FF1F3864"/>
      <name val="Arial"/>
      <family val="2"/>
    </font>
    <font>
      <b/>
      <sz val="11"/>
      <name val="Arial"/>
      <family val="2"/>
    </font>
    <font>
      <b/>
      <sz val="12"/>
      <color rgb="FF1F3864"/>
      <name val="Arial"/>
      <family val="2"/>
    </font>
    <font>
      <sz val="10"/>
      <color rgb="FF008000"/>
      <name val="Arial"/>
      <family val="2"/>
    </font>
    <font>
      <u/>
      <sz val="10"/>
      <color rgb="FF0563C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1F3864"/>
      </patternFill>
    </fill>
    <fill>
      <patternFill patternType="solid">
        <fgColor rgb="FFF2F2F2"/>
      </patternFill>
    </fill>
    <fill>
      <patternFill patternType="solid">
        <fgColor rgb="FF2E549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80">
    <xf numFmtId="0" fontId="0" fillId="0" borderId="0" xfId="0"/>
    <xf numFmtId="0" fontId="2" fillId="0" borderId="0" xfId="0" applyFont="1"/>
    <xf numFmtId="167" fontId="4" fillId="2" borderId="0" xfId="0" applyNumberFormat="1" applyFont="1" applyFill="1"/>
    <xf numFmtId="0" fontId="7" fillId="3" borderId="1" xfId="0" applyFont="1" applyFill="1" applyBorder="1" applyAlignment="1">
      <alignment horizontal="center" vertical="center"/>
    </xf>
    <xf numFmtId="17" fontId="5" fillId="0" borderId="1" xfId="0" applyNumberFormat="1" applyFont="1" applyBorder="1"/>
    <xf numFmtId="167" fontId="0" fillId="0" borderId="1" xfId="0" applyNumberFormat="1" applyBorder="1"/>
    <xf numFmtId="167" fontId="4" fillId="0" borderId="1" xfId="0" applyNumberFormat="1" applyFont="1" applyBorder="1"/>
    <xf numFmtId="166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7" fontId="5" fillId="4" borderId="1" xfId="0" applyNumberFormat="1" applyFont="1" applyFill="1" applyBorder="1"/>
    <xf numFmtId="167" fontId="0" fillId="4" borderId="1" xfId="0" applyNumberFormat="1" applyFill="1" applyBorder="1"/>
    <xf numFmtId="166" fontId="0" fillId="4" borderId="1" xfId="0" applyNumberForma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13" fillId="0" borderId="0" xfId="0" applyFont="1"/>
    <xf numFmtId="0" fontId="5" fillId="0" borderId="1" xfId="0" applyFont="1" applyBorder="1"/>
    <xf numFmtId="0" fontId="5" fillId="0" borderId="1" xfId="0" applyFont="1" applyBorder="1" applyAlignment="1">
      <alignment vertical="top" wrapText="1"/>
    </xf>
    <xf numFmtId="0" fontId="14" fillId="0" borderId="1" xfId="0" applyFont="1" applyBorder="1"/>
    <xf numFmtId="0" fontId="3" fillId="0" borderId="1" xfId="0" applyFont="1" applyBorder="1" applyAlignment="1">
      <alignment vertical="top" wrapText="1"/>
    </xf>
    <xf numFmtId="3" fontId="14" fillId="0" borderId="1" xfId="0" applyNumberFormat="1" applyFont="1" applyBorder="1"/>
    <xf numFmtId="0" fontId="14" fillId="0" borderId="1" xfId="0" applyFont="1" applyBorder="1" applyAlignment="1">
      <alignment horizontal="center" vertical="center"/>
    </xf>
    <xf numFmtId="0" fontId="15" fillId="0" borderId="1" xfId="0" applyFont="1" applyBorder="1"/>
    <xf numFmtId="0" fontId="5" fillId="4" borderId="1" xfId="0" applyFont="1" applyFill="1" applyBorder="1"/>
    <xf numFmtId="0" fontId="5" fillId="4" borderId="1" xfId="0" applyFont="1" applyFill="1" applyBorder="1" applyAlignment="1">
      <alignment vertical="top" wrapText="1"/>
    </xf>
    <xf numFmtId="0" fontId="14" fillId="4" borderId="1" xfId="0" applyFont="1" applyFill="1" applyBorder="1"/>
    <xf numFmtId="0" fontId="3" fillId="4" borderId="1" xfId="0" applyFont="1" applyFill="1" applyBorder="1" applyAlignment="1">
      <alignment vertical="top" wrapText="1"/>
    </xf>
    <xf numFmtId="167" fontId="14" fillId="4" borderId="1" xfId="0" applyNumberFormat="1" applyFont="1" applyFill="1" applyBorder="1"/>
    <xf numFmtId="0" fontId="14" fillId="4" borderId="1" xfId="0" applyFont="1" applyFill="1" applyBorder="1" applyAlignment="1">
      <alignment horizontal="center" vertical="center"/>
    </xf>
    <xf numFmtId="0" fontId="15" fillId="4" borderId="1" xfId="0" applyFont="1" applyFill="1" applyBorder="1"/>
    <xf numFmtId="166" fontId="14" fillId="4" borderId="1" xfId="0" applyNumberFormat="1" applyFont="1" applyFill="1" applyBorder="1"/>
    <xf numFmtId="167" fontId="14" fillId="0" borderId="1" xfId="0" applyNumberFormat="1" applyFont="1" applyBorder="1"/>
    <xf numFmtId="3" fontId="14" fillId="4" borderId="1" xfId="0" applyNumberFormat="1" applyFont="1" applyFill="1" applyBorder="1"/>
    <xf numFmtId="168" fontId="14" fillId="0" borderId="1" xfId="0" applyNumberFormat="1" applyFont="1" applyBorder="1"/>
    <xf numFmtId="0" fontId="3" fillId="0" borderId="0" xfId="0" applyFont="1"/>
    <xf numFmtId="0" fontId="4" fillId="2" borderId="0" xfId="0" applyFont="1" applyFill="1"/>
    <xf numFmtId="3" fontId="4" fillId="0" borderId="0" xfId="0" applyNumberFormat="1" applyFont="1"/>
    <xf numFmtId="165" fontId="4" fillId="0" borderId="0" xfId="0" applyNumberFormat="1" applyFont="1"/>
    <xf numFmtId="0" fontId="5" fillId="0" borderId="0" xfId="0" applyFont="1"/>
    <xf numFmtId="0" fontId="2" fillId="0" borderId="0" xfId="0" applyFont="1" applyAlignment="1">
      <alignment horizontal="right" vertical="center"/>
    </xf>
    <xf numFmtId="0" fontId="6" fillId="0" borderId="0" xfId="0" applyFont="1"/>
    <xf numFmtId="0" fontId="9" fillId="5" borderId="1" xfId="0" applyFont="1" applyFill="1" applyBorder="1" applyAlignment="1">
      <alignment horizontal="center" vertical="center"/>
    </xf>
    <xf numFmtId="165" fontId="5" fillId="0" borderId="1" xfId="0" applyNumberFormat="1" applyFont="1" applyBorder="1"/>
    <xf numFmtId="3" fontId="5" fillId="0" borderId="1" xfId="0" applyNumberFormat="1" applyFont="1" applyBorder="1"/>
    <xf numFmtId="0" fontId="4" fillId="0" borderId="1" xfId="0" applyFont="1" applyBorder="1"/>
    <xf numFmtId="166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3" fontId="8" fillId="0" borderId="1" xfId="0" applyNumberFormat="1" applyFont="1" applyBorder="1" applyAlignment="1">
      <alignment horizontal="center" vertical="center"/>
    </xf>
    <xf numFmtId="9" fontId="10" fillId="0" borderId="1" xfId="0" applyNumberFormat="1" applyFont="1" applyBorder="1" applyAlignment="1">
      <alignment horizontal="center" vertical="center"/>
    </xf>
    <xf numFmtId="166" fontId="8" fillId="0" borderId="1" xfId="0" applyNumberFormat="1" applyFont="1" applyBorder="1" applyAlignment="1">
      <alignment horizontal="center" vertical="center"/>
    </xf>
    <xf numFmtId="165" fontId="5" fillId="4" borderId="1" xfId="0" applyNumberFormat="1" applyFont="1" applyFill="1" applyBorder="1"/>
    <xf numFmtId="3" fontId="5" fillId="4" borderId="1" xfId="0" applyNumberFormat="1" applyFont="1" applyFill="1" applyBorder="1"/>
    <xf numFmtId="166" fontId="5" fillId="4" borderId="1" xfId="0" applyNumberFormat="1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9" fontId="10" fillId="4" borderId="1" xfId="0" applyNumberFormat="1" applyFont="1" applyFill="1" applyBorder="1" applyAlignment="1">
      <alignment horizontal="center" vertical="center"/>
    </xf>
    <xf numFmtId="167" fontId="5" fillId="0" borderId="1" xfId="0" applyNumberFormat="1" applyFont="1" applyBorder="1"/>
    <xf numFmtId="167" fontId="5" fillId="4" borderId="1" xfId="0" applyNumberFormat="1" applyFont="1" applyFill="1" applyBorder="1"/>
    <xf numFmtId="166" fontId="4" fillId="0" borderId="0" xfId="0" applyNumberFormat="1" applyFont="1"/>
    <xf numFmtId="166" fontId="5" fillId="0" borderId="1" xfId="0" applyNumberFormat="1" applyFont="1" applyBorder="1"/>
    <xf numFmtId="166" fontId="5" fillId="4" borderId="1" xfId="0" applyNumberFormat="1" applyFont="1" applyFill="1" applyBorder="1"/>
    <xf numFmtId="167" fontId="4" fillId="0" borderId="0" xfId="0" applyNumberFormat="1" applyFont="1"/>
    <xf numFmtId="3" fontId="5" fillId="0" borderId="1" xfId="0" applyNumberFormat="1" applyFont="1" applyBorder="1" applyAlignment="1">
      <alignment horizontal="center" vertical="center"/>
    </xf>
    <xf numFmtId="3" fontId="5" fillId="4" borderId="1" xfId="0" applyNumberFormat="1" applyFont="1" applyFill="1" applyBorder="1" applyAlignment="1">
      <alignment horizontal="center" vertical="center"/>
    </xf>
    <xf numFmtId="168" fontId="4" fillId="2" borderId="0" xfId="0" applyNumberFormat="1" applyFont="1" applyFill="1"/>
    <xf numFmtId="168" fontId="5" fillId="0" borderId="1" xfId="0" applyNumberFormat="1" applyFont="1" applyBorder="1"/>
    <xf numFmtId="168" fontId="5" fillId="0" borderId="1" xfId="0" applyNumberFormat="1" applyFont="1" applyBorder="1" applyAlignment="1">
      <alignment horizontal="center" vertical="center"/>
    </xf>
    <xf numFmtId="168" fontId="5" fillId="4" borderId="1" xfId="0" applyNumberFormat="1" applyFont="1" applyFill="1" applyBorder="1"/>
    <xf numFmtId="168" fontId="5" fillId="4" borderId="1" xfId="0" applyNumberFormat="1" applyFont="1" applyFill="1" applyBorder="1" applyAlignment="1">
      <alignment horizontal="center" vertical="center"/>
    </xf>
    <xf numFmtId="165" fontId="4" fillId="0" borderId="1" xfId="0" applyNumberFormat="1" applyFont="1" applyBorder="1"/>
    <xf numFmtId="0" fontId="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vertical="top" wrapText="1"/>
    </xf>
    <xf numFmtId="0" fontId="1" fillId="0" borderId="0" xfId="0" applyFont="1" applyAlignment="1">
      <alignment vertical="top" wrapText="1"/>
    </xf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12" fillId="0" borderId="0" xfId="0" applyFont="1"/>
    <xf numFmtId="0" fontId="0" fillId="0" borderId="0" xfId="0"/>
    <xf numFmtId="0" fontId="11" fillId="0" borderId="0" xfId="0" applyFont="1"/>
    <xf numFmtId="0" fontId="8" fillId="4" borderId="1" xfId="0" applyFont="1" applyFill="1" applyBorder="1" applyAlignment="1">
      <alignment horizontal="center" vertical="center" wrapText="1"/>
    </xf>
    <xf numFmtId="0" fontId="0" fillId="0" borderId="1" xfId="0" applyBorder="1"/>
    <xf numFmtId="166" fontId="4" fillId="0" borderId="1" xfId="0" applyNumberFormat="1" applyFont="1" applyBorder="1" applyAlignment="1">
      <alignment horizontal="center" vertical="center"/>
    </xf>
    <xf numFmtId="3" fontId="4" fillId="0" borderId="1" xfId="0" applyNumberFormat="1" applyFont="1" applyBorder="1" applyAlignment="1">
      <alignment horizontal="center" vertical="center"/>
    </xf>
    <xf numFmtId="0" fontId="1" fillId="0" borderId="0" xfId="0" applyFont="1"/>
  </cellXfs>
  <cellStyles count="1">
    <cellStyle name="Normal" xfId="0" builtinId="0"/>
  </cellStyles>
  <dxfs count="35">
    <dxf>
      <font>
        <color rgb="FF9C6500"/>
        <name val="Arial"/>
      </font>
      <fill>
        <patternFill patternType="solid">
          <fgColor rgb="FFFFEB9C"/>
        </patternFill>
      </fill>
    </dxf>
    <dxf>
      <font>
        <color rgb="FF006100"/>
        <name val="Arial"/>
      </font>
      <fill>
        <patternFill patternType="solid">
          <fgColor rgb="FFC6EFCE"/>
        </patternFill>
      </fill>
    </dxf>
    <dxf>
      <font>
        <color rgb="FF9C0006"/>
        <name val="Arial"/>
      </font>
      <fill>
        <patternFill patternType="solid">
          <fgColor rgb="FFFFC7CE"/>
        </patternFill>
      </fill>
    </dxf>
    <dxf>
      <font>
        <color rgb="FF9C6500"/>
        <name val="Arial"/>
      </font>
      <fill>
        <patternFill patternType="solid">
          <fgColor rgb="FFFFEB9C"/>
        </patternFill>
      </fill>
    </dxf>
    <dxf>
      <font>
        <color rgb="FF006100"/>
        <name val="Arial"/>
      </font>
      <fill>
        <patternFill patternType="solid">
          <fgColor rgb="FFC6EFCE"/>
        </patternFill>
      </fill>
    </dxf>
    <dxf>
      <font>
        <color rgb="FF9C0006"/>
        <name val="Arial"/>
      </font>
      <fill>
        <patternFill patternType="solid">
          <fgColor rgb="FFFFC7CE"/>
        </patternFill>
      </fill>
    </dxf>
    <dxf>
      <font>
        <color rgb="FF9C6500"/>
        <name val="Arial"/>
      </font>
      <fill>
        <patternFill patternType="solid">
          <fgColor rgb="FFFFEB9C"/>
        </patternFill>
      </fill>
    </dxf>
    <dxf>
      <font>
        <color rgb="FF006100"/>
        <name val="Arial"/>
      </font>
      <fill>
        <patternFill patternType="solid">
          <fgColor rgb="FFC6EFCE"/>
        </patternFill>
      </fill>
    </dxf>
    <dxf>
      <font>
        <color rgb="FF9C0006"/>
        <name val="Arial"/>
      </font>
      <fill>
        <patternFill patternType="solid">
          <fgColor rgb="FFFFC7CE"/>
        </patternFill>
      </fill>
    </dxf>
    <dxf>
      <font>
        <color rgb="FF9C6500"/>
        <name val="Arial"/>
      </font>
      <fill>
        <patternFill patternType="solid">
          <fgColor rgb="FFFFEB9C"/>
        </patternFill>
      </fill>
    </dxf>
    <dxf>
      <font>
        <color rgb="FF006100"/>
        <name val="Arial"/>
      </font>
      <fill>
        <patternFill patternType="solid">
          <fgColor rgb="FFC6EFCE"/>
        </patternFill>
      </fill>
    </dxf>
    <dxf>
      <font>
        <color rgb="FF9C0006"/>
        <name val="Arial"/>
      </font>
      <fill>
        <patternFill patternType="solid">
          <fgColor rgb="FFFFC7CE"/>
        </patternFill>
      </fill>
    </dxf>
    <dxf>
      <font>
        <color rgb="FF9C6500"/>
        <name val="Arial"/>
      </font>
      <fill>
        <patternFill patternType="solid">
          <fgColor rgb="FFFFEB9C"/>
        </patternFill>
      </fill>
    </dxf>
    <dxf>
      <font>
        <color rgb="FF006100"/>
        <name val="Arial"/>
      </font>
      <fill>
        <patternFill patternType="solid">
          <fgColor rgb="FFC6EFCE"/>
        </patternFill>
      </fill>
    </dxf>
    <dxf>
      <font>
        <color rgb="FF9C0006"/>
        <name val="Arial"/>
      </font>
      <fill>
        <patternFill patternType="solid">
          <fgColor rgb="FFFFC7CE"/>
        </patternFill>
      </fill>
    </dxf>
    <dxf>
      <font>
        <color rgb="FF9C6500"/>
        <name val="Arial"/>
      </font>
      <fill>
        <patternFill patternType="solid">
          <fgColor rgb="FFFFEB9C"/>
        </patternFill>
      </fill>
    </dxf>
    <dxf>
      <font>
        <color rgb="FF006100"/>
        <name val="Arial"/>
      </font>
      <fill>
        <patternFill patternType="solid">
          <fgColor rgb="FFC6EFCE"/>
        </patternFill>
      </fill>
    </dxf>
    <dxf>
      <font>
        <color rgb="FF9C0006"/>
        <name val="Arial"/>
      </font>
      <fill>
        <patternFill patternType="solid">
          <fgColor rgb="FFFFC7CE"/>
        </patternFill>
      </fill>
    </dxf>
    <dxf>
      <font>
        <color rgb="FF9C6500"/>
        <name val="Arial"/>
      </font>
      <fill>
        <patternFill patternType="solid">
          <fgColor rgb="FFFFEB9C"/>
        </patternFill>
      </fill>
    </dxf>
    <dxf>
      <font>
        <color rgb="FF006100"/>
        <name val="Arial"/>
      </font>
      <fill>
        <patternFill patternType="solid">
          <fgColor rgb="FFC6EFCE"/>
        </patternFill>
      </fill>
    </dxf>
    <dxf>
      <font>
        <color rgb="FF9C0006"/>
        <name val="Arial"/>
      </font>
      <fill>
        <patternFill patternType="solid">
          <fgColor rgb="FFFFC7CE"/>
        </patternFill>
      </fill>
    </dxf>
    <dxf>
      <font>
        <color rgb="FF9C6500"/>
        <name val="Arial"/>
      </font>
      <fill>
        <patternFill patternType="solid">
          <fgColor rgb="FFFFEB9C"/>
        </patternFill>
      </fill>
    </dxf>
    <dxf>
      <font>
        <color rgb="FF006100"/>
        <name val="Arial"/>
      </font>
      <fill>
        <patternFill patternType="solid">
          <fgColor rgb="FFC6EFCE"/>
        </patternFill>
      </fill>
    </dxf>
    <dxf>
      <font>
        <color rgb="FF9C0006"/>
        <name val="Arial"/>
      </font>
      <fill>
        <patternFill patternType="solid">
          <fgColor rgb="FFFFC7CE"/>
        </patternFill>
      </fill>
    </dxf>
    <dxf>
      <font>
        <color rgb="FF9C6500"/>
        <name val="Arial"/>
      </font>
      <fill>
        <patternFill patternType="solid">
          <fgColor rgb="FFFFEB9C"/>
        </patternFill>
      </fill>
    </dxf>
    <dxf>
      <font>
        <color rgb="FF006100"/>
        <name val="Arial"/>
      </font>
      <fill>
        <patternFill patternType="solid">
          <fgColor rgb="FFC6EFCE"/>
        </patternFill>
      </fill>
    </dxf>
    <dxf>
      <font>
        <color rgb="FF9C0006"/>
        <name val="Arial"/>
      </font>
      <fill>
        <patternFill patternType="solid">
          <fgColor rgb="FFFFC7CE"/>
        </patternFill>
      </fill>
    </dxf>
    <dxf>
      <font>
        <color rgb="FF9C6500"/>
        <name val="Arial"/>
      </font>
      <fill>
        <patternFill patternType="solid">
          <fgColor rgb="FFFFEB9C"/>
        </patternFill>
      </fill>
    </dxf>
    <dxf>
      <font>
        <color rgb="FF006100"/>
        <name val="Arial"/>
      </font>
      <fill>
        <patternFill patternType="solid">
          <fgColor rgb="FFC6EFCE"/>
        </patternFill>
      </fill>
    </dxf>
    <dxf>
      <font>
        <color rgb="FF9C0006"/>
        <name val="Arial"/>
      </font>
      <fill>
        <patternFill patternType="solid">
          <fgColor rgb="FFFFC7CE"/>
        </patternFill>
      </fill>
    </dxf>
    <dxf>
      <font>
        <color rgb="FF9C6500"/>
        <name val="Arial"/>
      </font>
      <fill>
        <patternFill patternType="solid">
          <fgColor rgb="FFFFEB9C"/>
        </patternFill>
      </fill>
    </dxf>
    <dxf>
      <font>
        <color rgb="FF006100"/>
        <name val="Arial"/>
      </font>
      <fill>
        <patternFill patternType="solid">
          <fgColor rgb="FFC6EFCE"/>
        </patternFill>
      </fill>
    </dxf>
    <dxf>
      <font>
        <color rgb="FF9C0006"/>
        <name val="Arial"/>
      </font>
      <fill>
        <patternFill patternType="solid">
          <fgColor rgb="FFFFC7CE"/>
        </patternFill>
      </fill>
    </dxf>
    <dxf>
      <font>
        <color rgb="FF9C6500"/>
        <name val="Arial"/>
      </font>
      <fill>
        <patternFill patternType="solid">
          <fgColor rgb="FFFFEB9C"/>
        </patternFill>
      </fill>
    </dxf>
    <dxf>
      <font>
        <color rgb="FF006100"/>
        <name val="Arial"/>
      </font>
      <fill>
        <patternFill patternType="solid">
          <f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2"/>
  <c:chart>
    <c:title>
      <c:tx>
        <c:rich>
          <a:bodyPr/>
          <a:lstStyle/>
          <a:p>
            <a:pPr>
              <a:defRPr/>
            </a:pPr>
            <a:r>
              <a:rPr lang="en-US"/>
              <a:t>NAT 2027 — Meta vs Real (acumulado)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Dashboard!$D$6</c:f>
              <c:strCache>
                <c:ptCount val="1"/>
                <c:pt idx="0">
                  <c:v>Meta acum.</c:v>
                </c:pt>
              </c:strCache>
            </c:strRef>
          </c:tx>
          <c:spPr>
            <a:ln>
              <a:solidFill>
                <a:srgbClr val="A6A6A6"/>
              </a:solidFill>
              <a:prstDash val="dash"/>
            </a:ln>
          </c:spPr>
          <c:marker>
            <c:symbol val="none"/>
          </c:marker>
          <c:cat>
            <c:numRef>
              <c:f>Dashboard!$A$7:$A$18</c:f>
              <c:numCache>
                <c:formatCode>mmm\-yy</c:formatCode>
                <c:ptCount val="12"/>
                <c:pt idx="0">
                  <c:v>46388</c:v>
                </c:pt>
                <c:pt idx="1">
                  <c:v>46419</c:v>
                </c:pt>
                <c:pt idx="2">
                  <c:v>46447</c:v>
                </c:pt>
                <c:pt idx="3">
                  <c:v>46478</c:v>
                </c:pt>
                <c:pt idx="4">
                  <c:v>46508</c:v>
                </c:pt>
                <c:pt idx="5">
                  <c:v>46539</c:v>
                </c:pt>
                <c:pt idx="6">
                  <c:v>46569</c:v>
                </c:pt>
                <c:pt idx="7">
                  <c:v>46600</c:v>
                </c:pt>
                <c:pt idx="8">
                  <c:v>46631</c:v>
                </c:pt>
                <c:pt idx="9">
                  <c:v>46661</c:v>
                </c:pt>
                <c:pt idx="10">
                  <c:v>46692</c:v>
                </c:pt>
                <c:pt idx="11">
                  <c:v>46722</c:v>
                </c:pt>
              </c:numCache>
            </c:numRef>
          </c:cat>
          <c:val>
            <c:numRef>
              <c:f>Dashboard!$D$7:$D$18</c:f>
              <c:numCache>
                <c:formatCode>"$"#,##0</c:formatCode>
                <c:ptCount val="12"/>
                <c:pt idx="0">
                  <c:v>83333.333333333328</c:v>
                </c:pt>
                <c:pt idx="1">
                  <c:v>166666.66666666666</c:v>
                </c:pt>
                <c:pt idx="2">
                  <c:v>250000</c:v>
                </c:pt>
                <c:pt idx="3">
                  <c:v>333333.33333333331</c:v>
                </c:pt>
                <c:pt idx="4">
                  <c:v>416666.66666666663</c:v>
                </c:pt>
                <c:pt idx="5">
                  <c:v>499999.99999999994</c:v>
                </c:pt>
                <c:pt idx="6">
                  <c:v>583333.33333333326</c:v>
                </c:pt>
                <c:pt idx="7">
                  <c:v>666666.66666666663</c:v>
                </c:pt>
                <c:pt idx="8">
                  <c:v>750000</c:v>
                </c:pt>
                <c:pt idx="9">
                  <c:v>833333.33333333337</c:v>
                </c:pt>
                <c:pt idx="10">
                  <c:v>916666.66666666674</c:v>
                </c:pt>
                <c:pt idx="11">
                  <c:v>1000000.0000000001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980-284E-A629-E1D318FBC75A}"/>
            </c:ext>
          </c:extLst>
        </c:ser>
        <c:ser>
          <c:idx val="1"/>
          <c:order val="1"/>
          <c:tx>
            <c:strRef>
              <c:f>Dashboard!$E$6</c:f>
              <c:strCache>
                <c:ptCount val="1"/>
                <c:pt idx="0">
                  <c:v>Real acum.</c:v>
                </c:pt>
              </c:strCache>
            </c:strRef>
          </c:tx>
          <c:spPr>
            <a:ln w="28000">
              <a:solidFill>
                <a:srgbClr val="2E75B6"/>
              </a:solidFill>
              <a:prstDash val="solid"/>
            </a:ln>
          </c:spPr>
          <c:marker>
            <c:symbol val="none"/>
          </c:marker>
          <c:cat>
            <c:numRef>
              <c:f>Dashboard!$A$7:$A$18</c:f>
              <c:numCache>
                <c:formatCode>mmm\-yy</c:formatCode>
                <c:ptCount val="12"/>
                <c:pt idx="0">
                  <c:v>46388</c:v>
                </c:pt>
                <c:pt idx="1">
                  <c:v>46419</c:v>
                </c:pt>
                <c:pt idx="2">
                  <c:v>46447</c:v>
                </c:pt>
                <c:pt idx="3">
                  <c:v>46478</c:v>
                </c:pt>
                <c:pt idx="4">
                  <c:v>46508</c:v>
                </c:pt>
                <c:pt idx="5">
                  <c:v>46539</c:v>
                </c:pt>
                <c:pt idx="6">
                  <c:v>46569</c:v>
                </c:pt>
                <c:pt idx="7">
                  <c:v>46600</c:v>
                </c:pt>
                <c:pt idx="8">
                  <c:v>46631</c:v>
                </c:pt>
                <c:pt idx="9">
                  <c:v>46661</c:v>
                </c:pt>
                <c:pt idx="10">
                  <c:v>46692</c:v>
                </c:pt>
                <c:pt idx="11">
                  <c:v>46722</c:v>
                </c:pt>
              </c:numCache>
            </c:numRef>
          </c:cat>
          <c:val>
            <c:numRef>
              <c:f>Dashboard!$E$7:$E$18</c:f>
              <c:numCache>
                <c:formatCode>"$"#,##0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980-284E-A629-E1D318FBC7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numFmt formatCode="mmm\-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months"/>
      </c:dateAx>
      <c:valAx>
        <c:axId val="100"/>
        <c:scaling>
          <c:orientation val="minMax"/>
        </c:scaling>
        <c:delete val="1"/>
        <c:axPos val="l"/>
        <c:majorGridlines/>
        <c:numFmt formatCode="&quot;$&quot;#,##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2"/>
  <c:chart>
    <c:title>
      <c:tx>
        <c:rich>
          <a:bodyPr/>
          <a:lstStyle/>
          <a:p>
            <a:pPr>
              <a:defRPr/>
            </a:pPr>
            <a:r>
              <a:t>Marcador: Meta vs Real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'1. Smart User 500'!$E$10</c:f>
              <c:strCache>
                <c:ptCount val="1"/>
                <c:pt idx="0">
                  <c:v>Meta acum.</c:v>
                </c:pt>
              </c:strCache>
            </c:strRef>
          </c:tx>
          <c:spPr>
            <a:ln>
              <a:solidFill>
                <a:srgbClr val="A6A6A6"/>
              </a:solidFill>
              <a:prstDash val="dash"/>
            </a:ln>
          </c:spPr>
          <c:marker>
            <c:symbol val="none"/>
          </c:marker>
          <c:cat>
            <c:numRef>
              <c:f>'1. Smart User 500'!$B$11:$B$39</c:f>
              <c:numCache>
                <c:formatCode>dd\-mmm\-yy</c:formatCode>
                <c:ptCount val="29"/>
                <c:pt idx="0">
                  <c:v>46188</c:v>
                </c:pt>
                <c:pt idx="1">
                  <c:v>46195</c:v>
                </c:pt>
                <c:pt idx="2">
                  <c:v>46202</c:v>
                </c:pt>
                <c:pt idx="3">
                  <c:v>46209</c:v>
                </c:pt>
                <c:pt idx="4">
                  <c:v>46216</c:v>
                </c:pt>
                <c:pt idx="5">
                  <c:v>46223</c:v>
                </c:pt>
                <c:pt idx="6">
                  <c:v>46230</c:v>
                </c:pt>
                <c:pt idx="7">
                  <c:v>46237</c:v>
                </c:pt>
                <c:pt idx="8">
                  <c:v>46244</c:v>
                </c:pt>
                <c:pt idx="9">
                  <c:v>46251</c:v>
                </c:pt>
                <c:pt idx="10">
                  <c:v>46258</c:v>
                </c:pt>
                <c:pt idx="11">
                  <c:v>46265</c:v>
                </c:pt>
                <c:pt idx="12">
                  <c:v>46272</c:v>
                </c:pt>
                <c:pt idx="13">
                  <c:v>46279</c:v>
                </c:pt>
                <c:pt idx="14">
                  <c:v>46286</c:v>
                </c:pt>
                <c:pt idx="15">
                  <c:v>46293</c:v>
                </c:pt>
                <c:pt idx="16">
                  <c:v>46300</c:v>
                </c:pt>
                <c:pt idx="17">
                  <c:v>46307</c:v>
                </c:pt>
                <c:pt idx="18">
                  <c:v>46314</c:v>
                </c:pt>
                <c:pt idx="19">
                  <c:v>46321</c:v>
                </c:pt>
                <c:pt idx="20">
                  <c:v>46328</c:v>
                </c:pt>
                <c:pt idx="21">
                  <c:v>46335</c:v>
                </c:pt>
                <c:pt idx="22">
                  <c:v>46342</c:v>
                </c:pt>
                <c:pt idx="23">
                  <c:v>46349</c:v>
                </c:pt>
                <c:pt idx="24">
                  <c:v>46356</c:v>
                </c:pt>
                <c:pt idx="25">
                  <c:v>46363</c:v>
                </c:pt>
                <c:pt idx="26">
                  <c:v>46370</c:v>
                </c:pt>
                <c:pt idx="27">
                  <c:v>46377</c:v>
                </c:pt>
                <c:pt idx="28">
                  <c:v>46384</c:v>
                </c:pt>
              </c:numCache>
            </c:numRef>
          </c:cat>
          <c:val>
            <c:numRef>
              <c:f>'1. Smart User 500'!$E$11:$E$39</c:f>
              <c:numCache>
                <c:formatCode>#,##0</c:formatCode>
                <c:ptCount val="29"/>
                <c:pt idx="0">
                  <c:v>17.241379310344829</c:v>
                </c:pt>
                <c:pt idx="1">
                  <c:v>34.482758620689658</c:v>
                </c:pt>
                <c:pt idx="2">
                  <c:v>51.724137931034491</c:v>
                </c:pt>
                <c:pt idx="3">
                  <c:v>68.965517241379317</c:v>
                </c:pt>
                <c:pt idx="4">
                  <c:v>86.206896551724142</c:v>
                </c:pt>
                <c:pt idx="5">
                  <c:v>103.44827586206897</c:v>
                </c:pt>
                <c:pt idx="6">
                  <c:v>120.68965517241379</c:v>
                </c:pt>
                <c:pt idx="7">
                  <c:v>137.93103448275863</c:v>
                </c:pt>
                <c:pt idx="8">
                  <c:v>155.17241379310346</c:v>
                </c:pt>
                <c:pt idx="9">
                  <c:v>172.41379310344828</c:v>
                </c:pt>
                <c:pt idx="10">
                  <c:v>189.65517241379311</c:v>
                </c:pt>
                <c:pt idx="11">
                  <c:v>206.89655172413794</c:v>
                </c:pt>
                <c:pt idx="12">
                  <c:v>224.13793103448276</c:v>
                </c:pt>
                <c:pt idx="13">
                  <c:v>241.37931034482759</c:v>
                </c:pt>
                <c:pt idx="14">
                  <c:v>258.62068965517244</c:v>
                </c:pt>
                <c:pt idx="15">
                  <c:v>275.86206896551727</c:v>
                </c:pt>
                <c:pt idx="16">
                  <c:v>293.10344827586209</c:v>
                </c:pt>
                <c:pt idx="17">
                  <c:v>310.34482758620692</c:v>
                </c:pt>
                <c:pt idx="18">
                  <c:v>327.58620689655174</c:v>
                </c:pt>
                <c:pt idx="19">
                  <c:v>344.82758620689657</c:v>
                </c:pt>
                <c:pt idx="20">
                  <c:v>362.06896551724139</c:v>
                </c:pt>
                <c:pt idx="21">
                  <c:v>379.31034482758622</c:v>
                </c:pt>
                <c:pt idx="22">
                  <c:v>396.55172413793105</c:v>
                </c:pt>
                <c:pt idx="23">
                  <c:v>413.79310344827587</c:v>
                </c:pt>
                <c:pt idx="24">
                  <c:v>431.0344827586207</c:v>
                </c:pt>
                <c:pt idx="25">
                  <c:v>448.27586206896552</c:v>
                </c:pt>
                <c:pt idx="26">
                  <c:v>465.51724137931035</c:v>
                </c:pt>
                <c:pt idx="27">
                  <c:v>482.75862068965517</c:v>
                </c:pt>
                <c:pt idx="28">
                  <c:v>500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CA2-F041-8798-5F7D07637CA7}"/>
            </c:ext>
          </c:extLst>
        </c:ser>
        <c:ser>
          <c:idx val="1"/>
          <c:order val="1"/>
          <c:tx>
            <c:strRef>
              <c:f>'1. Smart User 500'!$F$10</c:f>
              <c:strCache>
                <c:ptCount val="1"/>
                <c:pt idx="0">
                  <c:v>Real acum.</c:v>
                </c:pt>
              </c:strCache>
            </c:strRef>
          </c:tx>
          <c:spPr>
            <a:ln w="28000">
              <a:solidFill>
                <a:srgbClr val="2E75B6"/>
              </a:solidFill>
              <a:prstDash val="solid"/>
            </a:ln>
          </c:spPr>
          <c:marker>
            <c:symbol val="none"/>
          </c:marker>
          <c:cat>
            <c:numRef>
              <c:f>'1. Smart User 500'!$B$11:$B$39</c:f>
              <c:numCache>
                <c:formatCode>dd\-mmm\-yy</c:formatCode>
                <c:ptCount val="29"/>
                <c:pt idx="0">
                  <c:v>46188</c:v>
                </c:pt>
                <c:pt idx="1">
                  <c:v>46195</c:v>
                </c:pt>
                <c:pt idx="2">
                  <c:v>46202</c:v>
                </c:pt>
                <c:pt idx="3">
                  <c:v>46209</c:v>
                </c:pt>
                <c:pt idx="4">
                  <c:v>46216</c:v>
                </c:pt>
                <c:pt idx="5">
                  <c:v>46223</c:v>
                </c:pt>
                <c:pt idx="6">
                  <c:v>46230</c:v>
                </c:pt>
                <c:pt idx="7">
                  <c:v>46237</c:v>
                </c:pt>
                <c:pt idx="8">
                  <c:v>46244</c:v>
                </c:pt>
                <c:pt idx="9">
                  <c:v>46251</c:v>
                </c:pt>
                <c:pt idx="10">
                  <c:v>46258</c:v>
                </c:pt>
                <c:pt idx="11">
                  <c:v>46265</c:v>
                </c:pt>
                <c:pt idx="12">
                  <c:v>46272</c:v>
                </c:pt>
                <c:pt idx="13">
                  <c:v>46279</c:v>
                </c:pt>
                <c:pt idx="14">
                  <c:v>46286</c:v>
                </c:pt>
                <c:pt idx="15">
                  <c:v>46293</c:v>
                </c:pt>
                <c:pt idx="16">
                  <c:v>46300</c:v>
                </c:pt>
                <c:pt idx="17">
                  <c:v>46307</c:v>
                </c:pt>
                <c:pt idx="18">
                  <c:v>46314</c:v>
                </c:pt>
                <c:pt idx="19">
                  <c:v>46321</c:v>
                </c:pt>
                <c:pt idx="20">
                  <c:v>46328</c:v>
                </c:pt>
                <c:pt idx="21">
                  <c:v>46335</c:v>
                </c:pt>
                <c:pt idx="22">
                  <c:v>46342</c:v>
                </c:pt>
                <c:pt idx="23">
                  <c:v>46349</c:v>
                </c:pt>
                <c:pt idx="24">
                  <c:v>46356</c:v>
                </c:pt>
                <c:pt idx="25">
                  <c:v>46363</c:v>
                </c:pt>
                <c:pt idx="26">
                  <c:v>46370</c:v>
                </c:pt>
                <c:pt idx="27">
                  <c:v>46377</c:v>
                </c:pt>
                <c:pt idx="28">
                  <c:v>46384</c:v>
                </c:pt>
              </c:numCache>
            </c:numRef>
          </c:cat>
          <c:val>
            <c:numRef>
              <c:f>'1. Smart User 500'!$F$11:$F$39</c:f>
              <c:numCache>
                <c:formatCode>#,##0</c:formatCode>
                <c:ptCount val="2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9CA2-F041-8798-5F7D07637C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numFmt formatCode="dd\-mmm\-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majorGridlines/>
        <c:numFmt formatCode="#,##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2"/>
  <c:chart>
    <c:title>
      <c:tx>
        <c:rich>
          <a:bodyPr/>
          <a:lstStyle/>
          <a:p>
            <a:pPr>
              <a:defRPr/>
            </a:pPr>
            <a:r>
              <a:t>Marcador: Meta vs Real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'2. MV Advisory'!$E$10</c:f>
              <c:strCache>
                <c:ptCount val="1"/>
                <c:pt idx="0">
                  <c:v>Meta acum.</c:v>
                </c:pt>
              </c:strCache>
            </c:strRef>
          </c:tx>
          <c:spPr>
            <a:ln>
              <a:solidFill>
                <a:srgbClr val="A6A6A6"/>
              </a:solidFill>
              <a:prstDash val="dash"/>
            </a:ln>
          </c:spPr>
          <c:marker>
            <c:symbol val="none"/>
          </c:marker>
          <c:cat>
            <c:numRef>
              <c:f>'2. MV Advisory'!$B$11:$B$52</c:f>
              <c:numCache>
                <c:formatCode>dd\-mmm\-yy</c:formatCode>
                <c:ptCount val="42"/>
                <c:pt idx="0">
                  <c:v>46188</c:v>
                </c:pt>
                <c:pt idx="1">
                  <c:v>46195</c:v>
                </c:pt>
                <c:pt idx="2">
                  <c:v>46202</c:v>
                </c:pt>
                <c:pt idx="3">
                  <c:v>46209</c:v>
                </c:pt>
                <c:pt idx="4">
                  <c:v>46216</c:v>
                </c:pt>
                <c:pt idx="5">
                  <c:v>46223</c:v>
                </c:pt>
                <c:pt idx="6">
                  <c:v>46230</c:v>
                </c:pt>
                <c:pt idx="7">
                  <c:v>46237</c:v>
                </c:pt>
                <c:pt idx="8">
                  <c:v>46244</c:v>
                </c:pt>
                <c:pt idx="9">
                  <c:v>46251</c:v>
                </c:pt>
                <c:pt idx="10">
                  <c:v>46258</c:v>
                </c:pt>
                <c:pt idx="11">
                  <c:v>46265</c:v>
                </c:pt>
                <c:pt idx="12">
                  <c:v>46272</c:v>
                </c:pt>
                <c:pt idx="13">
                  <c:v>46279</c:v>
                </c:pt>
                <c:pt idx="14">
                  <c:v>46286</c:v>
                </c:pt>
                <c:pt idx="15">
                  <c:v>46293</c:v>
                </c:pt>
                <c:pt idx="16">
                  <c:v>46300</c:v>
                </c:pt>
                <c:pt idx="17">
                  <c:v>46307</c:v>
                </c:pt>
                <c:pt idx="18">
                  <c:v>46314</c:v>
                </c:pt>
                <c:pt idx="19">
                  <c:v>46321</c:v>
                </c:pt>
                <c:pt idx="20">
                  <c:v>46328</c:v>
                </c:pt>
                <c:pt idx="21">
                  <c:v>46335</c:v>
                </c:pt>
                <c:pt idx="22">
                  <c:v>46342</c:v>
                </c:pt>
                <c:pt idx="23">
                  <c:v>46349</c:v>
                </c:pt>
                <c:pt idx="24">
                  <c:v>46356</c:v>
                </c:pt>
                <c:pt idx="25">
                  <c:v>46363</c:v>
                </c:pt>
                <c:pt idx="26">
                  <c:v>46370</c:v>
                </c:pt>
                <c:pt idx="27">
                  <c:v>46377</c:v>
                </c:pt>
                <c:pt idx="28">
                  <c:v>46384</c:v>
                </c:pt>
                <c:pt idx="29">
                  <c:v>46391</c:v>
                </c:pt>
                <c:pt idx="30">
                  <c:v>46398</c:v>
                </c:pt>
                <c:pt idx="31">
                  <c:v>46405</c:v>
                </c:pt>
                <c:pt idx="32">
                  <c:v>46412</c:v>
                </c:pt>
                <c:pt idx="33">
                  <c:v>46419</c:v>
                </c:pt>
                <c:pt idx="34">
                  <c:v>46426</c:v>
                </c:pt>
                <c:pt idx="35">
                  <c:v>46433</c:v>
                </c:pt>
                <c:pt idx="36">
                  <c:v>46440</c:v>
                </c:pt>
                <c:pt idx="37">
                  <c:v>46447</c:v>
                </c:pt>
                <c:pt idx="38">
                  <c:v>46454</c:v>
                </c:pt>
                <c:pt idx="39">
                  <c:v>46461</c:v>
                </c:pt>
                <c:pt idx="40">
                  <c:v>46468</c:v>
                </c:pt>
                <c:pt idx="41">
                  <c:v>46475</c:v>
                </c:pt>
              </c:numCache>
            </c:numRef>
          </c:cat>
          <c:val>
            <c:numRef>
              <c:f>'2. MV Advisory'!$E$11:$E$52</c:f>
              <c:numCache>
                <c:formatCode>"$"#,##0</c:formatCode>
                <c:ptCount val="42"/>
                <c:pt idx="0">
                  <c:v>238.0952380952381</c:v>
                </c:pt>
                <c:pt idx="1">
                  <c:v>476.1904761904762</c:v>
                </c:pt>
                <c:pt idx="2">
                  <c:v>714.28571428571433</c:v>
                </c:pt>
                <c:pt idx="3">
                  <c:v>952.38095238095241</c:v>
                </c:pt>
                <c:pt idx="4">
                  <c:v>1190.4761904761906</c:v>
                </c:pt>
                <c:pt idx="5">
                  <c:v>1428.5714285714287</c:v>
                </c:pt>
                <c:pt idx="6">
                  <c:v>1666.6666666666667</c:v>
                </c:pt>
                <c:pt idx="7">
                  <c:v>1904.7619047619048</c:v>
                </c:pt>
                <c:pt idx="8">
                  <c:v>2142.8571428571431</c:v>
                </c:pt>
                <c:pt idx="9">
                  <c:v>2380.9523809523812</c:v>
                </c:pt>
                <c:pt idx="10">
                  <c:v>2619.0476190476193</c:v>
                </c:pt>
                <c:pt idx="11">
                  <c:v>2857.1428571428573</c:v>
                </c:pt>
                <c:pt idx="12">
                  <c:v>3095.2380952380954</c:v>
                </c:pt>
                <c:pt idx="13">
                  <c:v>3333.3333333333335</c:v>
                </c:pt>
                <c:pt idx="14">
                  <c:v>3571.4285714285716</c:v>
                </c:pt>
                <c:pt idx="15">
                  <c:v>3809.5238095238096</c:v>
                </c:pt>
                <c:pt idx="16">
                  <c:v>4047.6190476190477</c:v>
                </c:pt>
                <c:pt idx="17">
                  <c:v>4285.7142857142862</c:v>
                </c:pt>
                <c:pt idx="18">
                  <c:v>4523.8095238095248</c:v>
                </c:pt>
                <c:pt idx="19">
                  <c:v>4761.9047619047633</c:v>
                </c:pt>
                <c:pt idx="20">
                  <c:v>5000.0000000000018</c:v>
                </c:pt>
                <c:pt idx="21">
                  <c:v>5238.0952380952403</c:v>
                </c:pt>
                <c:pt idx="22">
                  <c:v>5476.1904761904789</c:v>
                </c:pt>
                <c:pt idx="23">
                  <c:v>5714.2857142857174</c:v>
                </c:pt>
                <c:pt idx="24">
                  <c:v>5952.3809523809559</c:v>
                </c:pt>
                <c:pt idx="25">
                  <c:v>6190.4761904761945</c:v>
                </c:pt>
                <c:pt idx="26">
                  <c:v>6428.571428571433</c:v>
                </c:pt>
                <c:pt idx="27">
                  <c:v>6666.6666666666715</c:v>
                </c:pt>
                <c:pt idx="28">
                  <c:v>6904.76190476191</c:v>
                </c:pt>
                <c:pt idx="29">
                  <c:v>7142.8571428571486</c:v>
                </c:pt>
                <c:pt idx="30">
                  <c:v>7380.9523809523871</c:v>
                </c:pt>
                <c:pt idx="31">
                  <c:v>7619.0476190476256</c:v>
                </c:pt>
                <c:pt idx="32">
                  <c:v>7857.1428571428642</c:v>
                </c:pt>
                <c:pt idx="33">
                  <c:v>8095.2380952381027</c:v>
                </c:pt>
                <c:pt idx="34">
                  <c:v>8333.3333333333412</c:v>
                </c:pt>
                <c:pt idx="35">
                  <c:v>8571.4285714285797</c:v>
                </c:pt>
                <c:pt idx="36">
                  <c:v>8809.5238095238183</c:v>
                </c:pt>
                <c:pt idx="37">
                  <c:v>9047.6190476190568</c:v>
                </c:pt>
                <c:pt idx="38">
                  <c:v>9285.7142857142953</c:v>
                </c:pt>
                <c:pt idx="39">
                  <c:v>9523.8095238095339</c:v>
                </c:pt>
                <c:pt idx="40">
                  <c:v>9761.9047619047724</c:v>
                </c:pt>
                <c:pt idx="41">
                  <c:v>10000.000000000011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AFA-FC44-B0B7-E1A1661C7177}"/>
            </c:ext>
          </c:extLst>
        </c:ser>
        <c:ser>
          <c:idx val="1"/>
          <c:order val="1"/>
          <c:tx>
            <c:strRef>
              <c:f>'2. MV Advisory'!$F$10</c:f>
              <c:strCache>
                <c:ptCount val="1"/>
                <c:pt idx="0">
                  <c:v>Real acum.</c:v>
                </c:pt>
              </c:strCache>
            </c:strRef>
          </c:tx>
          <c:spPr>
            <a:ln w="28000">
              <a:solidFill>
                <a:srgbClr val="2E75B6"/>
              </a:solidFill>
              <a:prstDash val="solid"/>
            </a:ln>
          </c:spPr>
          <c:marker>
            <c:symbol val="none"/>
          </c:marker>
          <c:cat>
            <c:numRef>
              <c:f>'2. MV Advisory'!$B$11:$B$52</c:f>
              <c:numCache>
                <c:formatCode>dd\-mmm\-yy</c:formatCode>
                <c:ptCount val="42"/>
                <c:pt idx="0">
                  <c:v>46188</c:v>
                </c:pt>
                <c:pt idx="1">
                  <c:v>46195</c:v>
                </c:pt>
                <c:pt idx="2">
                  <c:v>46202</c:v>
                </c:pt>
                <c:pt idx="3">
                  <c:v>46209</c:v>
                </c:pt>
                <c:pt idx="4">
                  <c:v>46216</c:v>
                </c:pt>
                <c:pt idx="5">
                  <c:v>46223</c:v>
                </c:pt>
                <c:pt idx="6">
                  <c:v>46230</c:v>
                </c:pt>
                <c:pt idx="7">
                  <c:v>46237</c:v>
                </c:pt>
                <c:pt idx="8">
                  <c:v>46244</c:v>
                </c:pt>
                <c:pt idx="9">
                  <c:v>46251</c:v>
                </c:pt>
                <c:pt idx="10">
                  <c:v>46258</c:v>
                </c:pt>
                <c:pt idx="11">
                  <c:v>46265</c:v>
                </c:pt>
                <c:pt idx="12">
                  <c:v>46272</c:v>
                </c:pt>
                <c:pt idx="13">
                  <c:v>46279</c:v>
                </c:pt>
                <c:pt idx="14">
                  <c:v>46286</c:v>
                </c:pt>
                <c:pt idx="15">
                  <c:v>46293</c:v>
                </c:pt>
                <c:pt idx="16">
                  <c:v>46300</c:v>
                </c:pt>
                <c:pt idx="17">
                  <c:v>46307</c:v>
                </c:pt>
                <c:pt idx="18">
                  <c:v>46314</c:v>
                </c:pt>
                <c:pt idx="19">
                  <c:v>46321</c:v>
                </c:pt>
                <c:pt idx="20">
                  <c:v>46328</c:v>
                </c:pt>
                <c:pt idx="21">
                  <c:v>46335</c:v>
                </c:pt>
                <c:pt idx="22">
                  <c:v>46342</c:v>
                </c:pt>
                <c:pt idx="23">
                  <c:v>46349</c:v>
                </c:pt>
                <c:pt idx="24">
                  <c:v>46356</c:v>
                </c:pt>
                <c:pt idx="25">
                  <c:v>46363</c:v>
                </c:pt>
                <c:pt idx="26">
                  <c:v>46370</c:v>
                </c:pt>
                <c:pt idx="27">
                  <c:v>46377</c:v>
                </c:pt>
                <c:pt idx="28">
                  <c:v>46384</c:v>
                </c:pt>
                <c:pt idx="29">
                  <c:v>46391</c:v>
                </c:pt>
                <c:pt idx="30">
                  <c:v>46398</c:v>
                </c:pt>
                <c:pt idx="31">
                  <c:v>46405</c:v>
                </c:pt>
                <c:pt idx="32">
                  <c:v>46412</c:v>
                </c:pt>
                <c:pt idx="33">
                  <c:v>46419</c:v>
                </c:pt>
                <c:pt idx="34">
                  <c:v>46426</c:v>
                </c:pt>
                <c:pt idx="35">
                  <c:v>46433</c:v>
                </c:pt>
                <c:pt idx="36">
                  <c:v>46440</c:v>
                </c:pt>
                <c:pt idx="37">
                  <c:v>46447</c:v>
                </c:pt>
                <c:pt idx="38">
                  <c:v>46454</c:v>
                </c:pt>
                <c:pt idx="39">
                  <c:v>46461</c:v>
                </c:pt>
                <c:pt idx="40">
                  <c:v>46468</c:v>
                </c:pt>
                <c:pt idx="41">
                  <c:v>46475</c:v>
                </c:pt>
              </c:numCache>
            </c:numRef>
          </c:cat>
          <c:val>
            <c:numRef>
              <c:f>'2. MV Advisory'!$F$11:$F$52</c:f>
              <c:numCache>
                <c:formatCode>"$"#,##0</c:formatCode>
                <c:ptCount val="4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AFA-FC44-B0B7-E1A1661C71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numFmt formatCode="dd\-mmm\-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majorGridlines/>
        <c:numFmt formatCode="&quot;$&quot;#,##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2"/>
  <c:chart>
    <c:title>
      <c:tx>
        <c:rich>
          <a:bodyPr/>
          <a:lstStyle/>
          <a:p>
            <a:pPr>
              <a:defRPr/>
            </a:pPr>
            <a:r>
              <a:t>Marcador: Meta vs Real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'3. Negocios +30K GP'!$E$10</c:f>
              <c:strCache>
                <c:ptCount val="1"/>
                <c:pt idx="0">
                  <c:v>Meta acum.</c:v>
                </c:pt>
              </c:strCache>
            </c:strRef>
          </c:tx>
          <c:spPr>
            <a:ln>
              <a:solidFill>
                <a:srgbClr val="A6A6A6"/>
              </a:solidFill>
              <a:prstDash val="dash"/>
            </a:ln>
          </c:spPr>
          <c:marker>
            <c:symbol val="none"/>
          </c:marker>
          <c:cat>
            <c:numRef>
              <c:f>'3. Negocios +30K GP'!$B$11:$B$91</c:f>
              <c:numCache>
                <c:formatCode>dd\-mmm\-yy</c:formatCode>
                <c:ptCount val="81"/>
                <c:pt idx="0">
                  <c:v>46188</c:v>
                </c:pt>
                <c:pt idx="1">
                  <c:v>46195</c:v>
                </c:pt>
                <c:pt idx="2">
                  <c:v>46202</c:v>
                </c:pt>
                <c:pt idx="3">
                  <c:v>46209</c:v>
                </c:pt>
                <c:pt idx="4">
                  <c:v>46216</c:v>
                </c:pt>
                <c:pt idx="5">
                  <c:v>46223</c:v>
                </c:pt>
                <c:pt idx="6">
                  <c:v>46230</c:v>
                </c:pt>
                <c:pt idx="7">
                  <c:v>46237</c:v>
                </c:pt>
                <c:pt idx="8">
                  <c:v>46244</c:v>
                </c:pt>
                <c:pt idx="9">
                  <c:v>46251</c:v>
                </c:pt>
                <c:pt idx="10">
                  <c:v>46258</c:v>
                </c:pt>
                <c:pt idx="11">
                  <c:v>46265</c:v>
                </c:pt>
                <c:pt idx="12">
                  <c:v>46272</c:v>
                </c:pt>
                <c:pt idx="13">
                  <c:v>46279</c:v>
                </c:pt>
                <c:pt idx="14">
                  <c:v>46286</c:v>
                </c:pt>
                <c:pt idx="15">
                  <c:v>46293</c:v>
                </c:pt>
                <c:pt idx="16">
                  <c:v>46300</c:v>
                </c:pt>
                <c:pt idx="17">
                  <c:v>46307</c:v>
                </c:pt>
                <c:pt idx="18">
                  <c:v>46314</c:v>
                </c:pt>
                <c:pt idx="19">
                  <c:v>46321</c:v>
                </c:pt>
                <c:pt idx="20">
                  <c:v>46328</c:v>
                </c:pt>
                <c:pt idx="21">
                  <c:v>46335</c:v>
                </c:pt>
                <c:pt idx="22">
                  <c:v>46342</c:v>
                </c:pt>
                <c:pt idx="23">
                  <c:v>46349</c:v>
                </c:pt>
                <c:pt idx="24">
                  <c:v>46356</c:v>
                </c:pt>
                <c:pt idx="25">
                  <c:v>46363</c:v>
                </c:pt>
                <c:pt idx="26">
                  <c:v>46370</c:v>
                </c:pt>
                <c:pt idx="27">
                  <c:v>46377</c:v>
                </c:pt>
                <c:pt idx="28">
                  <c:v>46384</c:v>
                </c:pt>
                <c:pt idx="29">
                  <c:v>46391</c:v>
                </c:pt>
                <c:pt idx="30">
                  <c:v>46398</c:v>
                </c:pt>
                <c:pt idx="31">
                  <c:v>46405</c:v>
                </c:pt>
                <c:pt idx="32">
                  <c:v>46412</c:v>
                </c:pt>
                <c:pt idx="33">
                  <c:v>46419</c:v>
                </c:pt>
                <c:pt idx="34">
                  <c:v>46426</c:v>
                </c:pt>
                <c:pt idx="35">
                  <c:v>46433</c:v>
                </c:pt>
                <c:pt idx="36">
                  <c:v>46440</c:v>
                </c:pt>
                <c:pt idx="37">
                  <c:v>46447</c:v>
                </c:pt>
                <c:pt idx="38">
                  <c:v>46454</c:v>
                </c:pt>
                <c:pt idx="39">
                  <c:v>46461</c:v>
                </c:pt>
                <c:pt idx="40">
                  <c:v>46468</c:v>
                </c:pt>
                <c:pt idx="41">
                  <c:v>46475</c:v>
                </c:pt>
                <c:pt idx="42">
                  <c:v>46482</c:v>
                </c:pt>
                <c:pt idx="43">
                  <c:v>46489</c:v>
                </c:pt>
                <c:pt idx="44">
                  <c:v>46496</c:v>
                </c:pt>
                <c:pt idx="45">
                  <c:v>46503</c:v>
                </c:pt>
                <c:pt idx="46">
                  <c:v>46510</c:v>
                </c:pt>
                <c:pt idx="47">
                  <c:v>46517</c:v>
                </c:pt>
                <c:pt idx="48">
                  <c:v>46524</c:v>
                </c:pt>
                <c:pt idx="49">
                  <c:v>46531</c:v>
                </c:pt>
                <c:pt idx="50">
                  <c:v>46538</c:v>
                </c:pt>
                <c:pt idx="51">
                  <c:v>46545</c:v>
                </c:pt>
                <c:pt idx="52">
                  <c:v>46552</c:v>
                </c:pt>
                <c:pt idx="53">
                  <c:v>46559</c:v>
                </c:pt>
                <c:pt idx="54">
                  <c:v>46566</c:v>
                </c:pt>
                <c:pt idx="55">
                  <c:v>46573</c:v>
                </c:pt>
                <c:pt idx="56">
                  <c:v>46580</c:v>
                </c:pt>
                <c:pt idx="57">
                  <c:v>46587</c:v>
                </c:pt>
                <c:pt idx="58">
                  <c:v>46594</c:v>
                </c:pt>
                <c:pt idx="59">
                  <c:v>46601</c:v>
                </c:pt>
                <c:pt idx="60">
                  <c:v>46608</c:v>
                </c:pt>
                <c:pt idx="61">
                  <c:v>46615</c:v>
                </c:pt>
                <c:pt idx="62">
                  <c:v>46622</c:v>
                </c:pt>
                <c:pt idx="63">
                  <c:v>46629</c:v>
                </c:pt>
                <c:pt idx="64">
                  <c:v>46636</c:v>
                </c:pt>
                <c:pt idx="65">
                  <c:v>46643</c:v>
                </c:pt>
                <c:pt idx="66">
                  <c:v>46650</c:v>
                </c:pt>
                <c:pt idx="67">
                  <c:v>46657</c:v>
                </c:pt>
                <c:pt idx="68">
                  <c:v>46664</c:v>
                </c:pt>
                <c:pt idx="69">
                  <c:v>46671</c:v>
                </c:pt>
                <c:pt idx="70">
                  <c:v>46678</c:v>
                </c:pt>
                <c:pt idx="71">
                  <c:v>46685</c:v>
                </c:pt>
                <c:pt idx="72">
                  <c:v>46692</c:v>
                </c:pt>
                <c:pt idx="73">
                  <c:v>46699</c:v>
                </c:pt>
                <c:pt idx="74">
                  <c:v>46706</c:v>
                </c:pt>
                <c:pt idx="75">
                  <c:v>46713</c:v>
                </c:pt>
                <c:pt idx="76">
                  <c:v>46720</c:v>
                </c:pt>
                <c:pt idx="77">
                  <c:v>46727</c:v>
                </c:pt>
                <c:pt idx="78">
                  <c:v>46734</c:v>
                </c:pt>
                <c:pt idx="79">
                  <c:v>46741</c:v>
                </c:pt>
                <c:pt idx="80">
                  <c:v>46748</c:v>
                </c:pt>
              </c:numCache>
            </c:numRef>
          </c:cat>
          <c:val>
            <c:numRef>
              <c:f>'3. Negocios +30K GP'!$E$11:$E$91</c:f>
              <c:numCache>
                <c:formatCode>#,##0</c:formatCode>
                <c:ptCount val="81"/>
                <c:pt idx="0">
                  <c:v>0.12345679012345678</c:v>
                </c:pt>
                <c:pt idx="1">
                  <c:v>0.24691358024691357</c:v>
                </c:pt>
                <c:pt idx="2">
                  <c:v>0.37037037037037035</c:v>
                </c:pt>
                <c:pt idx="3">
                  <c:v>0.49382716049382713</c:v>
                </c:pt>
                <c:pt idx="4">
                  <c:v>0.61728395061728392</c:v>
                </c:pt>
                <c:pt idx="5">
                  <c:v>0.7407407407407407</c:v>
                </c:pt>
                <c:pt idx="6">
                  <c:v>0.86419753086419748</c:v>
                </c:pt>
                <c:pt idx="7">
                  <c:v>0.98765432098765427</c:v>
                </c:pt>
                <c:pt idx="8">
                  <c:v>1.1111111111111112</c:v>
                </c:pt>
                <c:pt idx="9">
                  <c:v>1.2345679012345681</c:v>
                </c:pt>
                <c:pt idx="10">
                  <c:v>1.3580246913580249</c:v>
                </c:pt>
                <c:pt idx="11">
                  <c:v>1.4814814814814818</c:v>
                </c:pt>
                <c:pt idx="12">
                  <c:v>1.6049382716049387</c:v>
                </c:pt>
                <c:pt idx="13">
                  <c:v>1.7283950617283956</c:v>
                </c:pt>
                <c:pt idx="14">
                  <c:v>1.8518518518518525</c:v>
                </c:pt>
                <c:pt idx="15">
                  <c:v>1.9753086419753094</c:v>
                </c:pt>
                <c:pt idx="16">
                  <c:v>2.0987654320987663</c:v>
                </c:pt>
                <c:pt idx="17">
                  <c:v>2.2222222222222232</c:v>
                </c:pt>
                <c:pt idx="18">
                  <c:v>2.3456790123456801</c:v>
                </c:pt>
                <c:pt idx="19">
                  <c:v>2.469135802469137</c:v>
                </c:pt>
                <c:pt idx="20">
                  <c:v>2.5925925925925939</c:v>
                </c:pt>
                <c:pt idx="21">
                  <c:v>2.7160493827160508</c:v>
                </c:pt>
                <c:pt idx="22">
                  <c:v>2.8395061728395077</c:v>
                </c:pt>
                <c:pt idx="23">
                  <c:v>2.9629629629629646</c:v>
                </c:pt>
                <c:pt idx="24">
                  <c:v>3.0864197530864215</c:v>
                </c:pt>
                <c:pt idx="25">
                  <c:v>3.2098765432098784</c:v>
                </c:pt>
                <c:pt idx="26">
                  <c:v>3.3333333333333353</c:v>
                </c:pt>
                <c:pt idx="27">
                  <c:v>3.4567901234567922</c:v>
                </c:pt>
                <c:pt idx="28">
                  <c:v>3.580246913580249</c:v>
                </c:pt>
                <c:pt idx="29">
                  <c:v>3.7037037037037059</c:v>
                </c:pt>
                <c:pt idx="30">
                  <c:v>3.8271604938271628</c:v>
                </c:pt>
                <c:pt idx="31">
                  <c:v>3.9506172839506197</c:v>
                </c:pt>
                <c:pt idx="32">
                  <c:v>4.0740740740740762</c:v>
                </c:pt>
                <c:pt idx="33">
                  <c:v>4.1975308641975326</c:v>
                </c:pt>
                <c:pt idx="34">
                  <c:v>4.3209876543209891</c:v>
                </c:pt>
                <c:pt idx="35">
                  <c:v>4.4444444444444455</c:v>
                </c:pt>
                <c:pt idx="36">
                  <c:v>4.567901234567902</c:v>
                </c:pt>
                <c:pt idx="37">
                  <c:v>4.6913580246913584</c:v>
                </c:pt>
                <c:pt idx="38">
                  <c:v>4.8148148148148149</c:v>
                </c:pt>
                <c:pt idx="39">
                  <c:v>4.9382716049382713</c:v>
                </c:pt>
                <c:pt idx="40">
                  <c:v>5.0617283950617278</c:v>
                </c:pt>
                <c:pt idx="41">
                  <c:v>5.1851851851851842</c:v>
                </c:pt>
                <c:pt idx="42">
                  <c:v>5.3086419753086407</c:v>
                </c:pt>
                <c:pt idx="43">
                  <c:v>5.4320987654320971</c:v>
                </c:pt>
                <c:pt idx="44">
                  <c:v>5.5555555555555536</c:v>
                </c:pt>
                <c:pt idx="45">
                  <c:v>5.67901234567901</c:v>
                </c:pt>
                <c:pt idx="46">
                  <c:v>5.8024691358024665</c:v>
                </c:pt>
                <c:pt idx="47">
                  <c:v>5.9259259259259229</c:v>
                </c:pt>
                <c:pt idx="48">
                  <c:v>6.0493827160493794</c:v>
                </c:pt>
                <c:pt idx="49">
                  <c:v>6.1728395061728358</c:v>
                </c:pt>
                <c:pt idx="50">
                  <c:v>6.2962962962962923</c:v>
                </c:pt>
                <c:pt idx="51">
                  <c:v>6.4197530864197487</c:v>
                </c:pt>
                <c:pt idx="52">
                  <c:v>6.5432098765432052</c:v>
                </c:pt>
                <c:pt idx="53">
                  <c:v>6.6666666666666616</c:v>
                </c:pt>
                <c:pt idx="54">
                  <c:v>6.7901234567901181</c:v>
                </c:pt>
                <c:pt idx="55">
                  <c:v>6.9135802469135745</c:v>
                </c:pt>
                <c:pt idx="56">
                  <c:v>7.037037037037031</c:v>
                </c:pt>
                <c:pt idx="57">
                  <c:v>7.1604938271604874</c:v>
                </c:pt>
                <c:pt idx="58">
                  <c:v>7.2839506172839439</c:v>
                </c:pt>
                <c:pt idx="59">
                  <c:v>7.4074074074074003</c:v>
                </c:pt>
                <c:pt idx="60">
                  <c:v>7.5308641975308568</c:v>
                </c:pt>
                <c:pt idx="61">
                  <c:v>7.6543209876543132</c:v>
                </c:pt>
                <c:pt idx="62">
                  <c:v>7.7777777777777697</c:v>
                </c:pt>
                <c:pt idx="63">
                  <c:v>7.9012345679012261</c:v>
                </c:pt>
                <c:pt idx="64">
                  <c:v>8.0246913580246826</c:v>
                </c:pt>
                <c:pt idx="65">
                  <c:v>8.1481481481481399</c:v>
                </c:pt>
                <c:pt idx="66">
                  <c:v>8.2716049382715973</c:v>
                </c:pt>
                <c:pt idx="67">
                  <c:v>8.3950617283950546</c:v>
                </c:pt>
                <c:pt idx="68">
                  <c:v>8.5185185185185119</c:v>
                </c:pt>
                <c:pt idx="69">
                  <c:v>8.6419753086419693</c:v>
                </c:pt>
                <c:pt idx="70">
                  <c:v>8.7654320987654266</c:v>
                </c:pt>
                <c:pt idx="71">
                  <c:v>8.888888888888884</c:v>
                </c:pt>
                <c:pt idx="72">
                  <c:v>9.0123456790123413</c:v>
                </c:pt>
                <c:pt idx="73">
                  <c:v>9.1358024691357986</c:v>
                </c:pt>
                <c:pt idx="74">
                  <c:v>9.259259259259256</c:v>
                </c:pt>
                <c:pt idx="75">
                  <c:v>9.3827160493827133</c:v>
                </c:pt>
                <c:pt idx="76">
                  <c:v>9.5061728395061706</c:v>
                </c:pt>
                <c:pt idx="77">
                  <c:v>9.629629629629628</c:v>
                </c:pt>
                <c:pt idx="78">
                  <c:v>9.7530864197530853</c:v>
                </c:pt>
                <c:pt idx="79">
                  <c:v>9.8765432098765427</c:v>
                </c:pt>
                <c:pt idx="80">
                  <c:v>10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0CE4-4E41-871C-6B351709C32C}"/>
            </c:ext>
          </c:extLst>
        </c:ser>
        <c:ser>
          <c:idx val="1"/>
          <c:order val="1"/>
          <c:tx>
            <c:strRef>
              <c:f>'3. Negocios +30K GP'!$F$10</c:f>
              <c:strCache>
                <c:ptCount val="1"/>
                <c:pt idx="0">
                  <c:v>Real acum.</c:v>
                </c:pt>
              </c:strCache>
            </c:strRef>
          </c:tx>
          <c:spPr>
            <a:ln w="28000">
              <a:solidFill>
                <a:srgbClr val="2E75B6"/>
              </a:solidFill>
              <a:prstDash val="solid"/>
            </a:ln>
          </c:spPr>
          <c:marker>
            <c:symbol val="none"/>
          </c:marker>
          <c:cat>
            <c:numRef>
              <c:f>'3. Negocios +30K GP'!$B$11:$B$91</c:f>
              <c:numCache>
                <c:formatCode>dd\-mmm\-yy</c:formatCode>
                <c:ptCount val="81"/>
                <c:pt idx="0">
                  <c:v>46188</c:v>
                </c:pt>
                <c:pt idx="1">
                  <c:v>46195</c:v>
                </c:pt>
                <c:pt idx="2">
                  <c:v>46202</c:v>
                </c:pt>
                <c:pt idx="3">
                  <c:v>46209</c:v>
                </c:pt>
                <c:pt idx="4">
                  <c:v>46216</c:v>
                </c:pt>
                <c:pt idx="5">
                  <c:v>46223</c:v>
                </c:pt>
                <c:pt idx="6">
                  <c:v>46230</c:v>
                </c:pt>
                <c:pt idx="7">
                  <c:v>46237</c:v>
                </c:pt>
                <c:pt idx="8">
                  <c:v>46244</c:v>
                </c:pt>
                <c:pt idx="9">
                  <c:v>46251</c:v>
                </c:pt>
                <c:pt idx="10">
                  <c:v>46258</c:v>
                </c:pt>
                <c:pt idx="11">
                  <c:v>46265</c:v>
                </c:pt>
                <c:pt idx="12">
                  <c:v>46272</c:v>
                </c:pt>
                <c:pt idx="13">
                  <c:v>46279</c:v>
                </c:pt>
                <c:pt idx="14">
                  <c:v>46286</c:v>
                </c:pt>
                <c:pt idx="15">
                  <c:v>46293</c:v>
                </c:pt>
                <c:pt idx="16">
                  <c:v>46300</c:v>
                </c:pt>
                <c:pt idx="17">
                  <c:v>46307</c:v>
                </c:pt>
                <c:pt idx="18">
                  <c:v>46314</c:v>
                </c:pt>
                <c:pt idx="19">
                  <c:v>46321</c:v>
                </c:pt>
                <c:pt idx="20">
                  <c:v>46328</c:v>
                </c:pt>
                <c:pt idx="21">
                  <c:v>46335</c:v>
                </c:pt>
                <c:pt idx="22">
                  <c:v>46342</c:v>
                </c:pt>
                <c:pt idx="23">
                  <c:v>46349</c:v>
                </c:pt>
                <c:pt idx="24">
                  <c:v>46356</c:v>
                </c:pt>
                <c:pt idx="25">
                  <c:v>46363</c:v>
                </c:pt>
                <c:pt idx="26">
                  <c:v>46370</c:v>
                </c:pt>
                <c:pt idx="27">
                  <c:v>46377</c:v>
                </c:pt>
                <c:pt idx="28">
                  <c:v>46384</c:v>
                </c:pt>
                <c:pt idx="29">
                  <c:v>46391</c:v>
                </c:pt>
                <c:pt idx="30">
                  <c:v>46398</c:v>
                </c:pt>
                <c:pt idx="31">
                  <c:v>46405</c:v>
                </c:pt>
                <c:pt idx="32">
                  <c:v>46412</c:v>
                </c:pt>
                <c:pt idx="33">
                  <c:v>46419</c:v>
                </c:pt>
                <c:pt idx="34">
                  <c:v>46426</c:v>
                </c:pt>
                <c:pt idx="35">
                  <c:v>46433</c:v>
                </c:pt>
                <c:pt idx="36">
                  <c:v>46440</c:v>
                </c:pt>
                <c:pt idx="37">
                  <c:v>46447</c:v>
                </c:pt>
                <c:pt idx="38">
                  <c:v>46454</c:v>
                </c:pt>
                <c:pt idx="39">
                  <c:v>46461</c:v>
                </c:pt>
                <c:pt idx="40">
                  <c:v>46468</c:v>
                </c:pt>
                <c:pt idx="41">
                  <c:v>46475</c:v>
                </c:pt>
                <c:pt idx="42">
                  <c:v>46482</c:v>
                </c:pt>
                <c:pt idx="43">
                  <c:v>46489</c:v>
                </c:pt>
                <c:pt idx="44">
                  <c:v>46496</c:v>
                </c:pt>
                <c:pt idx="45">
                  <c:v>46503</c:v>
                </c:pt>
                <c:pt idx="46">
                  <c:v>46510</c:v>
                </c:pt>
                <c:pt idx="47">
                  <c:v>46517</c:v>
                </c:pt>
                <c:pt idx="48">
                  <c:v>46524</c:v>
                </c:pt>
                <c:pt idx="49">
                  <c:v>46531</c:v>
                </c:pt>
                <c:pt idx="50">
                  <c:v>46538</c:v>
                </c:pt>
                <c:pt idx="51">
                  <c:v>46545</c:v>
                </c:pt>
                <c:pt idx="52">
                  <c:v>46552</c:v>
                </c:pt>
                <c:pt idx="53">
                  <c:v>46559</c:v>
                </c:pt>
                <c:pt idx="54">
                  <c:v>46566</c:v>
                </c:pt>
                <c:pt idx="55">
                  <c:v>46573</c:v>
                </c:pt>
                <c:pt idx="56">
                  <c:v>46580</c:v>
                </c:pt>
                <c:pt idx="57">
                  <c:v>46587</c:v>
                </c:pt>
                <c:pt idx="58">
                  <c:v>46594</c:v>
                </c:pt>
                <c:pt idx="59">
                  <c:v>46601</c:v>
                </c:pt>
                <c:pt idx="60">
                  <c:v>46608</c:v>
                </c:pt>
                <c:pt idx="61">
                  <c:v>46615</c:v>
                </c:pt>
                <c:pt idx="62">
                  <c:v>46622</c:v>
                </c:pt>
                <c:pt idx="63">
                  <c:v>46629</c:v>
                </c:pt>
                <c:pt idx="64">
                  <c:v>46636</c:v>
                </c:pt>
                <c:pt idx="65">
                  <c:v>46643</c:v>
                </c:pt>
                <c:pt idx="66">
                  <c:v>46650</c:v>
                </c:pt>
                <c:pt idx="67">
                  <c:v>46657</c:v>
                </c:pt>
                <c:pt idx="68">
                  <c:v>46664</c:v>
                </c:pt>
                <c:pt idx="69">
                  <c:v>46671</c:v>
                </c:pt>
                <c:pt idx="70">
                  <c:v>46678</c:v>
                </c:pt>
                <c:pt idx="71">
                  <c:v>46685</c:v>
                </c:pt>
                <c:pt idx="72">
                  <c:v>46692</c:v>
                </c:pt>
                <c:pt idx="73">
                  <c:v>46699</c:v>
                </c:pt>
                <c:pt idx="74">
                  <c:v>46706</c:v>
                </c:pt>
                <c:pt idx="75">
                  <c:v>46713</c:v>
                </c:pt>
                <c:pt idx="76">
                  <c:v>46720</c:v>
                </c:pt>
                <c:pt idx="77">
                  <c:v>46727</c:v>
                </c:pt>
                <c:pt idx="78">
                  <c:v>46734</c:v>
                </c:pt>
                <c:pt idx="79">
                  <c:v>46741</c:v>
                </c:pt>
                <c:pt idx="80">
                  <c:v>46748</c:v>
                </c:pt>
              </c:numCache>
            </c:numRef>
          </c:cat>
          <c:val>
            <c:numRef>
              <c:f>'3. Negocios +30K GP'!$F$11:$F$91</c:f>
              <c:numCache>
                <c:formatCode>#,##0</c:formatCode>
                <c:ptCount val="8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0CE4-4E41-871C-6B351709C3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numFmt formatCode="dd\-mmm\-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majorGridlines/>
        <c:numFmt formatCode="#,##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2"/>
  <c:chart>
    <c:title>
      <c:tx>
        <c:rich>
          <a:bodyPr/>
          <a:lstStyle/>
          <a:p>
            <a:pPr>
              <a:defRPr/>
            </a:pPr>
            <a:r>
              <a:t>Marcador: Meta vs Real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'4. Entregas 100%'!$C$10</c:f>
              <c:strCache>
                <c:ptCount val="1"/>
                <c:pt idx="0">
                  <c:v>Meta</c:v>
                </c:pt>
              </c:strCache>
            </c:strRef>
          </c:tx>
          <c:spPr>
            <a:ln>
              <a:solidFill>
                <a:srgbClr val="A6A6A6"/>
              </a:solidFill>
              <a:prstDash val="dash"/>
            </a:ln>
          </c:spPr>
          <c:marker>
            <c:symbol val="none"/>
          </c:marker>
          <c:cat>
            <c:numRef>
              <c:f>'4. Entregas 100%'!$B$11:$B$91</c:f>
              <c:numCache>
                <c:formatCode>dd\-mmm\-yy</c:formatCode>
                <c:ptCount val="81"/>
                <c:pt idx="0">
                  <c:v>46188</c:v>
                </c:pt>
                <c:pt idx="1">
                  <c:v>46195</c:v>
                </c:pt>
                <c:pt idx="2">
                  <c:v>46202</c:v>
                </c:pt>
                <c:pt idx="3">
                  <c:v>46209</c:v>
                </c:pt>
                <c:pt idx="4">
                  <c:v>46216</c:v>
                </c:pt>
                <c:pt idx="5">
                  <c:v>46223</c:v>
                </c:pt>
                <c:pt idx="6">
                  <c:v>46230</c:v>
                </c:pt>
                <c:pt idx="7">
                  <c:v>46237</c:v>
                </c:pt>
                <c:pt idx="8">
                  <c:v>46244</c:v>
                </c:pt>
                <c:pt idx="9">
                  <c:v>46251</c:v>
                </c:pt>
                <c:pt idx="10">
                  <c:v>46258</c:v>
                </c:pt>
                <c:pt idx="11">
                  <c:v>46265</c:v>
                </c:pt>
                <c:pt idx="12">
                  <c:v>46272</c:v>
                </c:pt>
                <c:pt idx="13">
                  <c:v>46279</c:v>
                </c:pt>
                <c:pt idx="14">
                  <c:v>46286</c:v>
                </c:pt>
                <c:pt idx="15">
                  <c:v>46293</c:v>
                </c:pt>
                <c:pt idx="16">
                  <c:v>46300</c:v>
                </c:pt>
                <c:pt idx="17">
                  <c:v>46307</c:v>
                </c:pt>
                <c:pt idx="18">
                  <c:v>46314</c:v>
                </c:pt>
                <c:pt idx="19">
                  <c:v>46321</c:v>
                </c:pt>
                <c:pt idx="20">
                  <c:v>46328</c:v>
                </c:pt>
                <c:pt idx="21">
                  <c:v>46335</c:v>
                </c:pt>
                <c:pt idx="22">
                  <c:v>46342</c:v>
                </c:pt>
                <c:pt idx="23">
                  <c:v>46349</c:v>
                </c:pt>
                <c:pt idx="24">
                  <c:v>46356</c:v>
                </c:pt>
                <c:pt idx="25">
                  <c:v>46363</c:v>
                </c:pt>
                <c:pt idx="26">
                  <c:v>46370</c:v>
                </c:pt>
                <c:pt idx="27">
                  <c:v>46377</c:v>
                </c:pt>
                <c:pt idx="28">
                  <c:v>46384</c:v>
                </c:pt>
                <c:pt idx="29">
                  <c:v>46391</c:v>
                </c:pt>
                <c:pt idx="30">
                  <c:v>46398</c:v>
                </c:pt>
                <c:pt idx="31">
                  <c:v>46405</c:v>
                </c:pt>
                <c:pt idx="32">
                  <c:v>46412</c:v>
                </c:pt>
                <c:pt idx="33">
                  <c:v>46419</c:v>
                </c:pt>
                <c:pt idx="34">
                  <c:v>46426</c:v>
                </c:pt>
                <c:pt idx="35">
                  <c:v>46433</c:v>
                </c:pt>
                <c:pt idx="36">
                  <c:v>46440</c:v>
                </c:pt>
                <c:pt idx="37">
                  <c:v>46447</c:v>
                </c:pt>
                <c:pt idx="38">
                  <c:v>46454</c:v>
                </c:pt>
                <c:pt idx="39">
                  <c:v>46461</c:v>
                </c:pt>
                <c:pt idx="40">
                  <c:v>46468</c:v>
                </c:pt>
                <c:pt idx="41">
                  <c:v>46475</c:v>
                </c:pt>
                <c:pt idx="42">
                  <c:v>46482</c:v>
                </c:pt>
                <c:pt idx="43">
                  <c:v>46489</c:v>
                </c:pt>
                <c:pt idx="44">
                  <c:v>46496</c:v>
                </c:pt>
                <c:pt idx="45">
                  <c:v>46503</c:v>
                </c:pt>
                <c:pt idx="46">
                  <c:v>46510</c:v>
                </c:pt>
                <c:pt idx="47">
                  <c:v>46517</c:v>
                </c:pt>
                <c:pt idx="48">
                  <c:v>46524</c:v>
                </c:pt>
                <c:pt idx="49">
                  <c:v>46531</c:v>
                </c:pt>
                <c:pt idx="50">
                  <c:v>46538</c:v>
                </c:pt>
                <c:pt idx="51">
                  <c:v>46545</c:v>
                </c:pt>
                <c:pt idx="52">
                  <c:v>46552</c:v>
                </c:pt>
                <c:pt idx="53">
                  <c:v>46559</c:v>
                </c:pt>
                <c:pt idx="54">
                  <c:v>46566</c:v>
                </c:pt>
                <c:pt idx="55">
                  <c:v>46573</c:v>
                </c:pt>
                <c:pt idx="56">
                  <c:v>46580</c:v>
                </c:pt>
                <c:pt idx="57">
                  <c:v>46587</c:v>
                </c:pt>
                <c:pt idx="58">
                  <c:v>46594</c:v>
                </c:pt>
                <c:pt idx="59">
                  <c:v>46601</c:v>
                </c:pt>
                <c:pt idx="60">
                  <c:v>46608</c:v>
                </c:pt>
                <c:pt idx="61">
                  <c:v>46615</c:v>
                </c:pt>
                <c:pt idx="62">
                  <c:v>46622</c:v>
                </c:pt>
                <c:pt idx="63">
                  <c:v>46629</c:v>
                </c:pt>
                <c:pt idx="64">
                  <c:v>46636</c:v>
                </c:pt>
                <c:pt idx="65">
                  <c:v>46643</c:v>
                </c:pt>
                <c:pt idx="66">
                  <c:v>46650</c:v>
                </c:pt>
                <c:pt idx="67">
                  <c:v>46657</c:v>
                </c:pt>
                <c:pt idx="68">
                  <c:v>46664</c:v>
                </c:pt>
                <c:pt idx="69">
                  <c:v>46671</c:v>
                </c:pt>
                <c:pt idx="70">
                  <c:v>46678</c:v>
                </c:pt>
                <c:pt idx="71">
                  <c:v>46685</c:v>
                </c:pt>
                <c:pt idx="72">
                  <c:v>46692</c:v>
                </c:pt>
                <c:pt idx="73">
                  <c:v>46699</c:v>
                </c:pt>
                <c:pt idx="74">
                  <c:v>46706</c:v>
                </c:pt>
                <c:pt idx="75">
                  <c:v>46713</c:v>
                </c:pt>
                <c:pt idx="76">
                  <c:v>46720</c:v>
                </c:pt>
                <c:pt idx="77">
                  <c:v>46727</c:v>
                </c:pt>
                <c:pt idx="78">
                  <c:v>46734</c:v>
                </c:pt>
                <c:pt idx="79">
                  <c:v>46741</c:v>
                </c:pt>
                <c:pt idx="80">
                  <c:v>46748</c:v>
                </c:pt>
              </c:numCache>
            </c:numRef>
          </c:cat>
          <c:val>
            <c:numRef>
              <c:f>'4. Entregas 100%'!$C$11:$C$91</c:f>
              <c:numCache>
                <c:formatCode>0.0%</c:formatCode>
                <c:ptCount val="81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1</c:v>
                </c:pt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1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65">
                  <c:v>1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1</c:v>
                </c:pt>
                <c:pt idx="71">
                  <c:v>1</c:v>
                </c:pt>
                <c:pt idx="72">
                  <c:v>1</c:v>
                </c:pt>
                <c:pt idx="73">
                  <c:v>1</c:v>
                </c:pt>
                <c:pt idx="74">
                  <c:v>1</c:v>
                </c:pt>
                <c:pt idx="75">
                  <c:v>1</c:v>
                </c:pt>
                <c:pt idx="76">
                  <c:v>1</c:v>
                </c:pt>
                <c:pt idx="77">
                  <c:v>1</c:v>
                </c:pt>
                <c:pt idx="78">
                  <c:v>1</c:v>
                </c:pt>
                <c:pt idx="79">
                  <c:v>1</c:v>
                </c:pt>
                <c:pt idx="80">
                  <c:v>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906-D14A-9549-329504CA054E}"/>
            </c:ext>
          </c:extLst>
        </c:ser>
        <c:ser>
          <c:idx val="1"/>
          <c:order val="1"/>
          <c:tx>
            <c:strRef>
              <c:f>'4. Entregas 100%'!$D$10</c:f>
              <c:strCache>
                <c:ptCount val="1"/>
                <c:pt idx="0">
                  <c:v>Real</c:v>
                </c:pt>
              </c:strCache>
            </c:strRef>
          </c:tx>
          <c:spPr>
            <a:ln w="28000">
              <a:solidFill>
                <a:srgbClr val="2E75B6"/>
              </a:solidFill>
              <a:prstDash val="solid"/>
            </a:ln>
          </c:spPr>
          <c:marker>
            <c:symbol val="none"/>
          </c:marker>
          <c:cat>
            <c:numRef>
              <c:f>'4. Entregas 100%'!$B$11:$B$91</c:f>
              <c:numCache>
                <c:formatCode>dd\-mmm\-yy</c:formatCode>
                <c:ptCount val="81"/>
                <c:pt idx="0">
                  <c:v>46188</c:v>
                </c:pt>
                <c:pt idx="1">
                  <c:v>46195</c:v>
                </c:pt>
                <c:pt idx="2">
                  <c:v>46202</c:v>
                </c:pt>
                <c:pt idx="3">
                  <c:v>46209</c:v>
                </c:pt>
                <c:pt idx="4">
                  <c:v>46216</c:v>
                </c:pt>
                <c:pt idx="5">
                  <c:v>46223</c:v>
                </c:pt>
                <c:pt idx="6">
                  <c:v>46230</c:v>
                </c:pt>
                <c:pt idx="7">
                  <c:v>46237</c:v>
                </c:pt>
                <c:pt idx="8">
                  <c:v>46244</c:v>
                </c:pt>
                <c:pt idx="9">
                  <c:v>46251</c:v>
                </c:pt>
                <c:pt idx="10">
                  <c:v>46258</c:v>
                </c:pt>
                <c:pt idx="11">
                  <c:v>46265</c:v>
                </c:pt>
                <c:pt idx="12">
                  <c:v>46272</c:v>
                </c:pt>
                <c:pt idx="13">
                  <c:v>46279</c:v>
                </c:pt>
                <c:pt idx="14">
                  <c:v>46286</c:v>
                </c:pt>
                <c:pt idx="15">
                  <c:v>46293</c:v>
                </c:pt>
                <c:pt idx="16">
                  <c:v>46300</c:v>
                </c:pt>
                <c:pt idx="17">
                  <c:v>46307</c:v>
                </c:pt>
                <c:pt idx="18">
                  <c:v>46314</c:v>
                </c:pt>
                <c:pt idx="19">
                  <c:v>46321</c:v>
                </c:pt>
                <c:pt idx="20">
                  <c:v>46328</c:v>
                </c:pt>
                <c:pt idx="21">
                  <c:v>46335</c:v>
                </c:pt>
                <c:pt idx="22">
                  <c:v>46342</c:v>
                </c:pt>
                <c:pt idx="23">
                  <c:v>46349</c:v>
                </c:pt>
                <c:pt idx="24">
                  <c:v>46356</c:v>
                </c:pt>
                <c:pt idx="25">
                  <c:v>46363</c:v>
                </c:pt>
                <c:pt idx="26">
                  <c:v>46370</c:v>
                </c:pt>
                <c:pt idx="27">
                  <c:v>46377</c:v>
                </c:pt>
                <c:pt idx="28">
                  <c:v>46384</c:v>
                </c:pt>
                <c:pt idx="29">
                  <c:v>46391</c:v>
                </c:pt>
                <c:pt idx="30">
                  <c:v>46398</c:v>
                </c:pt>
                <c:pt idx="31">
                  <c:v>46405</c:v>
                </c:pt>
                <c:pt idx="32">
                  <c:v>46412</c:v>
                </c:pt>
                <c:pt idx="33">
                  <c:v>46419</c:v>
                </c:pt>
                <c:pt idx="34">
                  <c:v>46426</c:v>
                </c:pt>
                <c:pt idx="35">
                  <c:v>46433</c:v>
                </c:pt>
                <c:pt idx="36">
                  <c:v>46440</c:v>
                </c:pt>
                <c:pt idx="37">
                  <c:v>46447</c:v>
                </c:pt>
                <c:pt idx="38">
                  <c:v>46454</c:v>
                </c:pt>
                <c:pt idx="39">
                  <c:v>46461</c:v>
                </c:pt>
                <c:pt idx="40">
                  <c:v>46468</c:v>
                </c:pt>
                <c:pt idx="41">
                  <c:v>46475</c:v>
                </c:pt>
                <c:pt idx="42">
                  <c:v>46482</c:v>
                </c:pt>
                <c:pt idx="43">
                  <c:v>46489</c:v>
                </c:pt>
                <c:pt idx="44">
                  <c:v>46496</c:v>
                </c:pt>
                <c:pt idx="45">
                  <c:v>46503</c:v>
                </c:pt>
                <c:pt idx="46">
                  <c:v>46510</c:v>
                </c:pt>
                <c:pt idx="47">
                  <c:v>46517</c:v>
                </c:pt>
                <c:pt idx="48">
                  <c:v>46524</c:v>
                </c:pt>
                <c:pt idx="49">
                  <c:v>46531</c:v>
                </c:pt>
                <c:pt idx="50">
                  <c:v>46538</c:v>
                </c:pt>
                <c:pt idx="51">
                  <c:v>46545</c:v>
                </c:pt>
                <c:pt idx="52">
                  <c:v>46552</c:v>
                </c:pt>
                <c:pt idx="53">
                  <c:v>46559</c:v>
                </c:pt>
                <c:pt idx="54">
                  <c:v>46566</c:v>
                </c:pt>
                <c:pt idx="55">
                  <c:v>46573</c:v>
                </c:pt>
                <c:pt idx="56">
                  <c:v>46580</c:v>
                </c:pt>
                <c:pt idx="57">
                  <c:v>46587</c:v>
                </c:pt>
                <c:pt idx="58">
                  <c:v>46594</c:v>
                </c:pt>
                <c:pt idx="59">
                  <c:v>46601</c:v>
                </c:pt>
                <c:pt idx="60">
                  <c:v>46608</c:v>
                </c:pt>
                <c:pt idx="61">
                  <c:v>46615</c:v>
                </c:pt>
                <c:pt idx="62">
                  <c:v>46622</c:v>
                </c:pt>
                <c:pt idx="63">
                  <c:v>46629</c:v>
                </c:pt>
                <c:pt idx="64">
                  <c:v>46636</c:v>
                </c:pt>
                <c:pt idx="65">
                  <c:v>46643</c:v>
                </c:pt>
                <c:pt idx="66">
                  <c:v>46650</c:v>
                </c:pt>
                <c:pt idx="67">
                  <c:v>46657</c:v>
                </c:pt>
                <c:pt idx="68">
                  <c:v>46664</c:v>
                </c:pt>
                <c:pt idx="69">
                  <c:v>46671</c:v>
                </c:pt>
                <c:pt idx="70">
                  <c:v>46678</c:v>
                </c:pt>
                <c:pt idx="71">
                  <c:v>46685</c:v>
                </c:pt>
                <c:pt idx="72">
                  <c:v>46692</c:v>
                </c:pt>
                <c:pt idx="73">
                  <c:v>46699</c:v>
                </c:pt>
                <c:pt idx="74">
                  <c:v>46706</c:v>
                </c:pt>
                <c:pt idx="75">
                  <c:v>46713</c:v>
                </c:pt>
                <c:pt idx="76">
                  <c:v>46720</c:v>
                </c:pt>
                <c:pt idx="77">
                  <c:v>46727</c:v>
                </c:pt>
                <c:pt idx="78">
                  <c:v>46734</c:v>
                </c:pt>
                <c:pt idx="79">
                  <c:v>46741</c:v>
                </c:pt>
                <c:pt idx="80">
                  <c:v>46748</c:v>
                </c:pt>
              </c:numCache>
            </c:numRef>
          </c:cat>
          <c:val>
            <c:numRef>
              <c:f>'4. Entregas 100%'!$D$11:$D$91</c:f>
              <c:numCache>
                <c:formatCode>General</c:formatCode>
                <c:ptCount val="81"/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906-D14A-9549-329504CA05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numFmt formatCode="dd\-mmm\-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majorGridlines/>
        <c:numFmt formatCode="0.0%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2"/>
  <c:chart>
    <c:title>
      <c:tx>
        <c:rich>
          <a:bodyPr/>
          <a:lstStyle/>
          <a:p>
            <a:pPr>
              <a:defRPr/>
            </a:pPr>
            <a:r>
              <a:t>Marcador: Meta vs Real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'5. MV Datacenter'!$E$10</c:f>
              <c:strCache>
                <c:ptCount val="1"/>
                <c:pt idx="0">
                  <c:v>Meta acum.</c:v>
                </c:pt>
              </c:strCache>
            </c:strRef>
          </c:tx>
          <c:spPr>
            <a:ln>
              <a:solidFill>
                <a:srgbClr val="A6A6A6"/>
              </a:solidFill>
              <a:prstDash val="dash"/>
            </a:ln>
          </c:spPr>
          <c:marker>
            <c:symbol val="none"/>
          </c:marker>
          <c:cat>
            <c:numRef>
              <c:f>'5. MV Datacenter'!$B$11:$B$91</c:f>
              <c:numCache>
                <c:formatCode>dd\-mmm\-yy</c:formatCode>
                <c:ptCount val="81"/>
                <c:pt idx="0">
                  <c:v>46188</c:v>
                </c:pt>
                <c:pt idx="1">
                  <c:v>46195</c:v>
                </c:pt>
                <c:pt idx="2">
                  <c:v>46202</c:v>
                </c:pt>
                <c:pt idx="3">
                  <c:v>46209</c:v>
                </c:pt>
                <c:pt idx="4">
                  <c:v>46216</c:v>
                </c:pt>
                <c:pt idx="5">
                  <c:v>46223</c:v>
                </c:pt>
                <c:pt idx="6">
                  <c:v>46230</c:v>
                </c:pt>
                <c:pt idx="7">
                  <c:v>46237</c:v>
                </c:pt>
                <c:pt idx="8">
                  <c:v>46244</c:v>
                </c:pt>
                <c:pt idx="9">
                  <c:v>46251</c:v>
                </c:pt>
                <c:pt idx="10">
                  <c:v>46258</c:v>
                </c:pt>
                <c:pt idx="11">
                  <c:v>46265</c:v>
                </c:pt>
                <c:pt idx="12">
                  <c:v>46272</c:v>
                </c:pt>
                <c:pt idx="13">
                  <c:v>46279</c:v>
                </c:pt>
                <c:pt idx="14">
                  <c:v>46286</c:v>
                </c:pt>
                <c:pt idx="15">
                  <c:v>46293</c:v>
                </c:pt>
                <c:pt idx="16">
                  <c:v>46300</c:v>
                </c:pt>
                <c:pt idx="17">
                  <c:v>46307</c:v>
                </c:pt>
                <c:pt idx="18">
                  <c:v>46314</c:v>
                </c:pt>
                <c:pt idx="19">
                  <c:v>46321</c:v>
                </c:pt>
                <c:pt idx="20">
                  <c:v>46328</c:v>
                </c:pt>
                <c:pt idx="21">
                  <c:v>46335</c:v>
                </c:pt>
                <c:pt idx="22">
                  <c:v>46342</c:v>
                </c:pt>
                <c:pt idx="23">
                  <c:v>46349</c:v>
                </c:pt>
                <c:pt idx="24">
                  <c:v>46356</c:v>
                </c:pt>
                <c:pt idx="25">
                  <c:v>46363</c:v>
                </c:pt>
                <c:pt idx="26">
                  <c:v>46370</c:v>
                </c:pt>
                <c:pt idx="27">
                  <c:v>46377</c:v>
                </c:pt>
                <c:pt idx="28">
                  <c:v>46384</c:v>
                </c:pt>
                <c:pt idx="29">
                  <c:v>46391</c:v>
                </c:pt>
                <c:pt idx="30">
                  <c:v>46398</c:v>
                </c:pt>
                <c:pt idx="31">
                  <c:v>46405</c:v>
                </c:pt>
                <c:pt idx="32">
                  <c:v>46412</c:v>
                </c:pt>
                <c:pt idx="33">
                  <c:v>46419</c:v>
                </c:pt>
                <c:pt idx="34">
                  <c:v>46426</c:v>
                </c:pt>
                <c:pt idx="35">
                  <c:v>46433</c:v>
                </c:pt>
                <c:pt idx="36">
                  <c:v>46440</c:v>
                </c:pt>
                <c:pt idx="37">
                  <c:v>46447</c:v>
                </c:pt>
                <c:pt idx="38">
                  <c:v>46454</c:v>
                </c:pt>
                <c:pt idx="39">
                  <c:v>46461</c:v>
                </c:pt>
                <c:pt idx="40">
                  <c:v>46468</c:v>
                </c:pt>
                <c:pt idx="41">
                  <c:v>46475</c:v>
                </c:pt>
                <c:pt idx="42">
                  <c:v>46482</c:v>
                </c:pt>
                <c:pt idx="43">
                  <c:v>46489</c:v>
                </c:pt>
                <c:pt idx="44">
                  <c:v>46496</c:v>
                </c:pt>
                <c:pt idx="45">
                  <c:v>46503</c:v>
                </c:pt>
                <c:pt idx="46">
                  <c:v>46510</c:v>
                </c:pt>
                <c:pt idx="47">
                  <c:v>46517</c:v>
                </c:pt>
                <c:pt idx="48">
                  <c:v>46524</c:v>
                </c:pt>
                <c:pt idx="49">
                  <c:v>46531</c:v>
                </c:pt>
                <c:pt idx="50">
                  <c:v>46538</c:v>
                </c:pt>
                <c:pt idx="51">
                  <c:v>46545</c:v>
                </c:pt>
                <c:pt idx="52">
                  <c:v>46552</c:v>
                </c:pt>
                <c:pt idx="53">
                  <c:v>46559</c:v>
                </c:pt>
                <c:pt idx="54">
                  <c:v>46566</c:v>
                </c:pt>
                <c:pt idx="55">
                  <c:v>46573</c:v>
                </c:pt>
                <c:pt idx="56">
                  <c:v>46580</c:v>
                </c:pt>
                <c:pt idx="57">
                  <c:v>46587</c:v>
                </c:pt>
                <c:pt idx="58">
                  <c:v>46594</c:v>
                </c:pt>
                <c:pt idx="59">
                  <c:v>46601</c:v>
                </c:pt>
                <c:pt idx="60">
                  <c:v>46608</c:v>
                </c:pt>
                <c:pt idx="61">
                  <c:v>46615</c:v>
                </c:pt>
                <c:pt idx="62">
                  <c:v>46622</c:v>
                </c:pt>
                <c:pt idx="63">
                  <c:v>46629</c:v>
                </c:pt>
                <c:pt idx="64">
                  <c:v>46636</c:v>
                </c:pt>
                <c:pt idx="65">
                  <c:v>46643</c:v>
                </c:pt>
                <c:pt idx="66">
                  <c:v>46650</c:v>
                </c:pt>
                <c:pt idx="67">
                  <c:v>46657</c:v>
                </c:pt>
                <c:pt idx="68">
                  <c:v>46664</c:v>
                </c:pt>
                <c:pt idx="69">
                  <c:v>46671</c:v>
                </c:pt>
                <c:pt idx="70">
                  <c:v>46678</c:v>
                </c:pt>
                <c:pt idx="71">
                  <c:v>46685</c:v>
                </c:pt>
                <c:pt idx="72">
                  <c:v>46692</c:v>
                </c:pt>
                <c:pt idx="73">
                  <c:v>46699</c:v>
                </c:pt>
                <c:pt idx="74">
                  <c:v>46706</c:v>
                </c:pt>
                <c:pt idx="75">
                  <c:v>46713</c:v>
                </c:pt>
                <c:pt idx="76">
                  <c:v>46720</c:v>
                </c:pt>
                <c:pt idx="77">
                  <c:v>46727</c:v>
                </c:pt>
                <c:pt idx="78">
                  <c:v>46734</c:v>
                </c:pt>
                <c:pt idx="79">
                  <c:v>46741</c:v>
                </c:pt>
                <c:pt idx="80">
                  <c:v>46748</c:v>
                </c:pt>
              </c:numCache>
            </c:numRef>
          </c:cat>
          <c:val>
            <c:numRef>
              <c:f>'5. MV Datacenter'!$E$11:$E$91</c:f>
              <c:numCache>
                <c:formatCode>"$"#,##0</c:formatCode>
                <c:ptCount val="81"/>
                <c:pt idx="0">
                  <c:v>246.91358024691357</c:v>
                </c:pt>
                <c:pt idx="1">
                  <c:v>493.82716049382714</c:v>
                </c:pt>
                <c:pt idx="2">
                  <c:v>740.74074074074065</c:v>
                </c:pt>
                <c:pt idx="3">
                  <c:v>987.65432098765427</c:v>
                </c:pt>
                <c:pt idx="4">
                  <c:v>1234.5679012345679</c:v>
                </c:pt>
                <c:pt idx="5">
                  <c:v>1481.4814814814815</c:v>
                </c:pt>
                <c:pt idx="6">
                  <c:v>1728.3950617283951</c:v>
                </c:pt>
                <c:pt idx="7">
                  <c:v>1975.3086419753088</c:v>
                </c:pt>
                <c:pt idx="8">
                  <c:v>2222.2222222222222</c:v>
                </c:pt>
                <c:pt idx="9">
                  <c:v>2469.1358024691358</c:v>
                </c:pt>
                <c:pt idx="10">
                  <c:v>2716.0493827160494</c:v>
                </c:pt>
                <c:pt idx="11">
                  <c:v>2962.962962962963</c:v>
                </c:pt>
                <c:pt idx="12">
                  <c:v>3209.8765432098767</c:v>
                </c:pt>
                <c:pt idx="13">
                  <c:v>3456.7901234567903</c:v>
                </c:pt>
                <c:pt idx="14">
                  <c:v>3703.7037037037039</c:v>
                </c:pt>
                <c:pt idx="15">
                  <c:v>3950.6172839506175</c:v>
                </c:pt>
                <c:pt idx="16">
                  <c:v>4197.5308641975307</c:v>
                </c:pt>
                <c:pt idx="17">
                  <c:v>4444.4444444444443</c:v>
                </c:pt>
                <c:pt idx="18">
                  <c:v>4691.358024691358</c:v>
                </c:pt>
                <c:pt idx="19">
                  <c:v>4938.2716049382716</c:v>
                </c:pt>
                <c:pt idx="20">
                  <c:v>5185.1851851851852</c:v>
                </c:pt>
                <c:pt idx="21">
                  <c:v>5432.0987654320988</c:v>
                </c:pt>
                <c:pt idx="22">
                  <c:v>5679.0123456790125</c:v>
                </c:pt>
                <c:pt idx="23">
                  <c:v>5925.9259259259261</c:v>
                </c:pt>
                <c:pt idx="24">
                  <c:v>6172.8395061728397</c:v>
                </c:pt>
                <c:pt idx="25">
                  <c:v>6419.7530864197533</c:v>
                </c:pt>
                <c:pt idx="26">
                  <c:v>6666.666666666667</c:v>
                </c:pt>
                <c:pt idx="27">
                  <c:v>6913.5802469135806</c:v>
                </c:pt>
                <c:pt idx="28">
                  <c:v>7160.4938271604942</c:v>
                </c:pt>
                <c:pt idx="29">
                  <c:v>7407.4074074074078</c:v>
                </c:pt>
                <c:pt idx="30">
                  <c:v>7654.3209876543215</c:v>
                </c:pt>
                <c:pt idx="31">
                  <c:v>7901.2345679012351</c:v>
                </c:pt>
                <c:pt idx="32">
                  <c:v>8148.1481481481487</c:v>
                </c:pt>
                <c:pt idx="33">
                  <c:v>8395.0617283950614</c:v>
                </c:pt>
                <c:pt idx="34">
                  <c:v>8641.9753086419751</c:v>
                </c:pt>
                <c:pt idx="35">
                  <c:v>8888.8888888888887</c:v>
                </c:pt>
                <c:pt idx="36">
                  <c:v>9135.8024691358023</c:v>
                </c:pt>
                <c:pt idx="37">
                  <c:v>9382.7160493827159</c:v>
                </c:pt>
                <c:pt idx="38">
                  <c:v>9629.6296296296296</c:v>
                </c:pt>
                <c:pt idx="39">
                  <c:v>9876.5432098765432</c:v>
                </c:pt>
                <c:pt idx="40">
                  <c:v>10123.456790123457</c:v>
                </c:pt>
                <c:pt idx="41">
                  <c:v>10370.37037037037</c:v>
                </c:pt>
                <c:pt idx="42">
                  <c:v>10617.283950617284</c:v>
                </c:pt>
                <c:pt idx="43">
                  <c:v>10864.197530864198</c:v>
                </c:pt>
                <c:pt idx="44">
                  <c:v>11111.111111111111</c:v>
                </c:pt>
                <c:pt idx="45">
                  <c:v>11358.024691358025</c:v>
                </c:pt>
                <c:pt idx="46">
                  <c:v>11604.938271604939</c:v>
                </c:pt>
                <c:pt idx="47">
                  <c:v>11851.851851851852</c:v>
                </c:pt>
                <c:pt idx="48">
                  <c:v>12098.765432098766</c:v>
                </c:pt>
                <c:pt idx="49">
                  <c:v>12345.679012345679</c:v>
                </c:pt>
                <c:pt idx="50">
                  <c:v>12592.592592592593</c:v>
                </c:pt>
                <c:pt idx="51">
                  <c:v>12839.506172839507</c:v>
                </c:pt>
                <c:pt idx="52">
                  <c:v>13086.41975308642</c:v>
                </c:pt>
                <c:pt idx="53">
                  <c:v>13333.333333333334</c:v>
                </c:pt>
                <c:pt idx="54">
                  <c:v>13580.246913580248</c:v>
                </c:pt>
                <c:pt idx="55">
                  <c:v>13827.160493827161</c:v>
                </c:pt>
                <c:pt idx="56">
                  <c:v>14074.074074074075</c:v>
                </c:pt>
                <c:pt idx="57">
                  <c:v>14320.987654320988</c:v>
                </c:pt>
                <c:pt idx="58">
                  <c:v>14567.901234567902</c:v>
                </c:pt>
                <c:pt idx="59">
                  <c:v>14814.814814814816</c:v>
                </c:pt>
                <c:pt idx="60">
                  <c:v>15061.728395061729</c:v>
                </c:pt>
                <c:pt idx="61">
                  <c:v>15308.641975308643</c:v>
                </c:pt>
                <c:pt idx="62">
                  <c:v>15555.555555555557</c:v>
                </c:pt>
                <c:pt idx="63">
                  <c:v>15802.46913580247</c:v>
                </c:pt>
                <c:pt idx="64">
                  <c:v>16049.382716049384</c:v>
                </c:pt>
                <c:pt idx="65">
                  <c:v>16296.296296296297</c:v>
                </c:pt>
                <c:pt idx="66">
                  <c:v>16543.209876543209</c:v>
                </c:pt>
                <c:pt idx="67">
                  <c:v>16790.123456790123</c:v>
                </c:pt>
                <c:pt idx="68">
                  <c:v>17037.037037037036</c:v>
                </c:pt>
                <c:pt idx="69">
                  <c:v>17283.95061728395</c:v>
                </c:pt>
                <c:pt idx="70">
                  <c:v>17530.864197530864</c:v>
                </c:pt>
                <c:pt idx="71">
                  <c:v>17777.777777777777</c:v>
                </c:pt>
                <c:pt idx="72">
                  <c:v>18024.691358024691</c:v>
                </c:pt>
                <c:pt idx="73">
                  <c:v>18271.604938271605</c:v>
                </c:pt>
                <c:pt idx="74">
                  <c:v>18518.518518518518</c:v>
                </c:pt>
                <c:pt idx="75">
                  <c:v>18765.432098765432</c:v>
                </c:pt>
                <c:pt idx="76">
                  <c:v>19012.345679012345</c:v>
                </c:pt>
                <c:pt idx="77">
                  <c:v>19259.259259259259</c:v>
                </c:pt>
                <c:pt idx="78">
                  <c:v>19506.172839506173</c:v>
                </c:pt>
                <c:pt idx="79">
                  <c:v>19753.086419753086</c:v>
                </c:pt>
                <c:pt idx="80">
                  <c:v>20000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055-024C-B3FE-C957E304D25C}"/>
            </c:ext>
          </c:extLst>
        </c:ser>
        <c:ser>
          <c:idx val="1"/>
          <c:order val="1"/>
          <c:tx>
            <c:strRef>
              <c:f>'5. MV Datacenter'!$F$10</c:f>
              <c:strCache>
                <c:ptCount val="1"/>
                <c:pt idx="0">
                  <c:v>Real acum.</c:v>
                </c:pt>
              </c:strCache>
            </c:strRef>
          </c:tx>
          <c:spPr>
            <a:ln w="28000">
              <a:solidFill>
                <a:srgbClr val="2E75B6"/>
              </a:solidFill>
              <a:prstDash val="solid"/>
            </a:ln>
          </c:spPr>
          <c:marker>
            <c:symbol val="none"/>
          </c:marker>
          <c:cat>
            <c:numRef>
              <c:f>'5. MV Datacenter'!$B$11:$B$91</c:f>
              <c:numCache>
                <c:formatCode>dd\-mmm\-yy</c:formatCode>
                <c:ptCount val="81"/>
                <c:pt idx="0">
                  <c:v>46188</c:v>
                </c:pt>
                <c:pt idx="1">
                  <c:v>46195</c:v>
                </c:pt>
                <c:pt idx="2">
                  <c:v>46202</c:v>
                </c:pt>
                <c:pt idx="3">
                  <c:v>46209</c:v>
                </c:pt>
                <c:pt idx="4">
                  <c:v>46216</c:v>
                </c:pt>
                <c:pt idx="5">
                  <c:v>46223</c:v>
                </c:pt>
                <c:pt idx="6">
                  <c:v>46230</c:v>
                </c:pt>
                <c:pt idx="7">
                  <c:v>46237</c:v>
                </c:pt>
                <c:pt idx="8">
                  <c:v>46244</c:v>
                </c:pt>
                <c:pt idx="9">
                  <c:v>46251</c:v>
                </c:pt>
                <c:pt idx="10">
                  <c:v>46258</c:v>
                </c:pt>
                <c:pt idx="11">
                  <c:v>46265</c:v>
                </c:pt>
                <c:pt idx="12">
                  <c:v>46272</c:v>
                </c:pt>
                <c:pt idx="13">
                  <c:v>46279</c:v>
                </c:pt>
                <c:pt idx="14">
                  <c:v>46286</c:v>
                </c:pt>
                <c:pt idx="15">
                  <c:v>46293</c:v>
                </c:pt>
                <c:pt idx="16">
                  <c:v>46300</c:v>
                </c:pt>
                <c:pt idx="17">
                  <c:v>46307</c:v>
                </c:pt>
                <c:pt idx="18">
                  <c:v>46314</c:v>
                </c:pt>
                <c:pt idx="19">
                  <c:v>46321</c:v>
                </c:pt>
                <c:pt idx="20">
                  <c:v>46328</c:v>
                </c:pt>
                <c:pt idx="21">
                  <c:v>46335</c:v>
                </c:pt>
                <c:pt idx="22">
                  <c:v>46342</c:v>
                </c:pt>
                <c:pt idx="23">
                  <c:v>46349</c:v>
                </c:pt>
                <c:pt idx="24">
                  <c:v>46356</c:v>
                </c:pt>
                <c:pt idx="25">
                  <c:v>46363</c:v>
                </c:pt>
                <c:pt idx="26">
                  <c:v>46370</c:v>
                </c:pt>
                <c:pt idx="27">
                  <c:v>46377</c:v>
                </c:pt>
                <c:pt idx="28">
                  <c:v>46384</c:v>
                </c:pt>
                <c:pt idx="29">
                  <c:v>46391</c:v>
                </c:pt>
                <c:pt idx="30">
                  <c:v>46398</c:v>
                </c:pt>
                <c:pt idx="31">
                  <c:v>46405</c:v>
                </c:pt>
                <c:pt idx="32">
                  <c:v>46412</c:v>
                </c:pt>
                <c:pt idx="33">
                  <c:v>46419</c:v>
                </c:pt>
                <c:pt idx="34">
                  <c:v>46426</c:v>
                </c:pt>
                <c:pt idx="35">
                  <c:v>46433</c:v>
                </c:pt>
                <c:pt idx="36">
                  <c:v>46440</c:v>
                </c:pt>
                <c:pt idx="37">
                  <c:v>46447</c:v>
                </c:pt>
                <c:pt idx="38">
                  <c:v>46454</c:v>
                </c:pt>
                <c:pt idx="39">
                  <c:v>46461</c:v>
                </c:pt>
                <c:pt idx="40">
                  <c:v>46468</c:v>
                </c:pt>
                <c:pt idx="41">
                  <c:v>46475</c:v>
                </c:pt>
                <c:pt idx="42">
                  <c:v>46482</c:v>
                </c:pt>
                <c:pt idx="43">
                  <c:v>46489</c:v>
                </c:pt>
                <c:pt idx="44">
                  <c:v>46496</c:v>
                </c:pt>
                <c:pt idx="45">
                  <c:v>46503</c:v>
                </c:pt>
                <c:pt idx="46">
                  <c:v>46510</c:v>
                </c:pt>
                <c:pt idx="47">
                  <c:v>46517</c:v>
                </c:pt>
                <c:pt idx="48">
                  <c:v>46524</c:v>
                </c:pt>
                <c:pt idx="49">
                  <c:v>46531</c:v>
                </c:pt>
                <c:pt idx="50">
                  <c:v>46538</c:v>
                </c:pt>
                <c:pt idx="51">
                  <c:v>46545</c:v>
                </c:pt>
                <c:pt idx="52">
                  <c:v>46552</c:v>
                </c:pt>
                <c:pt idx="53">
                  <c:v>46559</c:v>
                </c:pt>
                <c:pt idx="54">
                  <c:v>46566</c:v>
                </c:pt>
                <c:pt idx="55">
                  <c:v>46573</c:v>
                </c:pt>
                <c:pt idx="56">
                  <c:v>46580</c:v>
                </c:pt>
                <c:pt idx="57">
                  <c:v>46587</c:v>
                </c:pt>
                <c:pt idx="58">
                  <c:v>46594</c:v>
                </c:pt>
                <c:pt idx="59">
                  <c:v>46601</c:v>
                </c:pt>
                <c:pt idx="60">
                  <c:v>46608</c:v>
                </c:pt>
                <c:pt idx="61">
                  <c:v>46615</c:v>
                </c:pt>
                <c:pt idx="62">
                  <c:v>46622</c:v>
                </c:pt>
                <c:pt idx="63">
                  <c:v>46629</c:v>
                </c:pt>
                <c:pt idx="64">
                  <c:v>46636</c:v>
                </c:pt>
                <c:pt idx="65">
                  <c:v>46643</c:v>
                </c:pt>
                <c:pt idx="66">
                  <c:v>46650</c:v>
                </c:pt>
                <c:pt idx="67">
                  <c:v>46657</c:v>
                </c:pt>
                <c:pt idx="68">
                  <c:v>46664</c:v>
                </c:pt>
                <c:pt idx="69">
                  <c:v>46671</c:v>
                </c:pt>
                <c:pt idx="70">
                  <c:v>46678</c:v>
                </c:pt>
                <c:pt idx="71">
                  <c:v>46685</c:v>
                </c:pt>
                <c:pt idx="72">
                  <c:v>46692</c:v>
                </c:pt>
                <c:pt idx="73">
                  <c:v>46699</c:v>
                </c:pt>
                <c:pt idx="74">
                  <c:v>46706</c:v>
                </c:pt>
                <c:pt idx="75">
                  <c:v>46713</c:v>
                </c:pt>
                <c:pt idx="76">
                  <c:v>46720</c:v>
                </c:pt>
                <c:pt idx="77">
                  <c:v>46727</c:v>
                </c:pt>
                <c:pt idx="78">
                  <c:v>46734</c:v>
                </c:pt>
                <c:pt idx="79">
                  <c:v>46741</c:v>
                </c:pt>
                <c:pt idx="80">
                  <c:v>46748</c:v>
                </c:pt>
              </c:numCache>
            </c:numRef>
          </c:cat>
          <c:val>
            <c:numRef>
              <c:f>'5. MV Datacenter'!$F$11:$F$91</c:f>
              <c:numCache>
                <c:formatCode>"$"#,##0</c:formatCode>
                <c:ptCount val="8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9055-024C-B3FE-C957E304D25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numFmt formatCode="dd\-mmm\-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majorGridlines/>
        <c:numFmt formatCode="&quot;$&quot;#,##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2"/>
  <c:chart>
    <c:title>
      <c:tx>
        <c:rich>
          <a:bodyPr/>
          <a:lstStyle/>
          <a:p>
            <a:pPr>
              <a:defRPr/>
            </a:pPr>
            <a:r>
              <a:t>Marcador: Meta vs Real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'6. Cero Expired'!$C$10</c:f>
              <c:strCache>
                <c:ptCount val="1"/>
                <c:pt idx="0">
                  <c:v>Meta</c:v>
                </c:pt>
              </c:strCache>
            </c:strRef>
          </c:tx>
          <c:spPr>
            <a:ln>
              <a:solidFill>
                <a:srgbClr val="A6A6A6"/>
              </a:solidFill>
              <a:prstDash val="dash"/>
            </a:ln>
          </c:spPr>
          <c:marker>
            <c:symbol val="none"/>
          </c:marker>
          <c:cat>
            <c:numRef>
              <c:f>'6. Cero Expired'!$B$11:$B$91</c:f>
              <c:numCache>
                <c:formatCode>dd\-mmm\-yy</c:formatCode>
                <c:ptCount val="81"/>
                <c:pt idx="0">
                  <c:v>46188</c:v>
                </c:pt>
                <c:pt idx="1">
                  <c:v>46195</c:v>
                </c:pt>
                <c:pt idx="2">
                  <c:v>46202</c:v>
                </c:pt>
                <c:pt idx="3">
                  <c:v>46209</c:v>
                </c:pt>
                <c:pt idx="4">
                  <c:v>46216</c:v>
                </c:pt>
                <c:pt idx="5">
                  <c:v>46223</c:v>
                </c:pt>
                <c:pt idx="6">
                  <c:v>46230</c:v>
                </c:pt>
                <c:pt idx="7">
                  <c:v>46237</c:v>
                </c:pt>
                <c:pt idx="8">
                  <c:v>46244</c:v>
                </c:pt>
                <c:pt idx="9">
                  <c:v>46251</c:v>
                </c:pt>
                <c:pt idx="10">
                  <c:v>46258</c:v>
                </c:pt>
                <c:pt idx="11">
                  <c:v>46265</c:v>
                </c:pt>
                <c:pt idx="12">
                  <c:v>46272</c:v>
                </c:pt>
                <c:pt idx="13">
                  <c:v>46279</c:v>
                </c:pt>
                <c:pt idx="14">
                  <c:v>46286</c:v>
                </c:pt>
                <c:pt idx="15">
                  <c:v>46293</c:v>
                </c:pt>
                <c:pt idx="16">
                  <c:v>46300</c:v>
                </c:pt>
                <c:pt idx="17">
                  <c:v>46307</c:v>
                </c:pt>
                <c:pt idx="18">
                  <c:v>46314</c:v>
                </c:pt>
                <c:pt idx="19">
                  <c:v>46321</c:v>
                </c:pt>
                <c:pt idx="20">
                  <c:v>46328</c:v>
                </c:pt>
                <c:pt idx="21">
                  <c:v>46335</c:v>
                </c:pt>
                <c:pt idx="22">
                  <c:v>46342</c:v>
                </c:pt>
                <c:pt idx="23">
                  <c:v>46349</c:v>
                </c:pt>
                <c:pt idx="24">
                  <c:v>46356</c:v>
                </c:pt>
                <c:pt idx="25">
                  <c:v>46363</c:v>
                </c:pt>
                <c:pt idx="26">
                  <c:v>46370</c:v>
                </c:pt>
                <c:pt idx="27">
                  <c:v>46377</c:v>
                </c:pt>
                <c:pt idx="28">
                  <c:v>46384</c:v>
                </c:pt>
                <c:pt idx="29">
                  <c:v>46391</c:v>
                </c:pt>
                <c:pt idx="30">
                  <c:v>46398</c:v>
                </c:pt>
                <c:pt idx="31">
                  <c:v>46405</c:v>
                </c:pt>
                <c:pt idx="32">
                  <c:v>46412</c:v>
                </c:pt>
                <c:pt idx="33">
                  <c:v>46419</c:v>
                </c:pt>
                <c:pt idx="34">
                  <c:v>46426</c:v>
                </c:pt>
                <c:pt idx="35">
                  <c:v>46433</c:v>
                </c:pt>
                <c:pt idx="36">
                  <c:v>46440</c:v>
                </c:pt>
                <c:pt idx="37">
                  <c:v>46447</c:v>
                </c:pt>
                <c:pt idx="38">
                  <c:v>46454</c:v>
                </c:pt>
                <c:pt idx="39">
                  <c:v>46461</c:v>
                </c:pt>
                <c:pt idx="40">
                  <c:v>46468</c:v>
                </c:pt>
                <c:pt idx="41">
                  <c:v>46475</c:v>
                </c:pt>
                <c:pt idx="42">
                  <c:v>46482</c:v>
                </c:pt>
                <c:pt idx="43">
                  <c:v>46489</c:v>
                </c:pt>
                <c:pt idx="44">
                  <c:v>46496</c:v>
                </c:pt>
                <c:pt idx="45">
                  <c:v>46503</c:v>
                </c:pt>
                <c:pt idx="46">
                  <c:v>46510</c:v>
                </c:pt>
                <c:pt idx="47">
                  <c:v>46517</c:v>
                </c:pt>
                <c:pt idx="48">
                  <c:v>46524</c:v>
                </c:pt>
                <c:pt idx="49">
                  <c:v>46531</c:v>
                </c:pt>
                <c:pt idx="50">
                  <c:v>46538</c:v>
                </c:pt>
                <c:pt idx="51">
                  <c:v>46545</c:v>
                </c:pt>
                <c:pt idx="52">
                  <c:v>46552</c:v>
                </c:pt>
                <c:pt idx="53">
                  <c:v>46559</c:v>
                </c:pt>
                <c:pt idx="54">
                  <c:v>46566</c:v>
                </c:pt>
                <c:pt idx="55">
                  <c:v>46573</c:v>
                </c:pt>
                <c:pt idx="56">
                  <c:v>46580</c:v>
                </c:pt>
                <c:pt idx="57">
                  <c:v>46587</c:v>
                </c:pt>
                <c:pt idx="58">
                  <c:v>46594</c:v>
                </c:pt>
                <c:pt idx="59">
                  <c:v>46601</c:v>
                </c:pt>
                <c:pt idx="60">
                  <c:v>46608</c:v>
                </c:pt>
                <c:pt idx="61">
                  <c:v>46615</c:v>
                </c:pt>
                <c:pt idx="62">
                  <c:v>46622</c:v>
                </c:pt>
                <c:pt idx="63">
                  <c:v>46629</c:v>
                </c:pt>
                <c:pt idx="64">
                  <c:v>46636</c:v>
                </c:pt>
                <c:pt idx="65">
                  <c:v>46643</c:v>
                </c:pt>
                <c:pt idx="66">
                  <c:v>46650</c:v>
                </c:pt>
                <c:pt idx="67">
                  <c:v>46657</c:v>
                </c:pt>
                <c:pt idx="68">
                  <c:v>46664</c:v>
                </c:pt>
                <c:pt idx="69">
                  <c:v>46671</c:v>
                </c:pt>
                <c:pt idx="70">
                  <c:v>46678</c:v>
                </c:pt>
                <c:pt idx="71">
                  <c:v>46685</c:v>
                </c:pt>
                <c:pt idx="72">
                  <c:v>46692</c:v>
                </c:pt>
                <c:pt idx="73">
                  <c:v>46699</c:v>
                </c:pt>
                <c:pt idx="74">
                  <c:v>46706</c:v>
                </c:pt>
                <c:pt idx="75">
                  <c:v>46713</c:v>
                </c:pt>
                <c:pt idx="76">
                  <c:v>46720</c:v>
                </c:pt>
                <c:pt idx="77">
                  <c:v>46727</c:v>
                </c:pt>
                <c:pt idx="78">
                  <c:v>46734</c:v>
                </c:pt>
                <c:pt idx="79">
                  <c:v>46741</c:v>
                </c:pt>
                <c:pt idx="80">
                  <c:v>46748</c:v>
                </c:pt>
              </c:numCache>
            </c:numRef>
          </c:cat>
          <c:val>
            <c:numRef>
              <c:f>'6. Cero Expired'!$C$11:$C$91</c:f>
              <c:numCache>
                <c:formatCode>#,##0</c:formatCode>
                <c:ptCount val="8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8C4-F745-9A5E-79F82585DC72}"/>
            </c:ext>
          </c:extLst>
        </c:ser>
        <c:ser>
          <c:idx val="1"/>
          <c:order val="1"/>
          <c:tx>
            <c:strRef>
              <c:f>'6. Cero Expired'!$D$10</c:f>
              <c:strCache>
                <c:ptCount val="1"/>
                <c:pt idx="0">
                  <c:v>Real</c:v>
                </c:pt>
              </c:strCache>
            </c:strRef>
          </c:tx>
          <c:spPr>
            <a:ln w="28000">
              <a:solidFill>
                <a:srgbClr val="2E75B6"/>
              </a:solidFill>
              <a:prstDash val="solid"/>
            </a:ln>
          </c:spPr>
          <c:marker>
            <c:symbol val="none"/>
          </c:marker>
          <c:cat>
            <c:numRef>
              <c:f>'6. Cero Expired'!$B$11:$B$91</c:f>
              <c:numCache>
                <c:formatCode>dd\-mmm\-yy</c:formatCode>
                <c:ptCount val="81"/>
                <c:pt idx="0">
                  <c:v>46188</c:v>
                </c:pt>
                <c:pt idx="1">
                  <c:v>46195</c:v>
                </c:pt>
                <c:pt idx="2">
                  <c:v>46202</c:v>
                </c:pt>
                <c:pt idx="3">
                  <c:v>46209</c:v>
                </c:pt>
                <c:pt idx="4">
                  <c:v>46216</c:v>
                </c:pt>
                <c:pt idx="5">
                  <c:v>46223</c:v>
                </c:pt>
                <c:pt idx="6">
                  <c:v>46230</c:v>
                </c:pt>
                <c:pt idx="7">
                  <c:v>46237</c:v>
                </c:pt>
                <c:pt idx="8">
                  <c:v>46244</c:v>
                </c:pt>
                <c:pt idx="9">
                  <c:v>46251</c:v>
                </c:pt>
                <c:pt idx="10">
                  <c:v>46258</c:v>
                </c:pt>
                <c:pt idx="11">
                  <c:v>46265</c:v>
                </c:pt>
                <c:pt idx="12">
                  <c:v>46272</c:v>
                </c:pt>
                <c:pt idx="13">
                  <c:v>46279</c:v>
                </c:pt>
                <c:pt idx="14">
                  <c:v>46286</c:v>
                </c:pt>
                <c:pt idx="15">
                  <c:v>46293</c:v>
                </c:pt>
                <c:pt idx="16">
                  <c:v>46300</c:v>
                </c:pt>
                <c:pt idx="17">
                  <c:v>46307</c:v>
                </c:pt>
                <c:pt idx="18">
                  <c:v>46314</c:v>
                </c:pt>
                <c:pt idx="19">
                  <c:v>46321</c:v>
                </c:pt>
                <c:pt idx="20">
                  <c:v>46328</c:v>
                </c:pt>
                <c:pt idx="21">
                  <c:v>46335</c:v>
                </c:pt>
                <c:pt idx="22">
                  <c:v>46342</c:v>
                </c:pt>
                <c:pt idx="23">
                  <c:v>46349</c:v>
                </c:pt>
                <c:pt idx="24">
                  <c:v>46356</c:v>
                </c:pt>
                <c:pt idx="25">
                  <c:v>46363</c:v>
                </c:pt>
                <c:pt idx="26">
                  <c:v>46370</c:v>
                </c:pt>
                <c:pt idx="27">
                  <c:v>46377</c:v>
                </c:pt>
                <c:pt idx="28">
                  <c:v>46384</c:v>
                </c:pt>
                <c:pt idx="29">
                  <c:v>46391</c:v>
                </c:pt>
                <c:pt idx="30">
                  <c:v>46398</c:v>
                </c:pt>
                <c:pt idx="31">
                  <c:v>46405</c:v>
                </c:pt>
                <c:pt idx="32">
                  <c:v>46412</c:v>
                </c:pt>
                <c:pt idx="33">
                  <c:v>46419</c:v>
                </c:pt>
                <c:pt idx="34">
                  <c:v>46426</c:v>
                </c:pt>
                <c:pt idx="35">
                  <c:v>46433</c:v>
                </c:pt>
                <c:pt idx="36">
                  <c:v>46440</c:v>
                </c:pt>
                <c:pt idx="37">
                  <c:v>46447</c:v>
                </c:pt>
                <c:pt idx="38">
                  <c:v>46454</c:v>
                </c:pt>
                <c:pt idx="39">
                  <c:v>46461</c:v>
                </c:pt>
                <c:pt idx="40">
                  <c:v>46468</c:v>
                </c:pt>
                <c:pt idx="41">
                  <c:v>46475</c:v>
                </c:pt>
                <c:pt idx="42">
                  <c:v>46482</c:v>
                </c:pt>
                <c:pt idx="43">
                  <c:v>46489</c:v>
                </c:pt>
                <c:pt idx="44">
                  <c:v>46496</c:v>
                </c:pt>
                <c:pt idx="45">
                  <c:v>46503</c:v>
                </c:pt>
                <c:pt idx="46">
                  <c:v>46510</c:v>
                </c:pt>
                <c:pt idx="47">
                  <c:v>46517</c:v>
                </c:pt>
                <c:pt idx="48">
                  <c:v>46524</c:v>
                </c:pt>
                <c:pt idx="49">
                  <c:v>46531</c:v>
                </c:pt>
                <c:pt idx="50">
                  <c:v>46538</c:v>
                </c:pt>
                <c:pt idx="51">
                  <c:v>46545</c:v>
                </c:pt>
                <c:pt idx="52">
                  <c:v>46552</c:v>
                </c:pt>
                <c:pt idx="53">
                  <c:v>46559</c:v>
                </c:pt>
                <c:pt idx="54">
                  <c:v>46566</c:v>
                </c:pt>
                <c:pt idx="55">
                  <c:v>46573</c:v>
                </c:pt>
                <c:pt idx="56">
                  <c:v>46580</c:v>
                </c:pt>
                <c:pt idx="57">
                  <c:v>46587</c:v>
                </c:pt>
                <c:pt idx="58">
                  <c:v>46594</c:v>
                </c:pt>
                <c:pt idx="59">
                  <c:v>46601</c:v>
                </c:pt>
                <c:pt idx="60">
                  <c:v>46608</c:v>
                </c:pt>
                <c:pt idx="61">
                  <c:v>46615</c:v>
                </c:pt>
                <c:pt idx="62">
                  <c:v>46622</c:v>
                </c:pt>
                <c:pt idx="63">
                  <c:v>46629</c:v>
                </c:pt>
                <c:pt idx="64">
                  <c:v>46636</c:v>
                </c:pt>
                <c:pt idx="65">
                  <c:v>46643</c:v>
                </c:pt>
                <c:pt idx="66">
                  <c:v>46650</c:v>
                </c:pt>
                <c:pt idx="67">
                  <c:v>46657</c:v>
                </c:pt>
                <c:pt idx="68">
                  <c:v>46664</c:v>
                </c:pt>
                <c:pt idx="69">
                  <c:v>46671</c:v>
                </c:pt>
                <c:pt idx="70">
                  <c:v>46678</c:v>
                </c:pt>
                <c:pt idx="71">
                  <c:v>46685</c:v>
                </c:pt>
                <c:pt idx="72">
                  <c:v>46692</c:v>
                </c:pt>
                <c:pt idx="73">
                  <c:v>46699</c:v>
                </c:pt>
                <c:pt idx="74">
                  <c:v>46706</c:v>
                </c:pt>
                <c:pt idx="75">
                  <c:v>46713</c:v>
                </c:pt>
                <c:pt idx="76">
                  <c:v>46720</c:v>
                </c:pt>
                <c:pt idx="77">
                  <c:v>46727</c:v>
                </c:pt>
                <c:pt idx="78">
                  <c:v>46734</c:v>
                </c:pt>
                <c:pt idx="79">
                  <c:v>46741</c:v>
                </c:pt>
                <c:pt idx="80">
                  <c:v>46748</c:v>
                </c:pt>
              </c:numCache>
            </c:numRef>
          </c:cat>
          <c:val>
            <c:numRef>
              <c:f>'6. Cero Expired'!$D$11:$D$91</c:f>
              <c:numCache>
                <c:formatCode>General</c:formatCode>
                <c:ptCount val="81"/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8C4-F745-9A5E-79F82585DC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numFmt formatCode="dd\-mmm\-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majorGridlines/>
        <c:numFmt formatCode="#,##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2"/>
  <c:chart>
    <c:title>
      <c:tx>
        <c:rich>
          <a:bodyPr/>
          <a:lstStyle/>
          <a:p>
            <a:pPr>
              <a:defRPr/>
            </a:pPr>
            <a:r>
              <a:t>Marcador: Meta vs Real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'7. MV Digital Sol'!$E$10</c:f>
              <c:strCache>
                <c:ptCount val="1"/>
                <c:pt idx="0">
                  <c:v>Meta acum.</c:v>
                </c:pt>
              </c:strCache>
            </c:strRef>
          </c:tx>
          <c:spPr>
            <a:ln>
              <a:solidFill>
                <a:srgbClr val="A6A6A6"/>
              </a:solidFill>
              <a:prstDash val="dash"/>
            </a:ln>
          </c:spPr>
          <c:marker>
            <c:symbol val="none"/>
          </c:marker>
          <c:cat>
            <c:numRef>
              <c:f>'7. MV Digital Sol'!$B$11:$B$56</c:f>
              <c:numCache>
                <c:formatCode>dd\-mmm\-yy</c:formatCode>
                <c:ptCount val="46"/>
                <c:pt idx="0">
                  <c:v>46188</c:v>
                </c:pt>
                <c:pt idx="1">
                  <c:v>46195</c:v>
                </c:pt>
                <c:pt idx="2">
                  <c:v>46202</c:v>
                </c:pt>
                <c:pt idx="3">
                  <c:v>46209</c:v>
                </c:pt>
                <c:pt idx="4">
                  <c:v>46216</c:v>
                </c:pt>
                <c:pt idx="5">
                  <c:v>46223</c:v>
                </c:pt>
                <c:pt idx="6">
                  <c:v>46230</c:v>
                </c:pt>
                <c:pt idx="7">
                  <c:v>46237</c:v>
                </c:pt>
                <c:pt idx="8">
                  <c:v>46244</c:v>
                </c:pt>
                <c:pt idx="9">
                  <c:v>46251</c:v>
                </c:pt>
                <c:pt idx="10">
                  <c:v>46258</c:v>
                </c:pt>
                <c:pt idx="11">
                  <c:v>46265</c:v>
                </c:pt>
                <c:pt idx="12">
                  <c:v>46272</c:v>
                </c:pt>
                <c:pt idx="13">
                  <c:v>46279</c:v>
                </c:pt>
                <c:pt idx="14">
                  <c:v>46286</c:v>
                </c:pt>
                <c:pt idx="15">
                  <c:v>46293</c:v>
                </c:pt>
                <c:pt idx="16">
                  <c:v>46300</c:v>
                </c:pt>
                <c:pt idx="17">
                  <c:v>46307</c:v>
                </c:pt>
                <c:pt idx="18">
                  <c:v>46314</c:v>
                </c:pt>
                <c:pt idx="19">
                  <c:v>46321</c:v>
                </c:pt>
                <c:pt idx="20">
                  <c:v>46328</c:v>
                </c:pt>
                <c:pt idx="21">
                  <c:v>46335</c:v>
                </c:pt>
                <c:pt idx="22">
                  <c:v>46342</c:v>
                </c:pt>
                <c:pt idx="23">
                  <c:v>46349</c:v>
                </c:pt>
                <c:pt idx="24">
                  <c:v>46356</c:v>
                </c:pt>
                <c:pt idx="25">
                  <c:v>46363</c:v>
                </c:pt>
                <c:pt idx="26">
                  <c:v>46370</c:v>
                </c:pt>
                <c:pt idx="27">
                  <c:v>46377</c:v>
                </c:pt>
                <c:pt idx="28">
                  <c:v>46384</c:v>
                </c:pt>
                <c:pt idx="29">
                  <c:v>46391</c:v>
                </c:pt>
                <c:pt idx="30">
                  <c:v>46398</c:v>
                </c:pt>
                <c:pt idx="31">
                  <c:v>46405</c:v>
                </c:pt>
                <c:pt idx="32">
                  <c:v>46412</c:v>
                </c:pt>
                <c:pt idx="33">
                  <c:v>46419</c:v>
                </c:pt>
                <c:pt idx="34">
                  <c:v>46426</c:v>
                </c:pt>
                <c:pt idx="35">
                  <c:v>46433</c:v>
                </c:pt>
                <c:pt idx="36">
                  <c:v>46440</c:v>
                </c:pt>
                <c:pt idx="37">
                  <c:v>46447</c:v>
                </c:pt>
                <c:pt idx="38">
                  <c:v>46454</c:v>
                </c:pt>
                <c:pt idx="39">
                  <c:v>46461</c:v>
                </c:pt>
                <c:pt idx="40">
                  <c:v>46468</c:v>
                </c:pt>
                <c:pt idx="41">
                  <c:v>46475</c:v>
                </c:pt>
                <c:pt idx="42">
                  <c:v>46482</c:v>
                </c:pt>
                <c:pt idx="43">
                  <c:v>46489</c:v>
                </c:pt>
                <c:pt idx="44">
                  <c:v>46496</c:v>
                </c:pt>
                <c:pt idx="45">
                  <c:v>46503</c:v>
                </c:pt>
              </c:numCache>
            </c:numRef>
          </c:cat>
          <c:val>
            <c:numRef>
              <c:f>'7. MV Digital Sol'!$E$11:$E$56</c:f>
              <c:numCache>
                <c:formatCode>"$"#,##0</c:formatCode>
                <c:ptCount val="46"/>
                <c:pt idx="0">
                  <c:v>652.17391304347825</c:v>
                </c:pt>
                <c:pt idx="1">
                  <c:v>1304.3478260869565</c:v>
                </c:pt>
                <c:pt idx="2">
                  <c:v>1956.5217391304348</c:v>
                </c:pt>
                <c:pt idx="3">
                  <c:v>2608.695652173913</c:v>
                </c:pt>
                <c:pt idx="4">
                  <c:v>3260.869565217391</c:v>
                </c:pt>
                <c:pt idx="5">
                  <c:v>3913.0434782608691</c:v>
                </c:pt>
                <c:pt idx="6">
                  <c:v>4565.2173913043471</c:v>
                </c:pt>
                <c:pt idx="7">
                  <c:v>5217.3913043478251</c:v>
                </c:pt>
                <c:pt idx="8">
                  <c:v>5869.5652173913031</c:v>
                </c:pt>
                <c:pt idx="9">
                  <c:v>6521.7391304347811</c:v>
                </c:pt>
                <c:pt idx="10">
                  <c:v>7173.9130434782592</c:v>
                </c:pt>
                <c:pt idx="11">
                  <c:v>7826.0869565217372</c:v>
                </c:pt>
                <c:pt idx="12">
                  <c:v>8478.2608695652161</c:v>
                </c:pt>
                <c:pt idx="13">
                  <c:v>9130.4347826086941</c:v>
                </c:pt>
                <c:pt idx="14">
                  <c:v>9782.6086956521722</c:v>
                </c:pt>
                <c:pt idx="15">
                  <c:v>10434.78260869565</c:v>
                </c:pt>
                <c:pt idx="16">
                  <c:v>11086.956521739128</c:v>
                </c:pt>
                <c:pt idx="17">
                  <c:v>11739.130434782606</c:v>
                </c:pt>
                <c:pt idx="18">
                  <c:v>12391.304347826084</c:v>
                </c:pt>
                <c:pt idx="19">
                  <c:v>13043.478260869562</c:v>
                </c:pt>
                <c:pt idx="20">
                  <c:v>13695.65217391304</c:v>
                </c:pt>
                <c:pt idx="21">
                  <c:v>14347.826086956518</c:v>
                </c:pt>
                <c:pt idx="22">
                  <c:v>14999.999999999996</c:v>
                </c:pt>
                <c:pt idx="23">
                  <c:v>15652.173913043474</c:v>
                </c:pt>
                <c:pt idx="24">
                  <c:v>16304.347826086952</c:v>
                </c:pt>
                <c:pt idx="25">
                  <c:v>16956.521739130432</c:v>
                </c:pt>
                <c:pt idx="26">
                  <c:v>17608.695652173912</c:v>
                </c:pt>
                <c:pt idx="27">
                  <c:v>18260.869565217392</c:v>
                </c:pt>
                <c:pt idx="28">
                  <c:v>18913.043478260872</c:v>
                </c:pt>
                <c:pt idx="29">
                  <c:v>19565.217391304352</c:v>
                </c:pt>
                <c:pt idx="30">
                  <c:v>20217.391304347831</c:v>
                </c:pt>
                <c:pt idx="31">
                  <c:v>20869.565217391311</c:v>
                </c:pt>
                <c:pt idx="32">
                  <c:v>21521.739130434791</c:v>
                </c:pt>
                <c:pt idx="33">
                  <c:v>22173.913043478271</c:v>
                </c:pt>
                <c:pt idx="34">
                  <c:v>22826.086956521751</c:v>
                </c:pt>
                <c:pt idx="35">
                  <c:v>23478.260869565231</c:v>
                </c:pt>
                <c:pt idx="36">
                  <c:v>24130.434782608711</c:v>
                </c:pt>
                <c:pt idx="37">
                  <c:v>24782.60869565219</c:v>
                </c:pt>
                <c:pt idx="38">
                  <c:v>25434.78260869567</c:v>
                </c:pt>
                <c:pt idx="39">
                  <c:v>26086.95652173915</c:v>
                </c:pt>
                <c:pt idx="40">
                  <c:v>26739.13043478263</c:v>
                </c:pt>
                <c:pt idx="41">
                  <c:v>27391.30434782611</c:v>
                </c:pt>
                <c:pt idx="42">
                  <c:v>28043.47826086959</c:v>
                </c:pt>
                <c:pt idx="43">
                  <c:v>28695.652173913069</c:v>
                </c:pt>
                <c:pt idx="44">
                  <c:v>29347.826086956549</c:v>
                </c:pt>
                <c:pt idx="45">
                  <c:v>30000.000000000029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0C8-B244-83DB-53776B736EA7}"/>
            </c:ext>
          </c:extLst>
        </c:ser>
        <c:ser>
          <c:idx val="1"/>
          <c:order val="1"/>
          <c:tx>
            <c:strRef>
              <c:f>'7. MV Digital Sol'!$F$10</c:f>
              <c:strCache>
                <c:ptCount val="1"/>
                <c:pt idx="0">
                  <c:v>Real acum.</c:v>
                </c:pt>
              </c:strCache>
            </c:strRef>
          </c:tx>
          <c:spPr>
            <a:ln w="28000">
              <a:solidFill>
                <a:srgbClr val="2E75B6"/>
              </a:solidFill>
              <a:prstDash val="solid"/>
            </a:ln>
          </c:spPr>
          <c:marker>
            <c:symbol val="none"/>
          </c:marker>
          <c:cat>
            <c:numRef>
              <c:f>'7. MV Digital Sol'!$B$11:$B$56</c:f>
              <c:numCache>
                <c:formatCode>dd\-mmm\-yy</c:formatCode>
                <c:ptCount val="46"/>
                <c:pt idx="0">
                  <c:v>46188</c:v>
                </c:pt>
                <c:pt idx="1">
                  <c:v>46195</c:v>
                </c:pt>
                <c:pt idx="2">
                  <c:v>46202</c:v>
                </c:pt>
                <c:pt idx="3">
                  <c:v>46209</c:v>
                </c:pt>
                <c:pt idx="4">
                  <c:v>46216</c:v>
                </c:pt>
                <c:pt idx="5">
                  <c:v>46223</c:v>
                </c:pt>
                <c:pt idx="6">
                  <c:v>46230</c:v>
                </c:pt>
                <c:pt idx="7">
                  <c:v>46237</c:v>
                </c:pt>
                <c:pt idx="8">
                  <c:v>46244</c:v>
                </c:pt>
                <c:pt idx="9">
                  <c:v>46251</c:v>
                </c:pt>
                <c:pt idx="10">
                  <c:v>46258</c:v>
                </c:pt>
                <c:pt idx="11">
                  <c:v>46265</c:v>
                </c:pt>
                <c:pt idx="12">
                  <c:v>46272</c:v>
                </c:pt>
                <c:pt idx="13">
                  <c:v>46279</c:v>
                </c:pt>
                <c:pt idx="14">
                  <c:v>46286</c:v>
                </c:pt>
                <c:pt idx="15">
                  <c:v>46293</c:v>
                </c:pt>
                <c:pt idx="16">
                  <c:v>46300</c:v>
                </c:pt>
                <c:pt idx="17">
                  <c:v>46307</c:v>
                </c:pt>
                <c:pt idx="18">
                  <c:v>46314</c:v>
                </c:pt>
                <c:pt idx="19">
                  <c:v>46321</c:v>
                </c:pt>
                <c:pt idx="20">
                  <c:v>46328</c:v>
                </c:pt>
                <c:pt idx="21">
                  <c:v>46335</c:v>
                </c:pt>
                <c:pt idx="22">
                  <c:v>46342</c:v>
                </c:pt>
                <c:pt idx="23">
                  <c:v>46349</c:v>
                </c:pt>
                <c:pt idx="24">
                  <c:v>46356</c:v>
                </c:pt>
                <c:pt idx="25">
                  <c:v>46363</c:v>
                </c:pt>
                <c:pt idx="26">
                  <c:v>46370</c:v>
                </c:pt>
                <c:pt idx="27">
                  <c:v>46377</c:v>
                </c:pt>
                <c:pt idx="28">
                  <c:v>46384</c:v>
                </c:pt>
                <c:pt idx="29">
                  <c:v>46391</c:v>
                </c:pt>
                <c:pt idx="30">
                  <c:v>46398</c:v>
                </c:pt>
                <c:pt idx="31">
                  <c:v>46405</c:v>
                </c:pt>
                <c:pt idx="32">
                  <c:v>46412</c:v>
                </c:pt>
                <c:pt idx="33">
                  <c:v>46419</c:v>
                </c:pt>
                <c:pt idx="34">
                  <c:v>46426</c:v>
                </c:pt>
                <c:pt idx="35">
                  <c:v>46433</c:v>
                </c:pt>
                <c:pt idx="36">
                  <c:v>46440</c:v>
                </c:pt>
                <c:pt idx="37">
                  <c:v>46447</c:v>
                </c:pt>
                <c:pt idx="38">
                  <c:v>46454</c:v>
                </c:pt>
                <c:pt idx="39">
                  <c:v>46461</c:v>
                </c:pt>
                <c:pt idx="40">
                  <c:v>46468</c:v>
                </c:pt>
                <c:pt idx="41">
                  <c:v>46475</c:v>
                </c:pt>
                <c:pt idx="42">
                  <c:v>46482</c:v>
                </c:pt>
                <c:pt idx="43">
                  <c:v>46489</c:v>
                </c:pt>
                <c:pt idx="44">
                  <c:v>46496</c:v>
                </c:pt>
                <c:pt idx="45">
                  <c:v>46503</c:v>
                </c:pt>
              </c:numCache>
            </c:numRef>
          </c:cat>
          <c:val>
            <c:numRef>
              <c:f>'7. MV Digital Sol'!$F$11:$F$56</c:f>
              <c:numCache>
                <c:formatCode>"$"#,##0</c:formatCode>
                <c:ptCount val="4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B0C8-B244-83DB-53776B736E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numFmt formatCode="dd\-mmm\-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majorGridlines/>
        <c:numFmt formatCode="&quot;$&quot;#,##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2"/>
  <c:chart>
    <c:title>
      <c:tx>
        <c:rich>
          <a:bodyPr/>
          <a:lstStyle/>
          <a:p>
            <a:pPr>
              <a:defRPr/>
            </a:pPr>
            <a:r>
              <a:t>Marcador: Meta vs Real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'8. GP 16%'!$C$10</c:f>
              <c:strCache>
                <c:ptCount val="1"/>
                <c:pt idx="0">
                  <c:v>Meta</c:v>
                </c:pt>
              </c:strCache>
            </c:strRef>
          </c:tx>
          <c:spPr>
            <a:ln>
              <a:solidFill>
                <a:srgbClr val="A6A6A6"/>
              </a:solidFill>
              <a:prstDash val="dash"/>
            </a:ln>
          </c:spPr>
          <c:marker>
            <c:symbol val="none"/>
          </c:marker>
          <c:cat>
            <c:numRef>
              <c:f>'8. GP 16%'!$B$11:$B$28</c:f>
              <c:numCache>
                <c:formatCode>mmm\-yy</c:formatCode>
                <c:ptCount val="18"/>
                <c:pt idx="0">
                  <c:v>46204</c:v>
                </c:pt>
                <c:pt idx="1">
                  <c:v>46235</c:v>
                </c:pt>
                <c:pt idx="2">
                  <c:v>46266</c:v>
                </c:pt>
                <c:pt idx="3">
                  <c:v>46296</c:v>
                </c:pt>
                <c:pt idx="4">
                  <c:v>46327</c:v>
                </c:pt>
                <c:pt idx="5">
                  <c:v>46357</c:v>
                </c:pt>
                <c:pt idx="6">
                  <c:v>46388</c:v>
                </c:pt>
                <c:pt idx="7">
                  <c:v>46419</c:v>
                </c:pt>
                <c:pt idx="8">
                  <c:v>46447</c:v>
                </c:pt>
                <c:pt idx="9">
                  <c:v>46478</c:v>
                </c:pt>
                <c:pt idx="10">
                  <c:v>46508</c:v>
                </c:pt>
                <c:pt idx="11">
                  <c:v>46539</c:v>
                </c:pt>
                <c:pt idx="12">
                  <c:v>46569</c:v>
                </c:pt>
                <c:pt idx="13">
                  <c:v>46600</c:v>
                </c:pt>
                <c:pt idx="14">
                  <c:v>46631</c:v>
                </c:pt>
                <c:pt idx="15">
                  <c:v>46661</c:v>
                </c:pt>
                <c:pt idx="16">
                  <c:v>46692</c:v>
                </c:pt>
                <c:pt idx="17">
                  <c:v>46722</c:v>
                </c:pt>
              </c:numCache>
            </c:numRef>
          </c:cat>
          <c:val>
            <c:numRef>
              <c:f>'8. GP 16%'!$C$11:$C$28</c:f>
              <c:numCache>
                <c:formatCode>0.0%</c:formatCode>
                <c:ptCount val="18"/>
                <c:pt idx="0">
                  <c:v>0.16</c:v>
                </c:pt>
                <c:pt idx="1">
                  <c:v>0.16</c:v>
                </c:pt>
                <c:pt idx="2">
                  <c:v>0.16</c:v>
                </c:pt>
                <c:pt idx="3">
                  <c:v>0.16</c:v>
                </c:pt>
                <c:pt idx="4">
                  <c:v>0.16</c:v>
                </c:pt>
                <c:pt idx="5">
                  <c:v>0.16</c:v>
                </c:pt>
                <c:pt idx="6">
                  <c:v>0.16</c:v>
                </c:pt>
                <c:pt idx="7">
                  <c:v>0.16</c:v>
                </c:pt>
                <c:pt idx="8">
                  <c:v>0.16</c:v>
                </c:pt>
                <c:pt idx="9">
                  <c:v>0.16</c:v>
                </c:pt>
                <c:pt idx="10">
                  <c:v>0.16</c:v>
                </c:pt>
                <c:pt idx="11">
                  <c:v>0.16</c:v>
                </c:pt>
                <c:pt idx="12">
                  <c:v>0.16</c:v>
                </c:pt>
                <c:pt idx="13">
                  <c:v>0.16</c:v>
                </c:pt>
                <c:pt idx="14">
                  <c:v>0.16</c:v>
                </c:pt>
                <c:pt idx="15">
                  <c:v>0.16</c:v>
                </c:pt>
                <c:pt idx="16">
                  <c:v>0.16</c:v>
                </c:pt>
                <c:pt idx="17">
                  <c:v>0.16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B0B-B345-A2BB-9A45E70C9D62}"/>
            </c:ext>
          </c:extLst>
        </c:ser>
        <c:ser>
          <c:idx val="1"/>
          <c:order val="1"/>
          <c:tx>
            <c:strRef>
              <c:f>'8. GP 16%'!$D$10</c:f>
              <c:strCache>
                <c:ptCount val="1"/>
                <c:pt idx="0">
                  <c:v>Real</c:v>
                </c:pt>
              </c:strCache>
            </c:strRef>
          </c:tx>
          <c:spPr>
            <a:ln w="28000">
              <a:solidFill>
                <a:srgbClr val="2E75B6"/>
              </a:solidFill>
              <a:prstDash val="solid"/>
            </a:ln>
          </c:spPr>
          <c:marker>
            <c:symbol val="none"/>
          </c:marker>
          <c:cat>
            <c:numRef>
              <c:f>'8. GP 16%'!$B$11:$B$28</c:f>
              <c:numCache>
                <c:formatCode>mmm\-yy</c:formatCode>
                <c:ptCount val="18"/>
                <c:pt idx="0">
                  <c:v>46204</c:v>
                </c:pt>
                <c:pt idx="1">
                  <c:v>46235</c:v>
                </c:pt>
                <c:pt idx="2">
                  <c:v>46266</c:v>
                </c:pt>
                <c:pt idx="3">
                  <c:v>46296</c:v>
                </c:pt>
                <c:pt idx="4">
                  <c:v>46327</c:v>
                </c:pt>
                <c:pt idx="5">
                  <c:v>46357</c:v>
                </c:pt>
                <c:pt idx="6">
                  <c:v>46388</c:v>
                </c:pt>
                <c:pt idx="7">
                  <c:v>46419</c:v>
                </c:pt>
                <c:pt idx="8">
                  <c:v>46447</c:v>
                </c:pt>
                <c:pt idx="9">
                  <c:v>46478</c:v>
                </c:pt>
                <c:pt idx="10">
                  <c:v>46508</c:v>
                </c:pt>
                <c:pt idx="11">
                  <c:v>46539</c:v>
                </c:pt>
                <c:pt idx="12">
                  <c:v>46569</c:v>
                </c:pt>
                <c:pt idx="13">
                  <c:v>46600</c:v>
                </c:pt>
                <c:pt idx="14">
                  <c:v>46631</c:v>
                </c:pt>
                <c:pt idx="15">
                  <c:v>46661</c:v>
                </c:pt>
                <c:pt idx="16">
                  <c:v>46692</c:v>
                </c:pt>
                <c:pt idx="17">
                  <c:v>46722</c:v>
                </c:pt>
              </c:numCache>
            </c:numRef>
          </c:cat>
          <c:val>
            <c:numRef>
              <c:f>'8. GP 16%'!$D$11:$D$28</c:f>
              <c:numCache>
                <c:formatCode>General</c:formatCode>
                <c:ptCount val="18"/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BB0B-B345-A2BB-9A45E70C9D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numFmt formatCode="mmm\-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months"/>
      </c:dateAx>
      <c:valAx>
        <c:axId val="100"/>
        <c:scaling>
          <c:orientation val="minMax"/>
        </c:scaling>
        <c:delete val="1"/>
        <c:axPos val="l"/>
        <c:majorGridlines/>
        <c:numFmt formatCode="0.0%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2"/>
  <c:chart>
    <c:title>
      <c:tx>
        <c:rich>
          <a:bodyPr/>
          <a:lstStyle/>
          <a:p>
            <a:pPr>
              <a:defRPr/>
            </a:pPr>
            <a:r>
              <a:t>Marcador: Meta vs Real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'9. CSAT'!$C$10</c:f>
              <c:strCache>
                <c:ptCount val="1"/>
                <c:pt idx="0">
                  <c:v>Meta</c:v>
                </c:pt>
              </c:strCache>
            </c:strRef>
          </c:tx>
          <c:spPr>
            <a:ln>
              <a:solidFill>
                <a:srgbClr val="A6A6A6"/>
              </a:solidFill>
              <a:prstDash val="dash"/>
            </a:ln>
          </c:spPr>
          <c:marker>
            <c:symbol val="none"/>
          </c:marker>
          <c:cat>
            <c:numRef>
              <c:f>'9. CSAT'!$B$11:$B$28</c:f>
              <c:numCache>
                <c:formatCode>mmm\-yy</c:formatCode>
                <c:ptCount val="18"/>
                <c:pt idx="0">
                  <c:v>46204</c:v>
                </c:pt>
                <c:pt idx="1">
                  <c:v>46235</c:v>
                </c:pt>
                <c:pt idx="2">
                  <c:v>46266</c:v>
                </c:pt>
                <c:pt idx="3">
                  <c:v>46296</c:v>
                </c:pt>
                <c:pt idx="4">
                  <c:v>46327</c:v>
                </c:pt>
                <c:pt idx="5">
                  <c:v>46357</c:v>
                </c:pt>
                <c:pt idx="6">
                  <c:v>46388</c:v>
                </c:pt>
                <c:pt idx="7">
                  <c:v>46419</c:v>
                </c:pt>
                <c:pt idx="8">
                  <c:v>46447</c:v>
                </c:pt>
                <c:pt idx="9">
                  <c:v>46478</c:v>
                </c:pt>
                <c:pt idx="10">
                  <c:v>46508</c:v>
                </c:pt>
                <c:pt idx="11">
                  <c:v>46539</c:v>
                </c:pt>
                <c:pt idx="12">
                  <c:v>46569</c:v>
                </c:pt>
                <c:pt idx="13">
                  <c:v>46600</c:v>
                </c:pt>
                <c:pt idx="14">
                  <c:v>46631</c:v>
                </c:pt>
                <c:pt idx="15">
                  <c:v>46661</c:v>
                </c:pt>
                <c:pt idx="16">
                  <c:v>46692</c:v>
                </c:pt>
                <c:pt idx="17">
                  <c:v>46722</c:v>
                </c:pt>
              </c:numCache>
            </c:numRef>
          </c:cat>
          <c:val>
            <c:numRef>
              <c:f>'9. CSAT'!$C$11:$C$28</c:f>
              <c:numCache>
                <c:formatCode>0.0</c:formatCode>
                <c:ptCount val="18"/>
                <c:pt idx="0">
                  <c:v>4.5</c:v>
                </c:pt>
                <c:pt idx="1">
                  <c:v>4.5</c:v>
                </c:pt>
                <c:pt idx="2">
                  <c:v>4.5</c:v>
                </c:pt>
                <c:pt idx="3">
                  <c:v>4.5</c:v>
                </c:pt>
                <c:pt idx="4">
                  <c:v>4.5</c:v>
                </c:pt>
                <c:pt idx="5">
                  <c:v>4.5</c:v>
                </c:pt>
                <c:pt idx="6">
                  <c:v>4.5</c:v>
                </c:pt>
                <c:pt idx="7">
                  <c:v>4.5</c:v>
                </c:pt>
                <c:pt idx="8">
                  <c:v>4.5</c:v>
                </c:pt>
                <c:pt idx="9">
                  <c:v>4.5</c:v>
                </c:pt>
                <c:pt idx="10">
                  <c:v>4.5</c:v>
                </c:pt>
                <c:pt idx="11">
                  <c:v>4.5</c:v>
                </c:pt>
                <c:pt idx="12">
                  <c:v>4.5</c:v>
                </c:pt>
                <c:pt idx="13">
                  <c:v>4.5</c:v>
                </c:pt>
                <c:pt idx="14">
                  <c:v>4.5</c:v>
                </c:pt>
                <c:pt idx="15">
                  <c:v>4.5</c:v>
                </c:pt>
                <c:pt idx="16">
                  <c:v>4.5</c:v>
                </c:pt>
                <c:pt idx="17">
                  <c:v>4.5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2D4-954A-8394-22471916AA7C}"/>
            </c:ext>
          </c:extLst>
        </c:ser>
        <c:ser>
          <c:idx val="1"/>
          <c:order val="1"/>
          <c:tx>
            <c:strRef>
              <c:f>'9. CSAT'!$D$10</c:f>
              <c:strCache>
                <c:ptCount val="1"/>
                <c:pt idx="0">
                  <c:v>Real</c:v>
                </c:pt>
              </c:strCache>
            </c:strRef>
          </c:tx>
          <c:spPr>
            <a:ln w="28000">
              <a:solidFill>
                <a:srgbClr val="2E75B6"/>
              </a:solidFill>
              <a:prstDash val="solid"/>
            </a:ln>
          </c:spPr>
          <c:marker>
            <c:symbol val="none"/>
          </c:marker>
          <c:cat>
            <c:numRef>
              <c:f>'9. CSAT'!$B$11:$B$28</c:f>
              <c:numCache>
                <c:formatCode>mmm\-yy</c:formatCode>
                <c:ptCount val="18"/>
                <c:pt idx="0">
                  <c:v>46204</c:v>
                </c:pt>
                <c:pt idx="1">
                  <c:v>46235</c:v>
                </c:pt>
                <c:pt idx="2">
                  <c:v>46266</c:v>
                </c:pt>
                <c:pt idx="3">
                  <c:v>46296</c:v>
                </c:pt>
                <c:pt idx="4">
                  <c:v>46327</c:v>
                </c:pt>
                <c:pt idx="5">
                  <c:v>46357</c:v>
                </c:pt>
                <c:pt idx="6">
                  <c:v>46388</c:v>
                </c:pt>
                <c:pt idx="7">
                  <c:v>46419</c:v>
                </c:pt>
                <c:pt idx="8">
                  <c:v>46447</c:v>
                </c:pt>
                <c:pt idx="9">
                  <c:v>46478</c:v>
                </c:pt>
                <c:pt idx="10">
                  <c:v>46508</c:v>
                </c:pt>
                <c:pt idx="11">
                  <c:v>46539</c:v>
                </c:pt>
                <c:pt idx="12">
                  <c:v>46569</c:v>
                </c:pt>
                <c:pt idx="13">
                  <c:v>46600</c:v>
                </c:pt>
                <c:pt idx="14">
                  <c:v>46631</c:v>
                </c:pt>
                <c:pt idx="15">
                  <c:v>46661</c:v>
                </c:pt>
                <c:pt idx="16">
                  <c:v>46692</c:v>
                </c:pt>
                <c:pt idx="17">
                  <c:v>46722</c:v>
                </c:pt>
              </c:numCache>
            </c:numRef>
          </c:cat>
          <c:val>
            <c:numRef>
              <c:f>'9. CSAT'!$D$11:$D$28</c:f>
              <c:numCache>
                <c:formatCode>General</c:formatCode>
                <c:ptCount val="18"/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2D4-954A-8394-22471916AA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numFmt formatCode="mmm\-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months"/>
      </c:dateAx>
      <c:valAx>
        <c:axId val="100"/>
        <c:scaling>
          <c:orientation val="minMax"/>
        </c:scaling>
        <c:delete val="1"/>
        <c:axPos val="l"/>
        <c:majorGridlines/>
        <c:numFmt formatCode="0.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0</xdr:colOff>
      <xdr:row>3</xdr:row>
      <xdr:rowOff>0</xdr:rowOff>
    </xdr:from>
    <xdr:ext cx="504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25</xdr:col>
      <xdr:colOff>0</xdr:colOff>
      <xdr:row>1</xdr:row>
      <xdr:rowOff>0</xdr:rowOff>
    </xdr:from>
    <xdr:ext cx="576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25</xdr:col>
      <xdr:colOff>0</xdr:colOff>
      <xdr:row>1</xdr:row>
      <xdr:rowOff>0</xdr:rowOff>
    </xdr:from>
    <xdr:ext cx="576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25</xdr:col>
      <xdr:colOff>0</xdr:colOff>
      <xdr:row>1</xdr:row>
      <xdr:rowOff>0</xdr:rowOff>
    </xdr:from>
    <xdr:ext cx="576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25</xdr:col>
      <xdr:colOff>0</xdr:colOff>
      <xdr:row>1</xdr:row>
      <xdr:rowOff>0</xdr:rowOff>
    </xdr:from>
    <xdr:ext cx="576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25</xdr:col>
      <xdr:colOff>0</xdr:colOff>
      <xdr:row>1</xdr:row>
      <xdr:rowOff>0</xdr:rowOff>
    </xdr:from>
    <xdr:ext cx="576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7.xml><?xml version="1.0" encoding="utf-8"?>
<xdr:wsDr xmlns:xdr="http://schemas.openxmlformats.org/drawingml/2006/spreadsheetDrawing" xmlns:a="http://schemas.openxmlformats.org/drawingml/2006/main">
  <xdr:oneCellAnchor>
    <xdr:from>
      <xdr:col>25</xdr:col>
      <xdr:colOff>0</xdr:colOff>
      <xdr:row>1</xdr:row>
      <xdr:rowOff>0</xdr:rowOff>
    </xdr:from>
    <xdr:ext cx="576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8.xml><?xml version="1.0" encoding="utf-8"?>
<xdr:wsDr xmlns:xdr="http://schemas.openxmlformats.org/drawingml/2006/spreadsheetDrawing" xmlns:a="http://schemas.openxmlformats.org/drawingml/2006/main">
  <xdr:oneCellAnchor>
    <xdr:from>
      <xdr:col>25</xdr:col>
      <xdr:colOff>0</xdr:colOff>
      <xdr:row>1</xdr:row>
      <xdr:rowOff>0</xdr:rowOff>
    </xdr:from>
    <xdr:ext cx="576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9.xml><?xml version="1.0" encoding="utf-8"?>
<xdr:wsDr xmlns:xdr="http://schemas.openxmlformats.org/drawingml/2006/spreadsheetDrawing" xmlns:a="http://schemas.openxmlformats.org/drawingml/2006/main">
  <xdr:oneCellAnchor>
    <xdr:from>
      <xdr:col>25</xdr:col>
      <xdr:colOff>0</xdr:colOff>
      <xdr:row>1</xdr:row>
      <xdr:rowOff>0</xdr:rowOff>
    </xdr:from>
    <xdr:ext cx="576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0.xml><?xml version="1.0" encoding="utf-8"?>
<xdr:wsDr xmlns:xdr="http://schemas.openxmlformats.org/drawingml/2006/spreadsheetDrawing" xmlns:a="http://schemas.openxmlformats.org/drawingml/2006/main">
  <xdr:oneCellAnchor>
    <xdr:from>
      <xdr:col>25</xdr:col>
      <xdr:colOff>0</xdr:colOff>
      <xdr:row>1</xdr:row>
      <xdr:rowOff>0</xdr:rowOff>
    </xdr:from>
    <xdr:ext cx="576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1"/>
  <sheetViews>
    <sheetView showGridLines="0" tabSelected="1" workbookViewId="0">
      <selection sqref="A1:H1"/>
    </sheetView>
  </sheetViews>
  <sheetFormatPr baseColWidth="10" defaultColWidth="8.83203125" defaultRowHeight="15" x14ac:dyDescent="0.2"/>
  <cols>
    <col min="1" max="1" width="5" customWidth="1"/>
    <col min="2" max="2" width="52" customWidth="1"/>
    <col min="3" max="3" width="16" customWidth="1"/>
    <col min="4" max="4" width="30" customWidth="1"/>
    <col min="5" max="7" width="11" customWidth="1"/>
    <col min="8" max="8" width="16" customWidth="1"/>
  </cols>
  <sheetData>
    <row r="1" spans="1:8" ht="20" x14ac:dyDescent="0.2">
      <c r="A1" s="74" t="s">
        <v>0</v>
      </c>
      <c r="B1" s="73"/>
      <c r="C1" s="73"/>
      <c r="D1" s="73"/>
      <c r="E1" s="73"/>
      <c r="F1" s="73"/>
      <c r="G1" s="73"/>
      <c r="H1" s="73"/>
    </row>
    <row r="2" spans="1:8" x14ac:dyDescent="0.2">
      <c r="A2" s="72" t="s">
        <v>1</v>
      </c>
      <c r="B2" s="73"/>
      <c r="C2" s="73"/>
      <c r="D2" s="73"/>
      <c r="E2" s="73"/>
      <c r="F2" s="73"/>
      <c r="G2" s="73"/>
      <c r="H2" s="73"/>
    </row>
    <row r="4" spans="1:8" x14ac:dyDescent="0.2">
      <c r="A4" s="1" t="s">
        <v>2</v>
      </c>
      <c r="C4" s="2">
        <v>1000000</v>
      </c>
    </row>
    <row r="6" spans="1:8" x14ac:dyDescent="0.2">
      <c r="A6" s="3" t="s">
        <v>3</v>
      </c>
      <c r="B6" s="3" t="s">
        <v>4</v>
      </c>
      <c r="C6" s="3" t="s">
        <v>5</v>
      </c>
      <c r="D6" s="3" t="s">
        <v>6</v>
      </c>
      <c r="E6" s="3" t="s">
        <v>7</v>
      </c>
      <c r="F6" s="3" t="s">
        <v>8</v>
      </c>
      <c r="G6" s="3" t="s">
        <v>9</v>
      </c>
    </row>
    <row r="7" spans="1:8" x14ac:dyDescent="0.2">
      <c r="A7" s="4">
        <v>46388</v>
      </c>
      <c r="B7" s="5">
        <f t="shared" ref="B7:B18" si="0">$C$4/12</f>
        <v>83333.333333333328</v>
      </c>
      <c r="C7" s="6"/>
      <c r="D7" s="5">
        <f>SUM($B$7:B7)</f>
        <v>83333.333333333328</v>
      </c>
      <c r="E7" s="5">
        <f>SUM($C$7:C7)</f>
        <v>0</v>
      </c>
      <c r="F7" s="7" t="str">
        <f>IF(COUNT($C$7:C7)=0,"",E7/D7)</f>
        <v/>
      </c>
      <c r="G7" s="8" t="str">
        <f t="shared" ref="G7:G18" si="1">IF(F7="","",IF(F7&gt;=0.95,"En meta",IF(F7&gt;=0.8,"Riesgo","Atrasado")))</f>
        <v/>
      </c>
    </row>
    <row r="8" spans="1:8" x14ac:dyDescent="0.2">
      <c r="A8" s="9">
        <v>46419</v>
      </c>
      <c r="B8" s="10">
        <f t="shared" si="0"/>
        <v>83333.333333333328</v>
      </c>
      <c r="C8" s="6"/>
      <c r="D8" s="10">
        <f>SUM($B$7:B8)</f>
        <v>166666.66666666666</v>
      </c>
      <c r="E8" s="10">
        <f>SUM($C$7:C8)</f>
        <v>0</v>
      </c>
      <c r="F8" s="11" t="str">
        <f>IF(COUNT($C$7:C8)=0,"",E8/D8)</f>
        <v/>
      </c>
      <c r="G8" s="12" t="str">
        <f t="shared" si="1"/>
        <v/>
      </c>
    </row>
    <row r="9" spans="1:8" x14ac:dyDescent="0.2">
      <c r="A9" s="4">
        <v>46447</v>
      </c>
      <c r="B9" s="5">
        <f t="shared" si="0"/>
        <v>83333.333333333328</v>
      </c>
      <c r="C9" s="6"/>
      <c r="D9" s="5">
        <f>SUM($B$7:B9)</f>
        <v>250000</v>
      </c>
      <c r="E9" s="5">
        <f>SUM($C$7:C9)</f>
        <v>0</v>
      </c>
      <c r="F9" s="7" t="str">
        <f>IF(COUNT($C$7:C9)=0,"",E9/D9)</f>
        <v/>
      </c>
      <c r="G9" s="8" t="str">
        <f t="shared" si="1"/>
        <v/>
      </c>
    </row>
    <row r="10" spans="1:8" x14ac:dyDescent="0.2">
      <c r="A10" s="9">
        <v>46478</v>
      </c>
      <c r="B10" s="10">
        <f t="shared" si="0"/>
        <v>83333.333333333328</v>
      </c>
      <c r="C10" s="6"/>
      <c r="D10" s="10">
        <f>SUM($B$7:B10)</f>
        <v>333333.33333333331</v>
      </c>
      <c r="E10" s="10">
        <f>SUM($C$7:C10)</f>
        <v>0</v>
      </c>
      <c r="F10" s="11" t="str">
        <f>IF(COUNT($C$7:C10)=0,"",E10/D10)</f>
        <v/>
      </c>
      <c r="G10" s="12" t="str">
        <f t="shared" si="1"/>
        <v/>
      </c>
    </row>
    <row r="11" spans="1:8" x14ac:dyDescent="0.2">
      <c r="A11" s="4">
        <v>46508</v>
      </c>
      <c r="B11" s="5">
        <f t="shared" si="0"/>
        <v>83333.333333333328</v>
      </c>
      <c r="C11" s="6"/>
      <c r="D11" s="5">
        <f>SUM($B$7:B11)</f>
        <v>416666.66666666663</v>
      </c>
      <c r="E11" s="5">
        <f>SUM($C$7:C11)</f>
        <v>0</v>
      </c>
      <c r="F11" s="7" t="str">
        <f>IF(COUNT($C$7:C11)=0,"",E11/D11)</f>
        <v/>
      </c>
      <c r="G11" s="8" t="str">
        <f t="shared" si="1"/>
        <v/>
      </c>
    </row>
    <row r="12" spans="1:8" x14ac:dyDescent="0.2">
      <c r="A12" s="9">
        <v>46539</v>
      </c>
      <c r="B12" s="10">
        <f t="shared" si="0"/>
        <v>83333.333333333328</v>
      </c>
      <c r="C12" s="6"/>
      <c r="D12" s="10">
        <f>SUM($B$7:B12)</f>
        <v>499999.99999999994</v>
      </c>
      <c r="E12" s="10">
        <f>SUM($C$7:C12)</f>
        <v>0</v>
      </c>
      <c r="F12" s="11" t="str">
        <f>IF(COUNT($C$7:C12)=0,"",E12/D12)</f>
        <v/>
      </c>
      <c r="G12" s="12" t="str">
        <f t="shared" si="1"/>
        <v/>
      </c>
    </row>
    <row r="13" spans="1:8" x14ac:dyDescent="0.2">
      <c r="A13" s="4">
        <v>46569</v>
      </c>
      <c r="B13" s="5">
        <f t="shared" si="0"/>
        <v>83333.333333333328</v>
      </c>
      <c r="C13" s="6"/>
      <c r="D13" s="5">
        <f>SUM($B$7:B13)</f>
        <v>583333.33333333326</v>
      </c>
      <c r="E13" s="5">
        <f>SUM($C$7:C13)</f>
        <v>0</v>
      </c>
      <c r="F13" s="7" t="str">
        <f>IF(COUNT($C$7:C13)=0,"",E13/D13)</f>
        <v/>
      </c>
      <c r="G13" s="8" t="str">
        <f t="shared" si="1"/>
        <v/>
      </c>
    </row>
    <row r="14" spans="1:8" x14ac:dyDescent="0.2">
      <c r="A14" s="9">
        <v>46600</v>
      </c>
      <c r="B14" s="10">
        <f t="shared" si="0"/>
        <v>83333.333333333328</v>
      </c>
      <c r="C14" s="6"/>
      <c r="D14" s="10">
        <f>SUM($B$7:B14)</f>
        <v>666666.66666666663</v>
      </c>
      <c r="E14" s="10">
        <f>SUM($C$7:C14)</f>
        <v>0</v>
      </c>
      <c r="F14" s="11" t="str">
        <f>IF(COUNT($C$7:C14)=0,"",E14/D14)</f>
        <v/>
      </c>
      <c r="G14" s="12" t="str">
        <f t="shared" si="1"/>
        <v/>
      </c>
    </row>
    <row r="15" spans="1:8" x14ac:dyDescent="0.2">
      <c r="A15" s="4">
        <v>46631</v>
      </c>
      <c r="B15" s="5">
        <f t="shared" si="0"/>
        <v>83333.333333333328</v>
      </c>
      <c r="C15" s="6"/>
      <c r="D15" s="5">
        <f>SUM($B$7:B15)</f>
        <v>750000</v>
      </c>
      <c r="E15" s="5">
        <f>SUM($C$7:C15)</f>
        <v>0</v>
      </c>
      <c r="F15" s="7" t="str">
        <f>IF(COUNT($C$7:C15)=0,"",E15/D15)</f>
        <v/>
      </c>
      <c r="G15" s="8" t="str">
        <f t="shared" si="1"/>
        <v/>
      </c>
    </row>
    <row r="16" spans="1:8" x14ac:dyDescent="0.2">
      <c r="A16" s="9">
        <v>46661</v>
      </c>
      <c r="B16" s="10">
        <f t="shared" si="0"/>
        <v>83333.333333333328</v>
      </c>
      <c r="C16" s="6"/>
      <c r="D16" s="10">
        <f>SUM($B$7:B16)</f>
        <v>833333.33333333337</v>
      </c>
      <c r="E16" s="10">
        <f>SUM($C$7:C16)</f>
        <v>0</v>
      </c>
      <c r="F16" s="11" t="str">
        <f>IF(COUNT($C$7:C16)=0,"",E16/D16)</f>
        <v/>
      </c>
      <c r="G16" s="12" t="str">
        <f t="shared" si="1"/>
        <v/>
      </c>
    </row>
    <row r="17" spans="1:8" x14ac:dyDescent="0.2">
      <c r="A17" s="4">
        <v>46692</v>
      </c>
      <c r="B17" s="5">
        <f t="shared" si="0"/>
        <v>83333.333333333328</v>
      </c>
      <c r="C17" s="6"/>
      <c r="D17" s="5">
        <f>SUM($B$7:B17)</f>
        <v>916666.66666666674</v>
      </c>
      <c r="E17" s="5">
        <f>SUM($C$7:C17)</f>
        <v>0</v>
      </c>
      <c r="F17" s="7" t="str">
        <f>IF(COUNT($C$7:C17)=0,"",E17/D17)</f>
        <v/>
      </c>
      <c r="G17" s="8" t="str">
        <f t="shared" si="1"/>
        <v/>
      </c>
    </row>
    <row r="18" spans="1:8" x14ac:dyDescent="0.2">
      <c r="A18" s="9">
        <v>46722</v>
      </c>
      <c r="B18" s="10">
        <f t="shared" si="0"/>
        <v>83333.333333333328</v>
      </c>
      <c r="C18" s="6"/>
      <c r="D18" s="10">
        <f>SUM($B$7:B18)</f>
        <v>1000000.0000000001</v>
      </c>
      <c r="E18" s="10">
        <f>SUM($C$7:C18)</f>
        <v>0</v>
      </c>
      <c r="F18" s="11" t="str">
        <f>IF(COUNT($C$7:C18)=0,"",E18/D18)</f>
        <v/>
      </c>
      <c r="G18" s="12" t="str">
        <f t="shared" si="1"/>
        <v/>
      </c>
    </row>
    <row r="21" spans="1:8" ht="16" x14ac:dyDescent="0.2">
      <c r="A21" s="13" t="s">
        <v>10</v>
      </c>
    </row>
    <row r="22" spans="1:8" x14ac:dyDescent="0.2">
      <c r="A22" s="3" t="s">
        <v>11</v>
      </c>
      <c r="B22" s="3" t="s">
        <v>12</v>
      </c>
      <c r="C22" s="3" t="s">
        <v>13</v>
      </c>
      <c r="D22" s="3" t="s">
        <v>14</v>
      </c>
      <c r="E22" s="3" t="s">
        <v>15</v>
      </c>
      <c r="F22" s="3" t="s">
        <v>16</v>
      </c>
      <c r="G22" s="3" t="s">
        <v>9</v>
      </c>
      <c r="H22" s="3" t="s">
        <v>17</v>
      </c>
    </row>
    <row r="23" spans="1:8" ht="30" customHeight="1" x14ac:dyDescent="0.2">
      <c r="A23" s="14">
        <v>1</v>
      </c>
      <c r="B23" s="15" t="s">
        <v>18</v>
      </c>
      <c r="C23" s="16" t="str">
        <f>'1. Smart User 500'!$B$4</f>
        <v>Por asignar</v>
      </c>
      <c r="D23" s="17" t="s">
        <v>19</v>
      </c>
      <c r="E23" s="18">
        <f>'1. Smart User 500'!$B$5</f>
        <v>500</v>
      </c>
      <c r="F23" s="18" t="str">
        <f>IFERROR(LOOKUP(2,1/('1. Smart User 500'!$D$11:$D$39&lt;&gt;""),'1. Smart User 500'!$D$11:$D$39),"Sin datos")</f>
        <v>Sin datos</v>
      </c>
      <c r="G23" s="19" t="str">
        <f>IFERROR(LOOKUP(2,1/('1. Smart User 500'!$D$11:$D$39&lt;&gt;""),'1. Smart User 500'!$H$11:$H$39),"Sin datos")</f>
        <v>Sin datos</v>
      </c>
      <c r="H23" s="20" t="s">
        <v>20</v>
      </c>
    </row>
    <row r="24" spans="1:8" ht="30" customHeight="1" x14ac:dyDescent="0.2">
      <c r="A24" s="21">
        <v>2</v>
      </c>
      <c r="B24" s="22" t="s">
        <v>21</v>
      </c>
      <c r="C24" s="23" t="str">
        <f>'2. MV Advisory'!$B$4</f>
        <v>Por asignar</v>
      </c>
      <c r="D24" s="24" t="s">
        <v>22</v>
      </c>
      <c r="E24" s="25">
        <f>'2. MV Advisory'!$B$5</f>
        <v>10000</v>
      </c>
      <c r="F24" s="25" t="str">
        <f>IFERROR(LOOKUP(2,1/('2. MV Advisory'!$D$11:$D$52&lt;&gt;""),'2. MV Advisory'!$D$11:$D$52),"Sin datos")</f>
        <v>Sin datos</v>
      </c>
      <c r="G24" s="26" t="str">
        <f>IFERROR(LOOKUP(2,1/('2. MV Advisory'!$D$11:$D$52&lt;&gt;""),'2. MV Advisory'!$H$11:$H$52),"Sin datos")</f>
        <v>Sin datos</v>
      </c>
      <c r="H24" s="27" t="s">
        <v>23</v>
      </c>
    </row>
    <row r="25" spans="1:8" ht="30" customHeight="1" x14ac:dyDescent="0.2">
      <c r="A25" s="14">
        <v>3</v>
      </c>
      <c r="B25" s="15" t="s">
        <v>24</v>
      </c>
      <c r="C25" s="16" t="str">
        <f>'3. Negocios +30K GP'!$B$4</f>
        <v>Por asignar</v>
      </c>
      <c r="D25" s="17" t="s">
        <v>25</v>
      </c>
      <c r="E25" s="18">
        <f>'3. Negocios +30K GP'!$B$5</f>
        <v>10</v>
      </c>
      <c r="F25" s="18" t="str">
        <f>IFERROR(LOOKUP(2,1/('3. Negocios +30K GP'!$D$11:$D$91&lt;&gt;""),'3. Negocios +30K GP'!$D$11:$D$91),"Sin datos")</f>
        <v>Sin datos</v>
      </c>
      <c r="G25" s="19" t="str">
        <f>IFERROR(LOOKUP(2,1/('3. Negocios +30K GP'!$D$11:$D$91&lt;&gt;""),'3. Negocios +30K GP'!$H$11:$H$91),"Sin datos")</f>
        <v>Sin datos</v>
      </c>
      <c r="H25" s="20" t="s">
        <v>26</v>
      </c>
    </row>
    <row r="26" spans="1:8" ht="30" customHeight="1" x14ac:dyDescent="0.2">
      <c r="A26" s="21">
        <v>4</v>
      </c>
      <c r="B26" s="22" t="s">
        <v>27</v>
      </c>
      <c r="C26" s="23" t="str">
        <f>'4. Entregas 100%'!$B$4</f>
        <v>Por asignar</v>
      </c>
      <c r="D26" s="24" t="s">
        <v>28</v>
      </c>
      <c r="E26" s="28">
        <f>'4. Entregas 100%'!$B$5</f>
        <v>1</v>
      </c>
      <c r="F26" s="28" t="str">
        <f>IFERROR(LOOKUP(2,1/('4. Entregas 100%'!$D$11:$D$91&lt;&gt;""),'4. Entregas 100%'!$D$11:$D$91),"Sin datos")</f>
        <v>Sin datos</v>
      </c>
      <c r="G26" s="26" t="str">
        <f>IFERROR(LOOKUP(2,1/('4. Entregas 100%'!$D$11:$D$91&lt;&gt;""),'4. Entregas 100%'!$H$11:$H$91),"Sin datos")</f>
        <v>Sin datos</v>
      </c>
      <c r="H26" s="27" t="s">
        <v>29</v>
      </c>
    </row>
    <row r="27" spans="1:8" ht="30" customHeight="1" x14ac:dyDescent="0.2">
      <c r="A27" s="14">
        <v>5</v>
      </c>
      <c r="B27" s="15" t="s">
        <v>30</v>
      </c>
      <c r="C27" s="16" t="str">
        <f>'5. MV Datacenter'!$B$4</f>
        <v>Por asignar</v>
      </c>
      <c r="D27" s="17" t="s">
        <v>31</v>
      </c>
      <c r="E27" s="29">
        <f>'5. MV Datacenter'!$B$5</f>
        <v>20000</v>
      </c>
      <c r="F27" s="29" t="str">
        <f>IFERROR(LOOKUP(2,1/('5. MV Datacenter'!$D$11:$D$91&lt;&gt;""),'5. MV Datacenter'!$D$11:$D$91),"Sin datos")</f>
        <v>Sin datos</v>
      </c>
      <c r="G27" s="19" t="str">
        <f>IFERROR(LOOKUP(2,1/('5. MV Datacenter'!$D$11:$D$91&lt;&gt;""),'5. MV Datacenter'!$H$11:$H$91),"Sin datos")</f>
        <v>Sin datos</v>
      </c>
      <c r="H27" s="20" t="s">
        <v>32</v>
      </c>
    </row>
    <row r="28" spans="1:8" ht="30" customHeight="1" x14ac:dyDescent="0.2">
      <c r="A28" s="21">
        <v>6</v>
      </c>
      <c r="B28" s="22" t="s">
        <v>33</v>
      </c>
      <c r="C28" s="23" t="str">
        <f>'6. Cero Expired'!$B$4</f>
        <v>Por asignar</v>
      </c>
      <c r="D28" s="24" t="s">
        <v>34</v>
      </c>
      <c r="E28" s="30">
        <f>'6. Cero Expired'!$B$5</f>
        <v>0</v>
      </c>
      <c r="F28" s="30" t="str">
        <f>IFERROR(LOOKUP(2,1/('6. Cero Expired'!$D$11:$D$91&lt;&gt;""),'6. Cero Expired'!$D$11:$D$91),"Sin datos")</f>
        <v>Sin datos</v>
      </c>
      <c r="G28" s="26" t="str">
        <f>IFERROR(LOOKUP(2,1/('6. Cero Expired'!$D$11:$D$91&lt;&gt;""),'6. Cero Expired'!$H$11:$H$91),"Sin datos")</f>
        <v>Sin datos</v>
      </c>
      <c r="H28" s="27" t="s">
        <v>35</v>
      </c>
    </row>
    <row r="29" spans="1:8" ht="30" customHeight="1" x14ac:dyDescent="0.2">
      <c r="A29" s="14">
        <v>7</v>
      </c>
      <c r="B29" s="15" t="s">
        <v>36</v>
      </c>
      <c r="C29" s="16" t="str">
        <f>'7. MV Digital Sol'!$B$4</f>
        <v>Por asignar</v>
      </c>
      <c r="D29" s="17" t="s">
        <v>37</v>
      </c>
      <c r="E29" s="29">
        <f>'7. MV Digital Sol'!$B$5</f>
        <v>30000</v>
      </c>
      <c r="F29" s="29" t="str">
        <f>IFERROR(LOOKUP(2,1/('7. MV Digital Sol'!$D$11:$D$56&lt;&gt;""),'7. MV Digital Sol'!$D$11:$D$56),"Sin datos")</f>
        <v>Sin datos</v>
      </c>
      <c r="G29" s="19" t="str">
        <f>IFERROR(LOOKUP(2,1/('7. MV Digital Sol'!$D$11:$D$56&lt;&gt;""),'7. MV Digital Sol'!$H$11:$H$56),"Sin datos")</f>
        <v>Sin datos</v>
      </c>
      <c r="H29" s="20" t="s">
        <v>38</v>
      </c>
    </row>
    <row r="30" spans="1:8" ht="30" customHeight="1" x14ac:dyDescent="0.2">
      <c r="A30" s="21">
        <v>8</v>
      </c>
      <c r="B30" s="22" t="s">
        <v>39</v>
      </c>
      <c r="C30" s="23" t="str">
        <f>'8. GP 16%'!$B$4</f>
        <v>Por asignar</v>
      </c>
      <c r="D30" s="24" t="s">
        <v>40</v>
      </c>
      <c r="E30" s="28">
        <f>'8. GP 16%'!$B$5</f>
        <v>0.16</v>
      </c>
      <c r="F30" s="28" t="str">
        <f>IFERROR(LOOKUP(2,1/('8. GP 16%'!$D$11:$D$28&lt;&gt;""),'8. GP 16%'!$D$11:$D$28),"Sin datos")</f>
        <v>Sin datos</v>
      </c>
      <c r="G30" s="26" t="str">
        <f>IFERROR(LOOKUP(2,1/('8. GP 16%'!$D$11:$D$28&lt;&gt;""),'8. GP 16%'!$H$11:$H$28),"Sin datos")</f>
        <v>Sin datos</v>
      </c>
      <c r="H30" s="27" t="s">
        <v>41</v>
      </c>
    </row>
    <row r="31" spans="1:8" ht="30" customHeight="1" x14ac:dyDescent="0.2">
      <c r="A31" s="14">
        <v>9</v>
      </c>
      <c r="B31" s="15" t="s">
        <v>42</v>
      </c>
      <c r="C31" s="16" t="str">
        <f>'9. CSAT'!$B$4</f>
        <v>Por asignar</v>
      </c>
      <c r="D31" s="17" t="s">
        <v>43</v>
      </c>
      <c r="E31" s="31">
        <f>'9. CSAT'!$B$5</f>
        <v>4.5</v>
      </c>
      <c r="F31" s="31" t="str">
        <f>IFERROR(LOOKUP(2,1/('9. CSAT'!$D$11:$D$28&lt;&gt;""),'9. CSAT'!$D$11:$D$28),"Sin datos")</f>
        <v>Sin datos</v>
      </c>
      <c r="G31" s="19" t="str">
        <f>IFERROR(LOOKUP(2,1/('9. CSAT'!$D$11:$D$28&lt;&gt;""),'9. CSAT'!$H$11:$H$28),"Sin datos")</f>
        <v>Sin datos</v>
      </c>
      <c r="H31" s="20" t="s">
        <v>44</v>
      </c>
    </row>
  </sheetData>
  <mergeCells count="2">
    <mergeCell ref="A2:H2"/>
    <mergeCell ref="A1:H1"/>
  </mergeCells>
  <conditionalFormatting sqref="G7:G18">
    <cfRule type="containsText" dxfId="34" priority="1" operator="containsText" text="En meta">
      <formula>NOT(ISERROR(SEARCH("En meta",G7)))</formula>
    </cfRule>
    <cfRule type="containsText" dxfId="33" priority="2" operator="containsText" text="Riesgo">
      <formula>NOT(ISERROR(SEARCH("Riesgo",G7)))</formula>
    </cfRule>
    <cfRule type="containsText" dxfId="32" priority="3" operator="containsText" text="Atrasado">
      <formula>NOT(ISERROR(SEARCH("Atrasado",G7)))</formula>
    </cfRule>
  </conditionalFormatting>
  <conditionalFormatting sqref="G23:G31">
    <cfRule type="containsText" dxfId="31" priority="4" operator="containsText" text="En meta">
      <formula>NOT(ISERROR(SEARCH("En meta",G23)))</formula>
    </cfRule>
    <cfRule type="containsText" dxfId="30" priority="5" operator="containsText" text="Riesgo">
      <formula>NOT(ISERROR(SEARCH("Riesgo",G23)))</formula>
    </cfRule>
    <cfRule type="containsText" dxfId="29" priority="6" operator="containsText" text="Atrasado">
      <formula>NOT(ISERROR(SEARCH("Atrasado",G23)))</formula>
    </cfRule>
  </conditionalFormatting>
  <hyperlinks>
    <hyperlink ref="H23" location="'1. Smart User 500'!A1" display="1. Smart User 500" xr:uid="{00000000-0004-0000-0000-000000000000}"/>
    <hyperlink ref="H24" location="'2. MV Advisory'!A1" display="2. MV Advisory" xr:uid="{00000000-0004-0000-0000-000001000000}"/>
    <hyperlink ref="H25" location="'3. Negocios +30K GP'!A1" display="3. Negocios +30K GP" xr:uid="{00000000-0004-0000-0000-000002000000}"/>
    <hyperlink ref="H26" location="'4. Entregas 100%'!A1" display="4. Entregas 100%" xr:uid="{00000000-0004-0000-0000-000003000000}"/>
    <hyperlink ref="H27" location="'5. MV Datacenter'!A1" display="5. MV Datacenter" xr:uid="{00000000-0004-0000-0000-000004000000}"/>
    <hyperlink ref="H28" location="'6. Cero Expired'!A1" display="6. Cero Expired" xr:uid="{00000000-0004-0000-0000-000005000000}"/>
    <hyperlink ref="H29" location="'7. MV Digital Sol'!A1" display="7. MV Digital Sol" xr:uid="{00000000-0004-0000-0000-000006000000}"/>
    <hyperlink ref="H30" location="'8. GP 16%'!A1" display="8. GP 16%" xr:uid="{00000000-0004-0000-0000-000007000000}"/>
    <hyperlink ref="H31" location="'9. CSAT'!A1" display="9. CSAT" xr:uid="{00000000-0004-0000-0000-000008000000}"/>
  </hyperlink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X39"/>
  <sheetViews>
    <sheetView showGridLines="0" workbookViewId="0">
      <pane xSplit="2" ySplit="10" topLeftCell="C11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5" customWidth="1"/>
    <col min="2" max="2" width="11" customWidth="1"/>
    <col min="3" max="3" width="12" customWidth="1"/>
    <col min="4" max="4" width="11" customWidth="1"/>
    <col min="5" max="6" width="12" customWidth="1"/>
    <col min="7" max="7" width="13" customWidth="1"/>
    <col min="8" max="9" width="11" customWidth="1"/>
    <col min="10" max="10" width="7" customWidth="1"/>
    <col min="11" max="11" width="11" customWidth="1"/>
    <col min="12" max="12" width="7" customWidth="1"/>
    <col min="13" max="13" width="11" customWidth="1"/>
    <col min="14" max="14" width="7" customWidth="1"/>
    <col min="15" max="15" width="11" customWidth="1"/>
    <col min="16" max="16" width="7" customWidth="1"/>
    <col min="17" max="17" width="11" customWidth="1"/>
    <col min="18" max="18" width="7" customWidth="1"/>
    <col min="19" max="19" width="11" customWidth="1"/>
    <col min="20" max="20" width="7" customWidth="1"/>
    <col min="21" max="21" width="11" customWidth="1"/>
    <col min="22" max="22" width="7" customWidth="1"/>
    <col min="23" max="23" width="11" customWidth="1"/>
    <col min="24" max="24" width="7" customWidth="1"/>
  </cols>
  <sheetData>
    <row r="1" spans="1:24" ht="18" x14ac:dyDescent="0.2">
      <c r="A1" s="79" t="s">
        <v>45</v>
      </c>
      <c r="B1" s="73"/>
      <c r="C1" s="73"/>
      <c r="D1" s="73"/>
      <c r="E1" s="73"/>
      <c r="F1" s="73"/>
      <c r="G1" s="73"/>
      <c r="H1" s="73"/>
      <c r="I1" s="73"/>
      <c r="J1" s="73"/>
      <c r="K1" s="73"/>
      <c r="L1" s="73"/>
      <c r="M1" s="73"/>
      <c r="N1" s="73"/>
      <c r="O1" s="73"/>
      <c r="P1" s="73"/>
      <c r="Q1" s="73"/>
      <c r="R1" s="73"/>
      <c r="S1" s="73"/>
      <c r="T1" s="73"/>
      <c r="U1" s="73"/>
      <c r="V1" s="73"/>
      <c r="W1" s="73"/>
      <c r="X1" s="73"/>
    </row>
    <row r="2" spans="1:24" x14ac:dyDescent="0.2">
      <c r="A2" s="1" t="s">
        <v>46</v>
      </c>
      <c r="B2" s="32" t="s">
        <v>47</v>
      </c>
    </row>
    <row r="3" spans="1:24" x14ac:dyDescent="0.2">
      <c r="A3" s="1" t="s">
        <v>48</v>
      </c>
      <c r="B3" s="32" t="s">
        <v>49</v>
      </c>
    </row>
    <row r="4" spans="1:24" x14ac:dyDescent="0.2">
      <c r="A4" s="1" t="s">
        <v>50</v>
      </c>
      <c r="B4" s="33" t="s">
        <v>51</v>
      </c>
      <c r="D4" s="1" t="s">
        <v>52</v>
      </c>
      <c r="E4" s="32" t="s">
        <v>19</v>
      </c>
    </row>
    <row r="5" spans="1:24" x14ac:dyDescent="0.2">
      <c r="A5" s="1" t="s">
        <v>53</v>
      </c>
      <c r="B5" s="34">
        <v>500</v>
      </c>
      <c r="D5" s="1" t="s">
        <v>54</v>
      </c>
      <c r="E5" s="35">
        <v>46188</v>
      </c>
      <c r="G5" s="1" t="s">
        <v>55</v>
      </c>
      <c r="H5" s="35">
        <v>46384</v>
      </c>
    </row>
    <row r="6" spans="1:24" x14ac:dyDescent="0.2">
      <c r="A6" s="1" t="s">
        <v>56</v>
      </c>
      <c r="B6" s="32" t="s">
        <v>57</v>
      </c>
    </row>
    <row r="8" spans="1:24" ht="42" customHeight="1" x14ac:dyDescent="0.2">
      <c r="A8" s="1" t="s">
        <v>58</v>
      </c>
      <c r="B8" s="36">
        <f>COUNT(A11:A39)</f>
        <v>29</v>
      </c>
      <c r="H8" s="37" t="s">
        <v>59</v>
      </c>
      <c r="I8" s="75" t="s">
        <v>60</v>
      </c>
      <c r="J8" s="76"/>
      <c r="K8" s="75" t="s">
        <v>61</v>
      </c>
      <c r="L8" s="76"/>
      <c r="M8" s="75" t="s">
        <v>62</v>
      </c>
      <c r="N8" s="76"/>
      <c r="O8" s="75" t="s">
        <v>63</v>
      </c>
      <c r="P8" s="76"/>
      <c r="Q8" s="75" t="s">
        <v>64</v>
      </c>
      <c r="R8" s="76"/>
      <c r="S8" s="75" t="s">
        <v>65</v>
      </c>
      <c r="T8" s="76"/>
      <c r="U8" s="75" t="s">
        <v>66</v>
      </c>
      <c r="V8" s="76"/>
      <c r="W8" s="75" t="s">
        <v>67</v>
      </c>
      <c r="X8" s="76"/>
    </row>
    <row r="9" spans="1:24" x14ac:dyDescent="0.2">
      <c r="A9" s="38" t="s">
        <v>68</v>
      </c>
      <c r="H9" s="37" t="s">
        <v>69</v>
      </c>
      <c r="I9" s="78">
        <v>20</v>
      </c>
      <c r="J9" s="76"/>
      <c r="K9" s="78">
        <v>2</v>
      </c>
      <c r="L9" s="76"/>
      <c r="M9" s="78">
        <v>3</v>
      </c>
      <c r="N9" s="76"/>
      <c r="O9" s="78">
        <v>30</v>
      </c>
      <c r="P9" s="76"/>
      <c r="Q9" s="78">
        <v>40</v>
      </c>
      <c r="R9" s="76"/>
      <c r="S9" s="78">
        <v>2</v>
      </c>
      <c r="T9" s="76"/>
      <c r="U9" s="77">
        <v>1</v>
      </c>
      <c r="V9" s="76"/>
      <c r="W9" s="78"/>
      <c r="X9" s="76"/>
    </row>
    <row r="10" spans="1:24" x14ac:dyDescent="0.2">
      <c r="A10" s="3" t="s">
        <v>11</v>
      </c>
      <c r="B10" s="3" t="s">
        <v>70</v>
      </c>
      <c r="C10" s="3" t="s">
        <v>71</v>
      </c>
      <c r="D10" s="3" t="s">
        <v>72</v>
      </c>
      <c r="E10" s="3" t="s">
        <v>6</v>
      </c>
      <c r="F10" s="3" t="s">
        <v>7</v>
      </c>
      <c r="G10" s="3" t="s">
        <v>8</v>
      </c>
      <c r="H10" s="3" t="s">
        <v>9</v>
      </c>
      <c r="I10" s="39" t="s">
        <v>72</v>
      </c>
      <c r="J10" s="39" t="s">
        <v>73</v>
      </c>
      <c r="K10" s="39" t="s">
        <v>72</v>
      </c>
      <c r="L10" s="39" t="s">
        <v>73</v>
      </c>
      <c r="M10" s="39" t="s">
        <v>72</v>
      </c>
      <c r="N10" s="39" t="s">
        <v>73</v>
      </c>
      <c r="O10" s="39" t="s">
        <v>72</v>
      </c>
      <c r="P10" s="39" t="s">
        <v>73</v>
      </c>
      <c r="Q10" s="39" t="s">
        <v>72</v>
      </c>
      <c r="R10" s="39" t="s">
        <v>73</v>
      </c>
      <c r="S10" s="39" t="s">
        <v>72</v>
      </c>
      <c r="T10" s="39" t="s">
        <v>73</v>
      </c>
      <c r="U10" s="39" t="s">
        <v>72</v>
      </c>
      <c r="V10" s="39" t="s">
        <v>73</v>
      </c>
      <c r="W10" s="39" t="s">
        <v>72</v>
      </c>
      <c r="X10" s="39" t="s">
        <v>73</v>
      </c>
    </row>
    <row r="11" spans="1:24" x14ac:dyDescent="0.2">
      <c r="A11" s="14">
        <v>1</v>
      </c>
      <c r="B11" s="40">
        <v>46188</v>
      </c>
      <c r="C11" s="41">
        <f t="shared" ref="C11:C39" si="0">$B$5/$B$8</f>
        <v>17.241379310344829</v>
      </c>
      <c r="D11" s="42"/>
      <c r="E11" s="41">
        <f>SUM($C$11:C11)</f>
        <v>17.241379310344829</v>
      </c>
      <c r="F11" s="41">
        <f>SUM($D$11:D11)</f>
        <v>0</v>
      </c>
      <c r="G11" s="43" t="str">
        <f>IF(COUNT($D$11:D11)=0,"",F11/E11)</f>
        <v/>
      </c>
      <c r="H11" s="44" t="str">
        <f t="shared" ref="H11:H39" si="1">IF(G11="","",IF(G11&gt;=0.95,"En meta",IF(G11&gt;=0.8,"Riesgo","Atrasado")))</f>
        <v/>
      </c>
      <c r="I11" s="45"/>
      <c r="J11" s="46" t="str">
        <f t="shared" ref="J11:J39" si="2">IF(I11="","",IF($I$9="","",IF($I$9=0,"",I11/$I$9)))</f>
        <v/>
      </c>
      <c r="K11" s="45"/>
      <c r="L11" s="46" t="str">
        <f t="shared" ref="L11:L39" si="3">IF(K11="","",IF($K$9="","",IF($K$9=0,"",K11/$K$9)))</f>
        <v/>
      </c>
      <c r="M11" s="45"/>
      <c r="N11" s="46" t="str">
        <f t="shared" ref="N11:N39" si="4">IF(M11="","",IF($M$9="","",IF($M$9=0,"",M11/$M$9)))</f>
        <v/>
      </c>
      <c r="O11" s="45"/>
      <c r="P11" s="46" t="str">
        <f t="shared" ref="P11:P39" si="5">IF(O11="","",IF($O$9="","",IF($O$9=0,"",O11/$O$9)))</f>
        <v/>
      </c>
      <c r="Q11" s="45"/>
      <c r="R11" s="46" t="str">
        <f t="shared" ref="R11:R39" si="6">IF(Q11="","",IF($Q$9="","",IF($Q$9=0,"",Q11/$Q$9)))</f>
        <v/>
      </c>
      <c r="S11" s="45"/>
      <c r="T11" s="46" t="str">
        <f t="shared" ref="T11:T39" si="7">IF(S11="","",IF($S$9="","",IF($S$9=0,"",S11/$S$9)))</f>
        <v/>
      </c>
      <c r="U11" s="47"/>
      <c r="V11" s="46" t="str">
        <f t="shared" ref="V11:V39" si="8">IF(U11="","",IF($U$9="","",IF($U$9=0,"",U11/$U$9)))</f>
        <v/>
      </c>
      <c r="W11" s="45"/>
      <c r="X11" s="46" t="str">
        <f t="shared" ref="X11:X39" si="9">IF(W11="","",IF($W$9="","",IF($W$9=0,"",W11/$W$9)))</f>
        <v/>
      </c>
    </row>
    <row r="12" spans="1:24" x14ac:dyDescent="0.2">
      <c r="A12" s="21">
        <v>2</v>
      </c>
      <c r="B12" s="48">
        <v>46195</v>
      </c>
      <c r="C12" s="49">
        <f t="shared" si="0"/>
        <v>17.241379310344829</v>
      </c>
      <c r="D12" s="42"/>
      <c r="E12" s="49">
        <f>SUM($C$11:C12)</f>
        <v>34.482758620689658</v>
      </c>
      <c r="F12" s="49">
        <f>SUM($D$11:D12)</f>
        <v>0</v>
      </c>
      <c r="G12" s="50" t="str">
        <f>IF(COUNT($D$11:D12)=0,"",F12/E12)</f>
        <v/>
      </c>
      <c r="H12" s="51" t="str">
        <f t="shared" si="1"/>
        <v/>
      </c>
      <c r="I12" s="45"/>
      <c r="J12" s="52" t="str">
        <f t="shared" si="2"/>
        <v/>
      </c>
      <c r="K12" s="45"/>
      <c r="L12" s="52" t="str">
        <f t="shared" si="3"/>
        <v/>
      </c>
      <c r="M12" s="45"/>
      <c r="N12" s="52" t="str">
        <f t="shared" si="4"/>
        <v/>
      </c>
      <c r="O12" s="45"/>
      <c r="P12" s="52" t="str">
        <f t="shared" si="5"/>
        <v/>
      </c>
      <c r="Q12" s="45"/>
      <c r="R12" s="52" t="str">
        <f t="shared" si="6"/>
        <v/>
      </c>
      <c r="S12" s="45"/>
      <c r="T12" s="52" t="str">
        <f t="shared" si="7"/>
        <v/>
      </c>
      <c r="U12" s="47"/>
      <c r="V12" s="52" t="str">
        <f t="shared" si="8"/>
        <v/>
      </c>
      <c r="W12" s="45"/>
      <c r="X12" s="52" t="str">
        <f t="shared" si="9"/>
        <v/>
      </c>
    </row>
    <row r="13" spans="1:24" x14ac:dyDescent="0.2">
      <c r="A13" s="14">
        <v>3</v>
      </c>
      <c r="B13" s="40">
        <v>46202</v>
      </c>
      <c r="C13" s="41">
        <f t="shared" si="0"/>
        <v>17.241379310344829</v>
      </c>
      <c r="D13" s="42"/>
      <c r="E13" s="41">
        <f>SUM($C$11:C13)</f>
        <v>51.724137931034491</v>
      </c>
      <c r="F13" s="41">
        <f>SUM($D$11:D13)</f>
        <v>0</v>
      </c>
      <c r="G13" s="43" t="str">
        <f>IF(COUNT($D$11:D13)=0,"",F13/E13)</f>
        <v/>
      </c>
      <c r="H13" s="44" t="str">
        <f t="shared" si="1"/>
        <v/>
      </c>
      <c r="I13" s="45"/>
      <c r="J13" s="46" t="str">
        <f t="shared" si="2"/>
        <v/>
      </c>
      <c r="K13" s="45"/>
      <c r="L13" s="46" t="str">
        <f t="shared" si="3"/>
        <v/>
      </c>
      <c r="M13" s="45"/>
      <c r="N13" s="46" t="str">
        <f t="shared" si="4"/>
        <v/>
      </c>
      <c r="O13" s="45"/>
      <c r="P13" s="46" t="str">
        <f t="shared" si="5"/>
        <v/>
      </c>
      <c r="Q13" s="45"/>
      <c r="R13" s="46" t="str">
        <f t="shared" si="6"/>
        <v/>
      </c>
      <c r="S13" s="45"/>
      <c r="T13" s="46" t="str">
        <f t="shared" si="7"/>
        <v/>
      </c>
      <c r="U13" s="47"/>
      <c r="V13" s="46" t="str">
        <f t="shared" si="8"/>
        <v/>
      </c>
      <c r="W13" s="45"/>
      <c r="X13" s="46" t="str">
        <f t="shared" si="9"/>
        <v/>
      </c>
    </row>
    <row r="14" spans="1:24" x14ac:dyDescent="0.2">
      <c r="A14" s="21">
        <v>4</v>
      </c>
      <c r="B14" s="48">
        <v>46209</v>
      </c>
      <c r="C14" s="49">
        <f t="shared" si="0"/>
        <v>17.241379310344829</v>
      </c>
      <c r="D14" s="42"/>
      <c r="E14" s="49">
        <f>SUM($C$11:C14)</f>
        <v>68.965517241379317</v>
      </c>
      <c r="F14" s="49">
        <f>SUM($D$11:D14)</f>
        <v>0</v>
      </c>
      <c r="G14" s="50" t="str">
        <f>IF(COUNT($D$11:D14)=0,"",F14/E14)</f>
        <v/>
      </c>
      <c r="H14" s="51" t="str">
        <f t="shared" si="1"/>
        <v/>
      </c>
      <c r="I14" s="45"/>
      <c r="J14" s="52" t="str">
        <f t="shared" si="2"/>
        <v/>
      </c>
      <c r="K14" s="45"/>
      <c r="L14" s="52" t="str">
        <f t="shared" si="3"/>
        <v/>
      </c>
      <c r="M14" s="45"/>
      <c r="N14" s="52" t="str">
        <f t="shared" si="4"/>
        <v/>
      </c>
      <c r="O14" s="45"/>
      <c r="P14" s="52" t="str">
        <f t="shared" si="5"/>
        <v/>
      </c>
      <c r="Q14" s="45"/>
      <c r="R14" s="52" t="str">
        <f t="shared" si="6"/>
        <v/>
      </c>
      <c r="S14" s="45"/>
      <c r="T14" s="52" t="str">
        <f t="shared" si="7"/>
        <v/>
      </c>
      <c r="U14" s="47"/>
      <c r="V14" s="52" t="str">
        <f t="shared" si="8"/>
        <v/>
      </c>
      <c r="W14" s="45"/>
      <c r="X14" s="52" t="str">
        <f t="shared" si="9"/>
        <v/>
      </c>
    </row>
    <row r="15" spans="1:24" x14ac:dyDescent="0.2">
      <c r="A15" s="14">
        <v>5</v>
      </c>
      <c r="B15" s="40">
        <v>46216</v>
      </c>
      <c r="C15" s="41">
        <f t="shared" si="0"/>
        <v>17.241379310344829</v>
      </c>
      <c r="D15" s="42"/>
      <c r="E15" s="41">
        <f>SUM($C$11:C15)</f>
        <v>86.206896551724142</v>
      </c>
      <c r="F15" s="41">
        <f>SUM($D$11:D15)</f>
        <v>0</v>
      </c>
      <c r="G15" s="43" t="str">
        <f>IF(COUNT($D$11:D15)=0,"",F15/E15)</f>
        <v/>
      </c>
      <c r="H15" s="44" t="str">
        <f t="shared" si="1"/>
        <v/>
      </c>
      <c r="I15" s="45"/>
      <c r="J15" s="46" t="str">
        <f t="shared" si="2"/>
        <v/>
      </c>
      <c r="K15" s="45"/>
      <c r="L15" s="46" t="str">
        <f t="shared" si="3"/>
        <v/>
      </c>
      <c r="M15" s="45"/>
      <c r="N15" s="46" t="str">
        <f t="shared" si="4"/>
        <v/>
      </c>
      <c r="O15" s="45"/>
      <c r="P15" s="46" t="str">
        <f t="shared" si="5"/>
        <v/>
      </c>
      <c r="Q15" s="45"/>
      <c r="R15" s="46" t="str">
        <f t="shared" si="6"/>
        <v/>
      </c>
      <c r="S15" s="45"/>
      <c r="T15" s="46" t="str">
        <f t="shared" si="7"/>
        <v/>
      </c>
      <c r="U15" s="47"/>
      <c r="V15" s="46" t="str">
        <f t="shared" si="8"/>
        <v/>
      </c>
      <c r="W15" s="45"/>
      <c r="X15" s="46" t="str">
        <f t="shared" si="9"/>
        <v/>
      </c>
    </row>
    <row r="16" spans="1:24" x14ac:dyDescent="0.2">
      <c r="A16" s="21">
        <v>6</v>
      </c>
      <c r="B16" s="48">
        <v>46223</v>
      </c>
      <c r="C16" s="49">
        <f t="shared" si="0"/>
        <v>17.241379310344829</v>
      </c>
      <c r="D16" s="42"/>
      <c r="E16" s="49">
        <f>SUM($C$11:C16)</f>
        <v>103.44827586206897</v>
      </c>
      <c r="F16" s="49">
        <f>SUM($D$11:D16)</f>
        <v>0</v>
      </c>
      <c r="G16" s="50" t="str">
        <f>IF(COUNT($D$11:D16)=0,"",F16/E16)</f>
        <v/>
      </c>
      <c r="H16" s="51" t="str">
        <f t="shared" si="1"/>
        <v/>
      </c>
      <c r="I16" s="45"/>
      <c r="J16" s="52" t="str">
        <f t="shared" si="2"/>
        <v/>
      </c>
      <c r="K16" s="45"/>
      <c r="L16" s="52" t="str">
        <f t="shared" si="3"/>
        <v/>
      </c>
      <c r="M16" s="45"/>
      <c r="N16" s="52" t="str">
        <f t="shared" si="4"/>
        <v/>
      </c>
      <c r="O16" s="45"/>
      <c r="P16" s="52" t="str">
        <f t="shared" si="5"/>
        <v/>
      </c>
      <c r="Q16" s="45"/>
      <c r="R16" s="52" t="str">
        <f t="shared" si="6"/>
        <v/>
      </c>
      <c r="S16" s="45"/>
      <c r="T16" s="52" t="str">
        <f t="shared" si="7"/>
        <v/>
      </c>
      <c r="U16" s="47"/>
      <c r="V16" s="52" t="str">
        <f t="shared" si="8"/>
        <v/>
      </c>
      <c r="W16" s="45"/>
      <c r="X16" s="52" t="str">
        <f t="shared" si="9"/>
        <v/>
      </c>
    </row>
    <row r="17" spans="1:24" x14ac:dyDescent="0.2">
      <c r="A17" s="14">
        <v>7</v>
      </c>
      <c r="B17" s="40">
        <v>46230</v>
      </c>
      <c r="C17" s="41">
        <f t="shared" si="0"/>
        <v>17.241379310344829</v>
      </c>
      <c r="D17" s="42"/>
      <c r="E17" s="41">
        <f>SUM($C$11:C17)</f>
        <v>120.68965517241379</v>
      </c>
      <c r="F17" s="41">
        <f>SUM($D$11:D17)</f>
        <v>0</v>
      </c>
      <c r="G17" s="43" t="str">
        <f>IF(COUNT($D$11:D17)=0,"",F17/E17)</f>
        <v/>
      </c>
      <c r="H17" s="44" t="str">
        <f t="shared" si="1"/>
        <v/>
      </c>
      <c r="I17" s="45"/>
      <c r="J17" s="46" t="str">
        <f t="shared" si="2"/>
        <v/>
      </c>
      <c r="K17" s="45"/>
      <c r="L17" s="46" t="str">
        <f t="shared" si="3"/>
        <v/>
      </c>
      <c r="M17" s="45"/>
      <c r="N17" s="46" t="str">
        <f t="shared" si="4"/>
        <v/>
      </c>
      <c r="O17" s="45"/>
      <c r="P17" s="46" t="str">
        <f t="shared" si="5"/>
        <v/>
      </c>
      <c r="Q17" s="45"/>
      <c r="R17" s="46" t="str">
        <f t="shared" si="6"/>
        <v/>
      </c>
      <c r="S17" s="45"/>
      <c r="T17" s="46" t="str">
        <f t="shared" si="7"/>
        <v/>
      </c>
      <c r="U17" s="47"/>
      <c r="V17" s="46" t="str">
        <f t="shared" si="8"/>
        <v/>
      </c>
      <c r="W17" s="45"/>
      <c r="X17" s="46" t="str">
        <f t="shared" si="9"/>
        <v/>
      </c>
    </row>
    <row r="18" spans="1:24" x14ac:dyDescent="0.2">
      <c r="A18" s="21">
        <v>8</v>
      </c>
      <c r="B18" s="48">
        <v>46237</v>
      </c>
      <c r="C18" s="49">
        <f t="shared" si="0"/>
        <v>17.241379310344829</v>
      </c>
      <c r="D18" s="42"/>
      <c r="E18" s="49">
        <f>SUM($C$11:C18)</f>
        <v>137.93103448275863</v>
      </c>
      <c r="F18" s="49">
        <f>SUM($D$11:D18)</f>
        <v>0</v>
      </c>
      <c r="G18" s="50" t="str">
        <f>IF(COUNT($D$11:D18)=0,"",F18/E18)</f>
        <v/>
      </c>
      <c r="H18" s="51" t="str">
        <f t="shared" si="1"/>
        <v/>
      </c>
      <c r="I18" s="45"/>
      <c r="J18" s="52" t="str">
        <f t="shared" si="2"/>
        <v/>
      </c>
      <c r="K18" s="45"/>
      <c r="L18" s="52" t="str">
        <f t="shared" si="3"/>
        <v/>
      </c>
      <c r="M18" s="45"/>
      <c r="N18" s="52" t="str">
        <f t="shared" si="4"/>
        <v/>
      </c>
      <c r="O18" s="45"/>
      <c r="P18" s="52" t="str">
        <f t="shared" si="5"/>
        <v/>
      </c>
      <c r="Q18" s="45"/>
      <c r="R18" s="52" t="str">
        <f t="shared" si="6"/>
        <v/>
      </c>
      <c r="S18" s="45"/>
      <c r="T18" s="52" t="str">
        <f t="shared" si="7"/>
        <v/>
      </c>
      <c r="U18" s="47"/>
      <c r="V18" s="52" t="str">
        <f t="shared" si="8"/>
        <v/>
      </c>
      <c r="W18" s="45"/>
      <c r="X18" s="52" t="str">
        <f t="shared" si="9"/>
        <v/>
      </c>
    </row>
    <row r="19" spans="1:24" x14ac:dyDescent="0.2">
      <c r="A19" s="14">
        <v>9</v>
      </c>
      <c r="B19" s="40">
        <v>46244</v>
      </c>
      <c r="C19" s="41">
        <f t="shared" si="0"/>
        <v>17.241379310344829</v>
      </c>
      <c r="D19" s="42"/>
      <c r="E19" s="41">
        <f>SUM($C$11:C19)</f>
        <v>155.17241379310346</v>
      </c>
      <c r="F19" s="41">
        <f>SUM($D$11:D19)</f>
        <v>0</v>
      </c>
      <c r="G19" s="43" t="str">
        <f>IF(COUNT($D$11:D19)=0,"",F19/E19)</f>
        <v/>
      </c>
      <c r="H19" s="44" t="str">
        <f t="shared" si="1"/>
        <v/>
      </c>
      <c r="I19" s="45"/>
      <c r="J19" s="46" t="str">
        <f t="shared" si="2"/>
        <v/>
      </c>
      <c r="K19" s="45"/>
      <c r="L19" s="46" t="str">
        <f t="shared" si="3"/>
        <v/>
      </c>
      <c r="M19" s="45"/>
      <c r="N19" s="46" t="str">
        <f t="shared" si="4"/>
        <v/>
      </c>
      <c r="O19" s="45"/>
      <c r="P19" s="46" t="str">
        <f t="shared" si="5"/>
        <v/>
      </c>
      <c r="Q19" s="45"/>
      <c r="R19" s="46" t="str">
        <f t="shared" si="6"/>
        <v/>
      </c>
      <c r="S19" s="45"/>
      <c r="T19" s="46" t="str">
        <f t="shared" si="7"/>
        <v/>
      </c>
      <c r="U19" s="47"/>
      <c r="V19" s="46" t="str">
        <f t="shared" si="8"/>
        <v/>
      </c>
      <c r="W19" s="45"/>
      <c r="X19" s="46" t="str">
        <f t="shared" si="9"/>
        <v/>
      </c>
    </row>
    <row r="20" spans="1:24" x14ac:dyDescent="0.2">
      <c r="A20" s="21">
        <v>10</v>
      </c>
      <c r="B20" s="48">
        <v>46251</v>
      </c>
      <c r="C20" s="49">
        <f t="shared" si="0"/>
        <v>17.241379310344829</v>
      </c>
      <c r="D20" s="42"/>
      <c r="E20" s="49">
        <f>SUM($C$11:C20)</f>
        <v>172.41379310344828</v>
      </c>
      <c r="F20" s="49">
        <f>SUM($D$11:D20)</f>
        <v>0</v>
      </c>
      <c r="G20" s="50" t="str">
        <f>IF(COUNT($D$11:D20)=0,"",F20/E20)</f>
        <v/>
      </c>
      <c r="H20" s="51" t="str">
        <f t="shared" si="1"/>
        <v/>
      </c>
      <c r="I20" s="45"/>
      <c r="J20" s="52" t="str">
        <f t="shared" si="2"/>
        <v/>
      </c>
      <c r="K20" s="45"/>
      <c r="L20" s="52" t="str">
        <f t="shared" si="3"/>
        <v/>
      </c>
      <c r="M20" s="45"/>
      <c r="N20" s="52" t="str">
        <f t="shared" si="4"/>
        <v/>
      </c>
      <c r="O20" s="45"/>
      <c r="P20" s="52" t="str">
        <f t="shared" si="5"/>
        <v/>
      </c>
      <c r="Q20" s="45"/>
      <c r="R20" s="52" t="str">
        <f t="shared" si="6"/>
        <v/>
      </c>
      <c r="S20" s="45"/>
      <c r="T20" s="52" t="str">
        <f t="shared" si="7"/>
        <v/>
      </c>
      <c r="U20" s="47"/>
      <c r="V20" s="52" t="str">
        <f t="shared" si="8"/>
        <v/>
      </c>
      <c r="W20" s="45"/>
      <c r="X20" s="52" t="str">
        <f t="shared" si="9"/>
        <v/>
      </c>
    </row>
    <row r="21" spans="1:24" x14ac:dyDescent="0.2">
      <c r="A21" s="14">
        <v>11</v>
      </c>
      <c r="B21" s="40">
        <v>46258</v>
      </c>
      <c r="C21" s="41">
        <f t="shared" si="0"/>
        <v>17.241379310344829</v>
      </c>
      <c r="D21" s="42"/>
      <c r="E21" s="41">
        <f>SUM($C$11:C21)</f>
        <v>189.65517241379311</v>
      </c>
      <c r="F21" s="41">
        <f>SUM($D$11:D21)</f>
        <v>0</v>
      </c>
      <c r="G21" s="43" t="str">
        <f>IF(COUNT($D$11:D21)=0,"",F21/E21)</f>
        <v/>
      </c>
      <c r="H21" s="44" t="str">
        <f t="shared" si="1"/>
        <v/>
      </c>
      <c r="I21" s="45"/>
      <c r="J21" s="46" t="str">
        <f t="shared" si="2"/>
        <v/>
      </c>
      <c r="K21" s="45"/>
      <c r="L21" s="46" t="str">
        <f t="shared" si="3"/>
        <v/>
      </c>
      <c r="M21" s="45"/>
      <c r="N21" s="46" t="str">
        <f t="shared" si="4"/>
        <v/>
      </c>
      <c r="O21" s="45"/>
      <c r="P21" s="46" t="str">
        <f t="shared" si="5"/>
        <v/>
      </c>
      <c r="Q21" s="45"/>
      <c r="R21" s="46" t="str">
        <f t="shared" si="6"/>
        <v/>
      </c>
      <c r="S21" s="45"/>
      <c r="T21" s="46" t="str">
        <f t="shared" si="7"/>
        <v/>
      </c>
      <c r="U21" s="47"/>
      <c r="V21" s="46" t="str">
        <f t="shared" si="8"/>
        <v/>
      </c>
      <c r="W21" s="45"/>
      <c r="X21" s="46" t="str">
        <f t="shared" si="9"/>
        <v/>
      </c>
    </row>
    <row r="22" spans="1:24" x14ac:dyDescent="0.2">
      <c r="A22" s="21">
        <v>12</v>
      </c>
      <c r="B22" s="48">
        <v>46265</v>
      </c>
      <c r="C22" s="49">
        <f t="shared" si="0"/>
        <v>17.241379310344829</v>
      </c>
      <c r="D22" s="42"/>
      <c r="E22" s="49">
        <f>SUM($C$11:C22)</f>
        <v>206.89655172413794</v>
      </c>
      <c r="F22" s="49">
        <f>SUM($D$11:D22)</f>
        <v>0</v>
      </c>
      <c r="G22" s="50" t="str">
        <f>IF(COUNT($D$11:D22)=0,"",F22/E22)</f>
        <v/>
      </c>
      <c r="H22" s="51" t="str">
        <f t="shared" si="1"/>
        <v/>
      </c>
      <c r="I22" s="45"/>
      <c r="J22" s="52" t="str">
        <f t="shared" si="2"/>
        <v/>
      </c>
      <c r="K22" s="45"/>
      <c r="L22" s="52" t="str">
        <f t="shared" si="3"/>
        <v/>
      </c>
      <c r="M22" s="45"/>
      <c r="N22" s="52" t="str">
        <f t="shared" si="4"/>
        <v/>
      </c>
      <c r="O22" s="45"/>
      <c r="P22" s="52" t="str">
        <f t="shared" si="5"/>
        <v/>
      </c>
      <c r="Q22" s="45"/>
      <c r="R22" s="52" t="str">
        <f t="shared" si="6"/>
        <v/>
      </c>
      <c r="S22" s="45"/>
      <c r="T22" s="52" t="str">
        <f t="shared" si="7"/>
        <v/>
      </c>
      <c r="U22" s="47"/>
      <c r="V22" s="52" t="str">
        <f t="shared" si="8"/>
        <v/>
      </c>
      <c r="W22" s="45"/>
      <c r="X22" s="52" t="str">
        <f t="shared" si="9"/>
        <v/>
      </c>
    </row>
    <row r="23" spans="1:24" x14ac:dyDescent="0.2">
      <c r="A23" s="14">
        <v>13</v>
      </c>
      <c r="B23" s="40">
        <v>46272</v>
      </c>
      <c r="C23" s="41">
        <f t="shared" si="0"/>
        <v>17.241379310344829</v>
      </c>
      <c r="D23" s="42"/>
      <c r="E23" s="41">
        <f>SUM($C$11:C23)</f>
        <v>224.13793103448276</v>
      </c>
      <c r="F23" s="41">
        <f>SUM($D$11:D23)</f>
        <v>0</v>
      </c>
      <c r="G23" s="43" t="str">
        <f>IF(COUNT($D$11:D23)=0,"",F23/E23)</f>
        <v/>
      </c>
      <c r="H23" s="44" t="str">
        <f t="shared" si="1"/>
        <v/>
      </c>
      <c r="I23" s="45"/>
      <c r="J23" s="46" t="str">
        <f t="shared" si="2"/>
        <v/>
      </c>
      <c r="K23" s="45"/>
      <c r="L23" s="46" t="str">
        <f t="shared" si="3"/>
        <v/>
      </c>
      <c r="M23" s="45"/>
      <c r="N23" s="46" t="str">
        <f t="shared" si="4"/>
        <v/>
      </c>
      <c r="O23" s="45"/>
      <c r="P23" s="46" t="str">
        <f t="shared" si="5"/>
        <v/>
      </c>
      <c r="Q23" s="45"/>
      <c r="R23" s="46" t="str">
        <f t="shared" si="6"/>
        <v/>
      </c>
      <c r="S23" s="45"/>
      <c r="T23" s="46" t="str">
        <f t="shared" si="7"/>
        <v/>
      </c>
      <c r="U23" s="47"/>
      <c r="V23" s="46" t="str">
        <f t="shared" si="8"/>
        <v/>
      </c>
      <c r="W23" s="45"/>
      <c r="X23" s="46" t="str">
        <f t="shared" si="9"/>
        <v/>
      </c>
    </row>
    <row r="24" spans="1:24" x14ac:dyDescent="0.2">
      <c r="A24" s="21">
        <v>14</v>
      </c>
      <c r="B24" s="48">
        <v>46279</v>
      </c>
      <c r="C24" s="49">
        <f t="shared" si="0"/>
        <v>17.241379310344829</v>
      </c>
      <c r="D24" s="42"/>
      <c r="E24" s="49">
        <f>SUM($C$11:C24)</f>
        <v>241.37931034482759</v>
      </c>
      <c r="F24" s="49">
        <f>SUM($D$11:D24)</f>
        <v>0</v>
      </c>
      <c r="G24" s="50" t="str">
        <f>IF(COUNT($D$11:D24)=0,"",F24/E24)</f>
        <v/>
      </c>
      <c r="H24" s="51" t="str">
        <f t="shared" si="1"/>
        <v/>
      </c>
      <c r="I24" s="45"/>
      <c r="J24" s="52" t="str">
        <f t="shared" si="2"/>
        <v/>
      </c>
      <c r="K24" s="45"/>
      <c r="L24" s="52" t="str">
        <f t="shared" si="3"/>
        <v/>
      </c>
      <c r="M24" s="45"/>
      <c r="N24" s="52" t="str">
        <f t="shared" si="4"/>
        <v/>
      </c>
      <c r="O24" s="45"/>
      <c r="P24" s="52" t="str">
        <f t="shared" si="5"/>
        <v/>
      </c>
      <c r="Q24" s="45"/>
      <c r="R24" s="52" t="str">
        <f t="shared" si="6"/>
        <v/>
      </c>
      <c r="S24" s="45"/>
      <c r="T24" s="52" t="str">
        <f t="shared" si="7"/>
        <v/>
      </c>
      <c r="U24" s="47"/>
      <c r="V24" s="52" t="str">
        <f t="shared" si="8"/>
        <v/>
      </c>
      <c r="W24" s="45"/>
      <c r="X24" s="52" t="str">
        <f t="shared" si="9"/>
        <v/>
      </c>
    </row>
    <row r="25" spans="1:24" x14ac:dyDescent="0.2">
      <c r="A25" s="14">
        <v>15</v>
      </c>
      <c r="B25" s="40">
        <v>46286</v>
      </c>
      <c r="C25" s="41">
        <f t="shared" si="0"/>
        <v>17.241379310344829</v>
      </c>
      <c r="D25" s="42"/>
      <c r="E25" s="41">
        <f>SUM($C$11:C25)</f>
        <v>258.62068965517244</v>
      </c>
      <c r="F25" s="41">
        <f>SUM($D$11:D25)</f>
        <v>0</v>
      </c>
      <c r="G25" s="43" t="str">
        <f>IF(COUNT($D$11:D25)=0,"",F25/E25)</f>
        <v/>
      </c>
      <c r="H25" s="44" t="str">
        <f t="shared" si="1"/>
        <v/>
      </c>
      <c r="I25" s="45"/>
      <c r="J25" s="46" t="str">
        <f t="shared" si="2"/>
        <v/>
      </c>
      <c r="K25" s="45"/>
      <c r="L25" s="46" t="str">
        <f t="shared" si="3"/>
        <v/>
      </c>
      <c r="M25" s="45"/>
      <c r="N25" s="46" t="str">
        <f t="shared" si="4"/>
        <v/>
      </c>
      <c r="O25" s="45"/>
      <c r="P25" s="46" t="str">
        <f t="shared" si="5"/>
        <v/>
      </c>
      <c r="Q25" s="45"/>
      <c r="R25" s="46" t="str">
        <f t="shared" si="6"/>
        <v/>
      </c>
      <c r="S25" s="45"/>
      <c r="T25" s="46" t="str">
        <f t="shared" si="7"/>
        <v/>
      </c>
      <c r="U25" s="47"/>
      <c r="V25" s="46" t="str">
        <f t="shared" si="8"/>
        <v/>
      </c>
      <c r="W25" s="45"/>
      <c r="X25" s="46" t="str">
        <f t="shared" si="9"/>
        <v/>
      </c>
    </row>
    <row r="26" spans="1:24" x14ac:dyDescent="0.2">
      <c r="A26" s="21">
        <v>16</v>
      </c>
      <c r="B26" s="48">
        <v>46293</v>
      </c>
      <c r="C26" s="49">
        <f t="shared" si="0"/>
        <v>17.241379310344829</v>
      </c>
      <c r="D26" s="42"/>
      <c r="E26" s="49">
        <f>SUM($C$11:C26)</f>
        <v>275.86206896551727</v>
      </c>
      <c r="F26" s="49">
        <f>SUM($D$11:D26)</f>
        <v>0</v>
      </c>
      <c r="G26" s="50" t="str">
        <f>IF(COUNT($D$11:D26)=0,"",F26/E26)</f>
        <v/>
      </c>
      <c r="H26" s="51" t="str">
        <f t="shared" si="1"/>
        <v/>
      </c>
      <c r="I26" s="45"/>
      <c r="J26" s="52" t="str">
        <f t="shared" si="2"/>
        <v/>
      </c>
      <c r="K26" s="45"/>
      <c r="L26" s="52" t="str">
        <f t="shared" si="3"/>
        <v/>
      </c>
      <c r="M26" s="45"/>
      <c r="N26" s="52" t="str">
        <f t="shared" si="4"/>
        <v/>
      </c>
      <c r="O26" s="45"/>
      <c r="P26" s="52" t="str">
        <f t="shared" si="5"/>
        <v/>
      </c>
      <c r="Q26" s="45"/>
      <c r="R26" s="52" t="str">
        <f t="shared" si="6"/>
        <v/>
      </c>
      <c r="S26" s="45"/>
      <c r="T26" s="52" t="str">
        <f t="shared" si="7"/>
        <v/>
      </c>
      <c r="U26" s="47"/>
      <c r="V26" s="52" t="str">
        <f t="shared" si="8"/>
        <v/>
      </c>
      <c r="W26" s="45"/>
      <c r="X26" s="52" t="str">
        <f t="shared" si="9"/>
        <v/>
      </c>
    </row>
    <row r="27" spans="1:24" x14ac:dyDescent="0.2">
      <c r="A27" s="14">
        <v>17</v>
      </c>
      <c r="B27" s="40">
        <v>46300</v>
      </c>
      <c r="C27" s="41">
        <f t="shared" si="0"/>
        <v>17.241379310344829</v>
      </c>
      <c r="D27" s="42"/>
      <c r="E27" s="41">
        <f>SUM($C$11:C27)</f>
        <v>293.10344827586209</v>
      </c>
      <c r="F27" s="41">
        <f>SUM($D$11:D27)</f>
        <v>0</v>
      </c>
      <c r="G27" s="43" t="str">
        <f>IF(COUNT($D$11:D27)=0,"",F27/E27)</f>
        <v/>
      </c>
      <c r="H27" s="44" t="str">
        <f t="shared" si="1"/>
        <v/>
      </c>
      <c r="I27" s="45"/>
      <c r="J27" s="46" t="str">
        <f t="shared" si="2"/>
        <v/>
      </c>
      <c r="K27" s="45"/>
      <c r="L27" s="46" t="str">
        <f t="shared" si="3"/>
        <v/>
      </c>
      <c r="M27" s="45"/>
      <c r="N27" s="46" t="str">
        <f t="shared" si="4"/>
        <v/>
      </c>
      <c r="O27" s="45"/>
      <c r="P27" s="46" t="str">
        <f t="shared" si="5"/>
        <v/>
      </c>
      <c r="Q27" s="45"/>
      <c r="R27" s="46" t="str">
        <f t="shared" si="6"/>
        <v/>
      </c>
      <c r="S27" s="45"/>
      <c r="T27" s="46" t="str">
        <f t="shared" si="7"/>
        <v/>
      </c>
      <c r="U27" s="47"/>
      <c r="V27" s="46" t="str">
        <f t="shared" si="8"/>
        <v/>
      </c>
      <c r="W27" s="45"/>
      <c r="X27" s="46" t="str">
        <f t="shared" si="9"/>
        <v/>
      </c>
    </row>
    <row r="28" spans="1:24" x14ac:dyDescent="0.2">
      <c r="A28" s="21">
        <v>18</v>
      </c>
      <c r="B28" s="48">
        <v>46307</v>
      </c>
      <c r="C28" s="49">
        <f t="shared" si="0"/>
        <v>17.241379310344829</v>
      </c>
      <c r="D28" s="42"/>
      <c r="E28" s="49">
        <f>SUM($C$11:C28)</f>
        <v>310.34482758620692</v>
      </c>
      <c r="F28" s="49">
        <f>SUM($D$11:D28)</f>
        <v>0</v>
      </c>
      <c r="G28" s="50" t="str">
        <f>IF(COUNT($D$11:D28)=0,"",F28/E28)</f>
        <v/>
      </c>
      <c r="H28" s="51" t="str">
        <f t="shared" si="1"/>
        <v/>
      </c>
      <c r="I28" s="45"/>
      <c r="J28" s="52" t="str">
        <f t="shared" si="2"/>
        <v/>
      </c>
      <c r="K28" s="45"/>
      <c r="L28" s="52" t="str">
        <f t="shared" si="3"/>
        <v/>
      </c>
      <c r="M28" s="45"/>
      <c r="N28" s="52" t="str">
        <f t="shared" si="4"/>
        <v/>
      </c>
      <c r="O28" s="45"/>
      <c r="P28" s="52" t="str">
        <f t="shared" si="5"/>
        <v/>
      </c>
      <c r="Q28" s="45"/>
      <c r="R28" s="52" t="str">
        <f t="shared" si="6"/>
        <v/>
      </c>
      <c r="S28" s="45"/>
      <c r="T28" s="52" t="str">
        <f t="shared" si="7"/>
        <v/>
      </c>
      <c r="U28" s="47"/>
      <c r="V28" s="52" t="str">
        <f t="shared" si="8"/>
        <v/>
      </c>
      <c r="W28" s="45"/>
      <c r="X28" s="52" t="str">
        <f t="shared" si="9"/>
        <v/>
      </c>
    </row>
    <row r="29" spans="1:24" x14ac:dyDescent="0.2">
      <c r="A29" s="14">
        <v>19</v>
      </c>
      <c r="B29" s="40">
        <v>46314</v>
      </c>
      <c r="C29" s="41">
        <f t="shared" si="0"/>
        <v>17.241379310344829</v>
      </c>
      <c r="D29" s="42"/>
      <c r="E29" s="41">
        <f>SUM($C$11:C29)</f>
        <v>327.58620689655174</v>
      </c>
      <c r="F29" s="41">
        <f>SUM($D$11:D29)</f>
        <v>0</v>
      </c>
      <c r="G29" s="43" t="str">
        <f>IF(COUNT($D$11:D29)=0,"",F29/E29)</f>
        <v/>
      </c>
      <c r="H29" s="44" t="str">
        <f t="shared" si="1"/>
        <v/>
      </c>
      <c r="I29" s="45"/>
      <c r="J29" s="46" t="str">
        <f t="shared" si="2"/>
        <v/>
      </c>
      <c r="K29" s="45"/>
      <c r="L29" s="46" t="str">
        <f t="shared" si="3"/>
        <v/>
      </c>
      <c r="M29" s="45"/>
      <c r="N29" s="46" t="str">
        <f t="shared" si="4"/>
        <v/>
      </c>
      <c r="O29" s="45"/>
      <c r="P29" s="46" t="str">
        <f t="shared" si="5"/>
        <v/>
      </c>
      <c r="Q29" s="45"/>
      <c r="R29" s="46" t="str">
        <f t="shared" si="6"/>
        <v/>
      </c>
      <c r="S29" s="45"/>
      <c r="T29" s="46" t="str">
        <f t="shared" si="7"/>
        <v/>
      </c>
      <c r="U29" s="47"/>
      <c r="V29" s="46" t="str">
        <f t="shared" si="8"/>
        <v/>
      </c>
      <c r="W29" s="45"/>
      <c r="X29" s="46" t="str">
        <f t="shared" si="9"/>
        <v/>
      </c>
    </row>
    <row r="30" spans="1:24" x14ac:dyDescent="0.2">
      <c r="A30" s="21">
        <v>20</v>
      </c>
      <c r="B30" s="48">
        <v>46321</v>
      </c>
      <c r="C30" s="49">
        <f t="shared" si="0"/>
        <v>17.241379310344829</v>
      </c>
      <c r="D30" s="42"/>
      <c r="E30" s="49">
        <f>SUM($C$11:C30)</f>
        <v>344.82758620689657</v>
      </c>
      <c r="F30" s="49">
        <f>SUM($D$11:D30)</f>
        <v>0</v>
      </c>
      <c r="G30" s="50" t="str">
        <f>IF(COUNT($D$11:D30)=0,"",F30/E30)</f>
        <v/>
      </c>
      <c r="H30" s="51" t="str">
        <f t="shared" si="1"/>
        <v/>
      </c>
      <c r="I30" s="45"/>
      <c r="J30" s="52" t="str">
        <f t="shared" si="2"/>
        <v/>
      </c>
      <c r="K30" s="45"/>
      <c r="L30" s="52" t="str">
        <f t="shared" si="3"/>
        <v/>
      </c>
      <c r="M30" s="45"/>
      <c r="N30" s="52" t="str">
        <f t="shared" si="4"/>
        <v/>
      </c>
      <c r="O30" s="45"/>
      <c r="P30" s="52" t="str">
        <f t="shared" si="5"/>
        <v/>
      </c>
      <c r="Q30" s="45"/>
      <c r="R30" s="52" t="str">
        <f t="shared" si="6"/>
        <v/>
      </c>
      <c r="S30" s="45"/>
      <c r="T30" s="52" t="str">
        <f t="shared" si="7"/>
        <v/>
      </c>
      <c r="U30" s="47"/>
      <c r="V30" s="52" t="str">
        <f t="shared" si="8"/>
        <v/>
      </c>
      <c r="W30" s="45"/>
      <c r="X30" s="52" t="str">
        <f t="shared" si="9"/>
        <v/>
      </c>
    </row>
    <row r="31" spans="1:24" x14ac:dyDescent="0.2">
      <c r="A31" s="14">
        <v>21</v>
      </c>
      <c r="B31" s="40">
        <v>46328</v>
      </c>
      <c r="C31" s="41">
        <f t="shared" si="0"/>
        <v>17.241379310344829</v>
      </c>
      <c r="D31" s="42"/>
      <c r="E31" s="41">
        <f>SUM($C$11:C31)</f>
        <v>362.06896551724139</v>
      </c>
      <c r="F31" s="41">
        <f>SUM($D$11:D31)</f>
        <v>0</v>
      </c>
      <c r="G31" s="43" t="str">
        <f>IF(COUNT($D$11:D31)=0,"",F31/E31)</f>
        <v/>
      </c>
      <c r="H31" s="44" t="str">
        <f t="shared" si="1"/>
        <v/>
      </c>
      <c r="I31" s="45"/>
      <c r="J31" s="46" t="str">
        <f t="shared" si="2"/>
        <v/>
      </c>
      <c r="K31" s="45"/>
      <c r="L31" s="46" t="str">
        <f t="shared" si="3"/>
        <v/>
      </c>
      <c r="M31" s="45"/>
      <c r="N31" s="46" t="str">
        <f t="shared" si="4"/>
        <v/>
      </c>
      <c r="O31" s="45"/>
      <c r="P31" s="46" t="str">
        <f t="shared" si="5"/>
        <v/>
      </c>
      <c r="Q31" s="45"/>
      <c r="R31" s="46" t="str">
        <f t="shared" si="6"/>
        <v/>
      </c>
      <c r="S31" s="45"/>
      <c r="T31" s="46" t="str">
        <f t="shared" si="7"/>
        <v/>
      </c>
      <c r="U31" s="47"/>
      <c r="V31" s="46" t="str">
        <f t="shared" si="8"/>
        <v/>
      </c>
      <c r="W31" s="45"/>
      <c r="X31" s="46" t="str">
        <f t="shared" si="9"/>
        <v/>
      </c>
    </row>
    <row r="32" spans="1:24" x14ac:dyDescent="0.2">
      <c r="A32" s="21">
        <v>22</v>
      </c>
      <c r="B32" s="48">
        <v>46335</v>
      </c>
      <c r="C32" s="49">
        <f t="shared" si="0"/>
        <v>17.241379310344829</v>
      </c>
      <c r="D32" s="42"/>
      <c r="E32" s="49">
        <f>SUM($C$11:C32)</f>
        <v>379.31034482758622</v>
      </c>
      <c r="F32" s="49">
        <f>SUM($D$11:D32)</f>
        <v>0</v>
      </c>
      <c r="G32" s="50" t="str">
        <f>IF(COUNT($D$11:D32)=0,"",F32/E32)</f>
        <v/>
      </c>
      <c r="H32" s="51" t="str">
        <f t="shared" si="1"/>
        <v/>
      </c>
      <c r="I32" s="45"/>
      <c r="J32" s="52" t="str">
        <f t="shared" si="2"/>
        <v/>
      </c>
      <c r="K32" s="45"/>
      <c r="L32" s="52" t="str">
        <f t="shared" si="3"/>
        <v/>
      </c>
      <c r="M32" s="45"/>
      <c r="N32" s="52" t="str">
        <f t="shared" si="4"/>
        <v/>
      </c>
      <c r="O32" s="45"/>
      <c r="P32" s="52" t="str">
        <f t="shared" si="5"/>
        <v/>
      </c>
      <c r="Q32" s="45"/>
      <c r="R32" s="52" t="str">
        <f t="shared" si="6"/>
        <v/>
      </c>
      <c r="S32" s="45"/>
      <c r="T32" s="52" t="str">
        <f t="shared" si="7"/>
        <v/>
      </c>
      <c r="U32" s="47"/>
      <c r="V32" s="52" t="str">
        <f t="shared" si="8"/>
        <v/>
      </c>
      <c r="W32" s="45"/>
      <c r="X32" s="52" t="str">
        <f t="shared" si="9"/>
        <v/>
      </c>
    </row>
    <row r="33" spans="1:24" x14ac:dyDescent="0.2">
      <c r="A33" s="14">
        <v>23</v>
      </c>
      <c r="B33" s="40">
        <v>46342</v>
      </c>
      <c r="C33" s="41">
        <f t="shared" si="0"/>
        <v>17.241379310344829</v>
      </c>
      <c r="D33" s="42"/>
      <c r="E33" s="41">
        <f>SUM($C$11:C33)</f>
        <v>396.55172413793105</v>
      </c>
      <c r="F33" s="41">
        <f>SUM($D$11:D33)</f>
        <v>0</v>
      </c>
      <c r="G33" s="43" t="str">
        <f>IF(COUNT($D$11:D33)=0,"",F33/E33)</f>
        <v/>
      </c>
      <c r="H33" s="44" t="str">
        <f t="shared" si="1"/>
        <v/>
      </c>
      <c r="I33" s="45"/>
      <c r="J33" s="46" t="str">
        <f t="shared" si="2"/>
        <v/>
      </c>
      <c r="K33" s="45"/>
      <c r="L33" s="46" t="str">
        <f t="shared" si="3"/>
        <v/>
      </c>
      <c r="M33" s="45"/>
      <c r="N33" s="46" t="str">
        <f t="shared" si="4"/>
        <v/>
      </c>
      <c r="O33" s="45"/>
      <c r="P33" s="46" t="str">
        <f t="shared" si="5"/>
        <v/>
      </c>
      <c r="Q33" s="45"/>
      <c r="R33" s="46" t="str">
        <f t="shared" si="6"/>
        <v/>
      </c>
      <c r="S33" s="45"/>
      <c r="T33" s="46" t="str">
        <f t="shared" si="7"/>
        <v/>
      </c>
      <c r="U33" s="47"/>
      <c r="V33" s="46" t="str">
        <f t="shared" si="8"/>
        <v/>
      </c>
      <c r="W33" s="45"/>
      <c r="X33" s="46" t="str">
        <f t="shared" si="9"/>
        <v/>
      </c>
    </row>
    <row r="34" spans="1:24" x14ac:dyDescent="0.2">
      <c r="A34" s="21">
        <v>24</v>
      </c>
      <c r="B34" s="48">
        <v>46349</v>
      </c>
      <c r="C34" s="49">
        <f t="shared" si="0"/>
        <v>17.241379310344829</v>
      </c>
      <c r="D34" s="42"/>
      <c r="E34" s="49">
        <f>SUM($C$11:C34)</f>
        <v>413.79310344827587</v>
      </c>
      <c r="F34" s="49">
        <f>SUM($D$11:D34)</f>
        <v>0</v>
      </c>
      <c r="G34" s="50" t="str">
        <f>IF(COUNT($D$11:D34)=0,"",F34/E34)</f>
        <v/>
      </c>
      <c r="H34" s="51" t="str">
        <f t="shared" si="1"/>
        <v/>
      </c>
      <c r="I34" s="45"/>
      <c r="J34" s="52" t="str">
        <f t="shared" si="2"/>
        <v/>
      </c>
      <c r="K34" s="45"/>
      <c r="L34" s="52" t="str">
        <f t="shared" si="3"/>
        <v/>
      </c>
      <c r="M34" s="45"/>
      <c r="N34" s="52" t="str">
        <f t="shared" si="4"/>
        <v/>
      </c>
      <c r="O34" s="45"/>
      <c r="P34" s="52" t="str">
        <f t="shared" si="5"/>
        <v/>
      </c>
      <c r="Q34" s="45"/>
      <c r="R34" s="52" t="str">
        <f t="shared" si="6"/>
        <v/>
      </c>
      <c r="S34" s="45"/>
      <c r="T34" s="52" t="str">
        <f t="shared" si="7"/>
        <v/>
      </c>
      <c r="U34" s="47"/>
      <c r="V34" s="52" t="str">
        <f t="shared" si="8"/>
        <v/>
      </c>
      <c r="W34" s="45"/>
      <c r="X34" s="52" t="str">
        <f t="shared" si="9"/>
        <v/>
      </c>
    </row>
    <row r="35" spans="1:24" x14ac:dyDescent="0.2">
      <c r="A35" s="14">
        <v>25</v>
      </c>
      <c r="B35" s="40">
        <v>46356</v>
      </c>
      <c r="C35" s="41">
        <f t="shared" si="0"/>
        <v>17.241379310344829</v>
      </c>
      <c r="D35" s="42"/>
      <c r="E35" s="41">
        <f>SUM($C$11:C35)</f>
        <v>431.0344827586207</v>
      </c>
      <c r="F35" s="41">
        <f>SUM($D$11:D35)</f>
        <v>0</v>
      </c>
      <c r="G35" s="43" t="str">
        <f>IF(COUNT($D$11:D35)=0,"",F35/E35)</f>
        <v/>
      </c>
      <c r="H35" s="44" t="str">
        <f t="shared" si="1"/>
        <v/>
      </c>
      <c r="I35" s="45"/>
      <c r="J35" s="46" t="str">
        <f t="shared" si="2"/>
        <v/>
      </c>
      <c r="K35" s="45"/>
      <c r="L35" s="46" t="str">
        <f t="shared" si="3"/>
        <v/>
      </c>
      <c r="M35" s="45"/>
      <c r="N35" s="46" t="str">
        <f t="shared" si="4"/>
        <v/>
      </c>
      <c r="O35" s="45"/>
      <c r="P35" s="46" t="str">
        <f t="shared" si="5"/>
        <v/>
      </c>
      <c r="Q35" s="45"/>
      <c r="R35" s="46" t="str">
        <f t="shared" si="6"/>
        <v/>
      </c>
      <c r="S35" s="45"/>
      <c r="T35" s="46" t="str">
        <f t="shared" si="7"/>
        <v/>
      </c>
      <c r="U35" s="47"/>
      <c r="V35" s="46" t="str">
        <f t="shared" si="8"/>
        <v/>
      </c>
      <c r="W35" s="45"/>
      <c r="X35" s="46" t="str">
        <f t="shared" si="9"/>
        <v/>
      </c>
    </row>
    <row r="36" spans="1:24" x14ac:dyDescent="0.2">
      <c r="A36" s="21">
        <v>26</v>
      </c>
      <c r="B36" s="48">
        <v>46363</v>
      </c>
      <c r="C36" s="49">
        <f t="shared" si="0"/>
        <v>17.241379310344829</v>
      </c>
      <c r="D36" s="42"/>
      <c r="E36" s="49">
        <f>SUM($C$11:C36)</f>
        <v>448.27586206896552</v>
      </c>
      <c r="F36" s="49">
        <f>SUM($D$11:D36)</f>
        <v>0</v>
      </c>
      <c r="G36" s="50" t="str">
        <f>IF(COUNT($D$11:D36)=0,"",F36/E36)</f>
        <v/>
      </c>
      <c r="H36" s="51" t="str">
        <f t="shared" si="1"/>
        <v/>
      </c>
      <c r="I36" s="45"/>
      <c r="J36" s="52" t="str">
        <f t="shared" si="2"/>
        <v/>
      </c>
      <c r="K36" s="45"/>
      <c r="L36" s="52" t="str">
        <f t="shared" si="3"/>
        <v/>
      </c>
      <c r="M36" s="45"/>
      <c r="N36" s="52" t="str">
        <f t="shared" si="4"/>
        <v/>
      </c>
      <c r="O36" s="45"/>
      <c r="P36" s="52" t="str">
        <f t="shared" si="5"/>
        <v/>
      </c>
      <c r="Q36" s="45"/>
      <c r="R36" s="52" t="str">
        <f t="shared" si="6"/>
        <v/>
      </c>
      <c r="S36" s="45"/>
      <c r="T36" s="52" t="str">
        <f t="shared" si="7"/>
        <v/>
      </c>
      <c r="U36" s="47"/>
      <c r="V36" s="52" t="str">
        <f t="shared" si="8"/>
        <v/>
      </c>
      <c r="W36" s="45"/>
      <c r="X36" s="52" t="str">
        <f t="shared" si="9"/>
        <v/>
      </c>
    </row>
    <row r="37" spans="1:24" x14ac:dyDescent="0.2">
      <c r="A37" s="14">
        <v>27</v>
      </c>
      <c r="B37" s="40">
        <v>46370</v>
      </c>
      <c r="C37" s="41">
        <f t="shared" si="0"/>
        <v>17.241379310344829</v>
      </c>
      <c r="D37" s="42"/>
      <c r="E37" s="41">
        <f>SUM($C$11:C37)</f>
        <v>465.51724137931035</v>
      </c>
      <c r="F37" s="41">
        <f>SUM($D$11:D37)</f>
        <v>0</v>
      </c>
      <c r="G37" s="43" t="str">
        <f>IF(COUNT($D$11:D37)=0,"",F37/E37)</f>
        <v/>
      </c>
      <c r="H37" s="44" t="str">
        <f t="shared" si="1"/>
        <v/>
      </c>
      <c r="I37" s="45"/>
      <c r="J37" s="46" t="str">
        <f t="shared" si="2"/>
        <v/>
      </c>
      <c r="K37" s="45"/>
      <c r="L37" s="46" t="str">
        <f t="shared" si="3"/>
        <v/>
      </c>
      <c r="M37" s="45"/>
      <c r="N37" s="46" t="str">
        <f t="shared" si="4"/>
        <v/>
      </c>
      <c r="O37" s="45"/>
      <c r="P37" s="46" t="str">
        <f t="shared" si="5"/>
        <v/>
      </c>
      <c r="Q37" s="45"/>
      <c r="R37" s="46" t="str">
        <f t="shared" si="6"/>
        <v/>
      </c>
      <c r="S37" s="45"/>
      <c r="T37" s="46" t="str">
        <f t="shared" si="7"/>
        <v/>
      </c>
      <c r="U37" s="47"/>
      <c r="V37" s="46" t="str">
        <f t="shared" si="8"/>
        <v/>
      </c>
      <c r="W37" s="45"/>
      <c r="X37" s="46" t="str">
        <f t="shared" si="9"/>
        <v/>
      </c>
    </row>
    <row r="38" spans="1:24" x14ac:dyDescent="0.2">
      <c r="A38" s="21">
        <v>28</v>
      </c>
      <c r="B38" s="48">
        <v>46377</v>
      </c>
      <c r="C38" s="49">
        <f t="shared" si="0"/>
        <v>17.241379310344829</v>
      </c>
      <c r="D38" s="42"/>
      <c r="E38" s="49">
        <f>SUM($C$11:C38)</f>
        <v>482.75862068965517</v>
      </c>
      <c r="F38" s="49">
        <f>SUM($D$11:D38)</f>
        <v>0</v>
      </c>
      <c r="G38" s="50" t="str">
        <f>IF(COUNT($D$11:D38)=0,"",F38/E38)</f>
        <v/>
      </c>
      <c r="H38" s="51" t="str">
        <f t="shared" si="1"/>
        <v/>
      </c>
      <c r="I38" s="45"/>
      <c r="J38" s="52" t="str">
        <f t="shared" si="2"/>
        <v/>
      </c>
      <c r="K38" s="45"/>
      <c r="L38" s="52" t="str">
        <f t="shared" si="3"/>
        <v/>
      </c>
      <c r="M38" s="45"/>
      <c r="N38" s="52" t="str">
        <f t="shared" si="4"/>
        <v/>
      </c>
      <c r="O38" s="45"/>
      <c r="P38" s="52" t="str">
        <f t="shared" si="5"/>
        <v/>
      </c>
      <c r="Q38" s="45"/>
      <c r="R38" s="52" t="str">
        <f t="shared" si="6"/>
        <v/>
      </c>
      <c r="S38" s="45"/>
      <c r="T38" s="52" t="str">
        <f t="shared" si="7"/>
        <v/>
      </c>
      <c r="U38" s="47"/>
      <c r="V38" s="52" t="str">
        <f t="shared" si="8"/>
        <v/>
      </c>
      <c r="W38" s="45"/>
      <c r="X38" s="52" t="str">
        <f t="shared" si="9"/>
        <v/>
      </c>
    </row>
    <row r="39" spans="1:24" x14ac:dyDescent="0.2">
      <c r="A39" s="14">
        <v>29</v>
      </c>
      <c r="B39" s="40">
        <v>46384</v>
      </c>
      <c r="C39" s="41">
        <f t="shared" si="0"/>
        <v>17.241379310344829</v>
      </c>
      <c r="D39" s="42"/>
      <c r="E39" s="41">
        <f>SUM($C$11:C39)</f>
        <v>500</v>
      </c>
      <c r="F39" s="41">
        <f>SUM($D$11:D39)</f>
        <v>0</v>
      </c>
      <c r="G39" s="43" t="str">
        <f>IF(COUNT($D$11:D39)=0,"",F39/E39)</f>
        <v/>
      </c>
      <c r="H39" s="44" t="str">
        <f t="shared" si="1"/>
        <v/>
      </c>
      <c r="I39" s="45"/>
      <c r="J39" s="46" t="str">
        <f t="shared" si="2"/>
        <v/>
      </c>
      <c r="K39" s="45"/>
      <c r="L39" s="46" t="str">
        <f t="shared" si="3"/>
        <v/>
      </c>
      <c r="M39" s="45"/>
      <c r="N39" s="46" t="str">
        <f t="shared" si="4"/>
        <v/>
      </c>
      <c r="O39" s="45"/>
      <c r="P39" s="46" t="str">
        <f t="shared" si="5"/>
        <v/>
      </c>
      <c r="Q39" s="45"/>
      <c r="R39" s="46" t="str">
        <f t="shared" si="6"/>
        <v/>
      </c>
      <c r="S39" s="45"/>
      <c r="T39" s="46" t="str">
        <f t="shared" si="7"/>
        <v/>
      </c>
      <c r="U39" s="47"/>
      <c r="V39" s="46" t="str">
        <f t="shared" si="8"/>
        <v/>
      </c>
      <c r="W39" s="45"/>
      <c r="X39" s="46" t="str">
        <f t="shared" si="9"/>
        <v/>
      </c>
    </row>
  </sheetData>
  <mergeCells count="17">
    <mergeCell ref="A1:X1"/>
    <mergeCell ref="I8:J8"/>
    <mergeCell ref="O9:P9"/>
    <mergeCell ref="I9:J9"/>
    <mergeCell ref="W9:X9"/>
    <mergeCell ref="Q8:R8"/>
    <mergeCell ref="M8:N8"/>
    <mergeCell ref="U8:V8"/>
    <mergeCell ref="S8:T8"/>
    <mergeCell ref="W8:X8"/>
    <mergeCell ref="U9:V9"/>
    <mergeCell ref="K8:L8"/>
    <mergeCell ref="S9:T9"/>
    <mergeCell ref="O8:P8"/>
    <mergeCell ref="K9:L9"/>
    <mergeCell ref="M9:N9"/>
    <mergeCell ref="Q9:R9"/>
  </mergeCells>
  <conditionalFormatting sqref="H11:H39">
    <cfRule type="containsText" dxfId="28" priority="1" operator="containsText" text="En meta">
      <formula>NOT(ISERROR(SEARCH("En meta",H11)))</formula>
    </cfRule>
    <cfRule type="containsText" dxfId="27" priority="2" operator="containsText" text="Riesgo">
      <formula>NOT(ISERROR(SEARCH("Riesgo",H11)))</formula>
    </cfRule>
    <cfRule type="containsText" dxfId="26" priority="3" operator="containsText" text="Atrasado">
      <formula>NOT(ISERROR(SEARCH("Atrasado",H11)))</formula>
    </cfRule>
  </conditionalFormatting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52"/>
  <sheetViews>
    <sheetView showGridLines="0" workbookViewId="0">
      <pane xSplit="2" ySplit="10" topLeftCell="C11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5" customWidth="1"/>
    <col min="2" max="2" width="11" customWidth="1"/>
    <col min="3" max="3" width="12" customWidth="1"/>
    <col min="4" max="4" width="11" customWidth="1"/>
    <col min="5" max="6" width="12" customWidth="1"/>
    <col min="7" max="7" width="13" customWidth="1"/>
    <col min="8" max="9" width="11" customWidth="1"/>
    <col min="10" max="10" width="7" customWidth="1"/>
    <col min="11" max="11" width="11" customWidth="1"/>
    <col min="12" max="12" width="7" customWidth="1"/>
    <col min="13" max="13" width="11" customWidth="1"/>
    <col min="14" max="14" width="7" customWidth="1"/>
    <col min="15" max="15" width="11" customWidth="1"/>
    <col min="16" max="16" width="7" customWidth="1"/>
    <col min="17" max="17" width="11" customWidth="1"/>
    <col min="18" max="18" width="7" customWidth="1"/>
    <col min="19" max="19" width="11" customWidth="1"/>
    <col min="20" max="20" width="7" customWidth="1"/>
    <col min="21" max="21" width="11" customWidth="1"/>
    <col min="22" max="22" width="7" customWidth="1"/>
    <col min="23" max="23" width="11" customWidth="1"/>
    <col min="24" max="24" width="7" customWidth="1"/>
  </cols>
  <sheetData>
    <row r="1" spans="1:24" ht="18" x14ac:dyDescent="0.2">
      <c r="A1" s="79" t="s">
        <v>74</v>
      </c>
      <c r="B1" s="73"/>
      <c r="C1" s="73"/>
      <c r="D1" s="73"/>
      <c r="E1" s="73"/>
      <c r="F1" s="73"/>
      <c r="G1" s="73"/>
      <c r="H1" s="73"/>
      <c r="I1" s="73"/>
      <c r="J1" s="73"/>
      <c r="K1" s="73"/>
      <c r="L1" s="73"/>
      <c r="M1" s="73"/>
      <c r="N1" s="73"/>
      <c r="O1" s="73"/>
      <c r="P1" s="73"/>
      <c r="Q1" s="73"/>
      <c r="R1" s="73"/>
      <c r="S1" s="73"/>
      <c r="T1" s="73"/>
      <c r="U1" s="73"/>
      <c r="V1" s="73"/>
      <c r="W1" s="73"/>
      <c r="X1" s="73"/>
    </row>
    <row r="2" spans="1:24" x14ac:dyDescent="0.2">
      <c r="A2" s="1" t="s">
        <v>46</v>
      </c>
      <c r="B2" s="32" t="s">
        <v>75</v>
      </c>
    </row>
    <row r="3" spans="1:24" x14ac:dyDescent="0.2">
      <c r="A3" s="1" t="s">
        <v>48</v>
      </c>
      <c r="B3" s="32" t="s">
        <v>76</v>
      </c>
    </row>
    <row r="4" spans="1:24" x14ac:dyDescent="0.2">
      <c r="A4" s="1" t="s">
        <v>50</v>
      </c>
      <c r="B4" s="33" t="s">
        <v>51</v>
      </c>
      <c r="D4" s="1" t="s">
        <v>52</v>
      </c>
      <c r="E4" s="32" t="s">
        <v>22</v>
      </c>
    </row>
    <row r="5" spans="1:24" x14ac:dyDescent="0.2">
      <c r="A5" s="1" t="s">
        <v>53</v>
      </c>
      <c r="B5" s="2">
        <v>10000</v>
      </c>
      <c r="D5" s="1" t="s">
        <v>54</v>
      </c>
      <c r="E5" s="35">
        <v>46188</v>
      </c>
      <c r="G5" s="1" t="s">
        <v>55</v>
      </c>
      <c r="H5" s="35">
        <v>46475</v>
      </c>
    </row>
    <row r="6" spans="1:24" x14ac:dyDescent="0.2">
      <c r="A6" s="1" t="s">
        <v>56</v>
      </c>
      <c r="B6" s="32" t="s">
        <v>57</v>
      </c>
    </row>
    <row r="8" spans="1:24" ht="42" customHeight="1" x14ac:dyDescent="0.2">
      <c r="A8" s="1" t="s">
        <v>58</v>
      </c>
      <c r="B8" s="36">
        <f>COUNT(A11:A52)</f>
        <v>42</v>
      </c>
      <c r="H8" s="37" t="s">
        <v>59</v>
      </c>
      <c r="I8" s="75" t="s">
        <v>77</v>
      </c>
      <c r="J8" s="76"/>
      <c r="K8" s="75" t="s">
        <v>78</v>
      </c>
      <c r="L8" s="76"/>
      <c r="M8" s="75" t="s">
        <v>79</v>
      </c>
      <c r="N8" s="76"/>
      <c r="O8" s="75" t="s">
        <v>80</v>
      </c>
      <c r="P8" s="76"/>
      <c r="Q8" s="75" t="s">
        <v>81</v>
      </c>
      <c r="R8" s="76"/>
      <c r="S8" s="75" t="s">
        <v>82</v>
      </c>
      <c r="T8" s="76"/>
      <c r="U8" s="75" t="s">
        <v>83</v>
      </c>
      <c r="V8" s="76"/>
      <c r="W8" s="75" t="s">
        <v>67</v>
      </c>
      <c r="X8" s="76"/>
    </row>
    <row r="9" spans="1:24" x14ac:dyDescent="0.2">
      <c r="A9" s="38" t="s">
        <v>68</v>
      </c>
      <c r="H9" s="37" t="s">
        <v>69</v>
      </c>
      <c r="I9" s="78">
        <v>3</v>
      </c>
      <c r="J9" s="76"/>
      <c r="K9" s="78">
        <v>40</v>
      </c>
      <c r="L9" s="76"/>
      <c r="M9" s="78">
        <v>4</v>
      </c>
      <c r="N9" s="76"/>
      <c r="O9" s="78">
        <v>2</v>
      </c>
      <c r="P9" s="76"/>
      <c r="Q9" s="77">
        <v>0.2</v>
      </c>
      <c r="R9" s="76"/>
      <c r="S9" s="78">
        <v>6</v>
      </c>
      <c r="T9" s="76"/>
      <c r="U9" s="78">
        <v>1</v>
      </c>
      <c r="V9" s="76"/>
      <c r="W9" s="78"/>
      <c r="X9" s="76"/>
    </row>
    <row r="10" spans="1:24" x14ac:dyDescent="0.2">
      <c r="A10" s="3" t="s">
        <v>11</v>
      </c>
      <c r="B10" s="3" t="s">
        <v>70</v>
      </c>
      <c r="C10" s="3" t="s">
        <v>71</v>
      </c>
      <c r="D10" s="3" t="s">
        <v>72</v>
      </c>
      <c r="E10" s="3" t="s">
        <v>6</v>
      </c>
      <c r="F10" s="3" t="s">
        <v>7</v>
      </c>
      <c r="G10" s="3" t="s">
        <v>8</v>
      </c>
      <c r="H10" s="3" t="s">
        <v>9</v>
      </c>
      <c r="I10" s="39" t="s">
        <v>72</v>
      </c>
      <c r="J10" s="39" t="s">
        <v>73</v>
      </c>
      <c r="K10" s="39" t="s">
        <v>72</v>
      </c>
      <c r="L10" s="39" t="s">
        <v>73</v>
      </c>
      <c r="M10" s="39" t="s">
        <v>72</v>
      </c>
      <c r="N10" s="39" t="s">
        <v>73</v>
      </c>
      <c r="O10" s="39" t="s">
        <v>72</v>
      </c>
      <c r="P10" s="39" t="s">
        <v>73</v>
      </c>
      <c r="Q10" s="39" t="s">
        <v>72</v>
      </c>
      <c r="R10" s="39" t="s">
        <v>73</v>
      </c>
      <c r="S10" s="39" t="s">
        <v>72</v>
      </c>
      <c r="T10" s="39" t="s">
        <v>73</v>
      </c>
      <c r="U10" s="39" t="s">
        <v>72</v>
      </c>
      <c r="V10" s="39" t="s">
        <v>73</v>
      </c>
      <c r="W10" s="39" t="s">
        <v>72</v>
      </c>
      <c r="X10" s="39" t="s">
        <v>73</v>
      </c>
    </row>
    <row r="11" spans="1:24" x14ac:dyDescent="0.2">
      <c r="A11" s="14">
        <v>1</v>
      </c>
      <c r="B11" s="40">
        <v>46188</v>
      </c>
      <c r="C11" s="53">
        <f t="shared" ref="C11:C52" si="0">$B$5/$B$8</f>
        <v>238.0952380952381</v>
      </c>
      <c r="D11" s="42"/>
      <c r="E11" s="53">
        <f>SUM($C$11:C11)</f>
        <v>238.0952380952381</v>
      </c>
      <c r="F11" s="53">
        <f>SUM($D$11:D11)</f>
        <v>0</v>
      </c>
      <c r="G11" s="43" t="str">
        <f>IF(COUNT($D$11:D11)=0,"",F11/E11)</f>
        <v/>
      </c>
      <c r="H11" s="44" t="str">
        <f t="shared" ref="H11:H52" si="1">IF(G11="","",IF(G11&gt;=0.95,"En meta",IF(G11&gt;=0.8,"Riesgo","Atrasado")))</f>
        <v/>
      </c>
      <c r="I11" s="45"/>
      <c r="J11" s="46" t="str">
        <f t="shared" ref="J11:J52" si="2">IF(I11="","",IF($I$9="","",IF($I$9=0,"",I11/$I$9)))</f>
        <v/>
      </c>
      <c r="K11" s="45"/>
      <c r="L11" s="46" t="str">
        <f t="shared" ref="L11:L52" si="3">IF(K11="","",IF($K$9="","",IF($K$9=0,"",K11/$K$9)))</f>
        <v/>
      </c>
      <c r="M11" s="45"/>
      <c r="N11" s="46" t="str">
        <f t="shared" ref="N11:N52" si="4">IF(M11="","",IF($M$9="","",IF($M$9=0,"",M11/$M$9)))</f>
        <v/>
      </c>
      <c r="O11" s="45"/>
      <c r="P11" s="46" t="str">
        <f t="shared" ref="P11:P52" si="5">IF(O11="","",IF($O$9="","",IF($O$9=0,"",O11/$O$9)))</f>
        <v/>
      </c>
      <c r="Q11" s="47"/>
      <c r="R11" s="46" t="str">
        <f t="shared" ref="R11:R52" si="6">IF(Q11="","",IF($Q$9="","",IF($Q$9=0,"",Q11/$Q$9)))</f>
        <v/>
      </c>
      <c r="S11" s="45"/>
      <c r="T11" s="46" t="str">
        <f t="shared" ref="T11:T52" si="7">IF(S11="","",IF($S$9="","",IF($S$9=0,"",S11/$S$9)))</f>
        <v/>
      </c>
      <c r="U11" s="45"/>
      <c r="V11" s="46" t="str">
        <f t="shared" ref="V11:V52" si="8">IF(U11="","",IF($U$9="","",IF($U$9=0,"",U11/$U$9)))</f>
        <v/>
      </c>
      <c r="W11" s="45"/>
      <c r="X11" s="46" t="str">
        <f t="shared" ref="X11:X52" si="9">IF(W11="","",IF($W$9="","",IF($W$9=0,"",W11/$W$9)))</f>
        <v/>
      </c>
    </row>
    <row r="12" spans="1:24" x14ac:dyDescent="0.2">
      <c r="A12" s="21">
        <v>2</v>
      </c>
      <c r="B12" s="48">
        <v>46195</v>
      </c>
      <c r="C12" s="54">
        <f t="shared" si="0"/>
        <v>238.0952380952381</v>
      </c>
      <c r="D12" s="42"/>
      <c r="E12" s="54">
        <f>SUM($C$11:C12)</f>
        <v>476.1904761904762</v>
      </c>
      <c r="F12" s="54">
        <f>SUM($D$11:D12)</f>
        <v>0</v>
      </c>
      <c r="G12" s="50" t="str">
        <f>IF(COUNT($D$11:D12)=0,"",F12/E12)</f>
        <v/>
      </c>
      <c r="H12" s="51" t="str">
        <f t="shared" si="1"/>
        <v/>
      </c>
      <c r="I12" s="45"/>
      <c r="J12" s="52" t="str">
        <f t="shared" si="2"/>
        <v/>
      </c>
      <c r="K12" s="45"/>
      <c r="L12" s="52" t="str">
        <f t="shared" si="3"/>
        <v/>
      </c>
      <c r="M12" s="45"/>
      <c r="N12" s="52" t="str">
        <f t="shared" si="4"/>
        <v/>
      </c>
      <c r="O12" s="45"/>
      <c r="P12" s="52" t="str">
        <f t="shared" si="5"/>
        <v/>
      </c>
      <c r="Q12" s="47"/>
      <c r="R12" s="52" t="str">
        <f t="shared" si="6"/>
        <v/>
      </c>
      <c r="S12" s="45"/>
      <c r="T12" s="52" t="str">
        <f t="shared" si="7"/>
        <v/>
      </c>
      <c r="U12" s="45"/>
      <c r="V12" s="52" t="str">
        <f t="shared" si="8"/>
        <v/>
      </c>
      <c r="W12" s="45"/>
      <c r="X12" s="52" t="str">
        <f t="shared" si="9"/>
        <v/>
      </c>
    </row>
    <row r="13" spans="1:24" x14ac:dyDescent="0.2">
      <c r="A13" s="14">
        <v>3</v>
      </c>
      <c r="B13" s="40">
        <v>46202</v>
      </c>
      <c r="C13" s="53">
        <f t="shared" si="0"/>
        <v>238.0952380952381</v>
      </c>
      <c r="D13" s="42"/>
      <c r="E13" s="53">
        <f>SUM($C$11:C13)</f>
        <v>714.28571428571433</v>
      </c>
      <c r="F13" s="53">
        <f>SUM($D$11:D13)</f>
        <v>0</v>
      </c>
      <c r="G13" s="43" t="str">
        <f>IF(COUNT($D$11:D13)=0,"",F13/E13)</f>
        <v/>
      </c>
      <c r="H13" s="44" t="str">
        <f t="shared" si="1"/>
        <v/>
      </c>
      <c r="I13" s="45"/>
      <c r="J13" s="46" t="str">
        <f t="shared" si="2"/>
        <v/>
      </c>
      <c r="K13" s="45"/>
      <c r="L13" s="46" t="str">
        <f t="shared" si="3"/>
        <v/>
      </c>
      <c r="M13" s="45"/>
      <c r="N13" s="46" t="str">
        <f t="shared" si="4"/>
        <v/>
      </c>
      <c r="O13" s="45"/>
      <c r="P13" s="46" t="str">
        <f t="shared" si="5"/>
        <v/>
      </c>
      <c r="Q13" s="47"/>
      <c r="R13" s="46" t="str">
        <f t="shared" si="6"/>
        <v/>
      </c>
      <c r="S13" s="45"/>
      <c r="T13" s="46" t="str">
        <f t="shared" si="7"/>
        <v/>
      </c>
      <c r="U13" s="45"/>
      <c r="V13" s="46" t="str">
        <f t="shared" si="8"/>
        <v/>
      </c>
      <c r="W13" s="45"/>
      <c r="X13" s="46" t="str">
        <f t="shared" si="9"/>
        <v/>
      </c>
    </row>
    <row r="14" spans="1:24" x14ac:dyDescent="0.2">
      <c r="A14" s="21">
        <v>4</v>
      </c>
      <c r="B14" s="48">
        <v>46209</v>
      </c>
      <c r="C14" s="54">
        <f t="shared" si="0"/>
        <v>238.0952380952381</v>
      </c>
      <c r="D14" s="42"/>
      <c r="E14" s="54">
        <f>SUM($C$11:C14)</f>
        <v>952.38095238095241</v>
      </c>
      <c r="F14" s="54">
        <f>SUM($D$11:D14)</f>
        <v>0</v>
      </c>
      <c r="G14" s="50" t="str">
        <f>IF(COUNT($D$11:D14)=0,"",F14/E14)</f>
        <v/>
      </c>
      <c r="H14" s="51" t="str">
        <f t="shared" si="1"/>
        <v/>
      </c>
      <c r="I14" s="45"/>
      <c r="J14" s="52" t="str">
        <f t="shared" si="2"/>
        <v/>
      </c>
      <c r="K14" s="45"/>
      <c r="L14" s="52" t="str">
        <f t="shared" si="3"/>
        <v/>
      </c>
      <c r="M14" s="45"/>
      <c r="N14" s="52" t="str">
        <f t="shared" si="4"/>
        <v/>
      </c>
      <c r="O14" s="45"/>
      <c r="P14" s="52" t="str">
        <f t="shared" si="5"/>
        <v/>
      </c>
      <c r="Q14" s="47"/>
      <c r="R14" s="52" t="str">
        <f t="shared" si="6"/>
        <v/>
      </c>
      <c r="S14" s="45"/>
      <c r="T14" s="52" t="str">
        <f t="shared" si="7"/>
        <v/>
      </c>
      <c r="U14" s="45"/>
      <c r="V14" s="52" t="str">
        <f t="shared" si="8"/>
        <v/>
      </c>
      <c r="W14" s="45"/>
      <c r="X14" s="52" t="str">
        <f t="shared" si="9"/>
        <v/>
      </c>
    </row>
    <row r="15" spans="1:24" x14ac:dyDescent="0.2">
      <c r="A15" s="14">
        <v>5</v>
      </c>
      <c r="B15" s="40">
        <v>46216</v>
      </c>
      <c r="C15" s="53">
        <f t="shared" si="0"/>
        <v>238.0952380952381</v>
      </c>
      <c r="D15" s="42"/>
      <c r="E15" s="53">
        <f>SUM($C$11:C15)</f>
        <v>1190.4761904761906</v>
      </c>
      <c r="F15" s="53">
        <f>SUM($D$11:D15)</f>
        <v>0</v>
      </c>
      <c r="G15" s="43" t="str">
        <f>IF(COUNT($D$11:D15)=0,"",F15/E15)</f>
        <v/>
      </c>
      <c r="H15" s="44" t="str">
        <f t="shared" si="1"/>
        <v/>
      </c>
      <c r="I15" s="45"/>
      <c r="J15" s="46" t="str">
        <f t="shared" si="2"/>
        <v/>
      </c>
      <c r="K15" s="45"/>
      <c r="L15" s="46" t="str">
        <f t="shared" si="3"/>
        <v/>
      </c>
      <c r="M15" s="45"/>
      <c r="N15" s="46" t="str">
        <f t="shared" si="4"/>
        <v/>
      </c>
      <c r="O15" s="45"/>
      <c r="P15" s="46" t="str">
        <f t="shared" si="5"/>
        <v/>
      </c>
      <c r="Q15" s="47"/>
      <c r="R15" s="46" t="str">
        <f t="shared" si="6"/>
        <v/>
      </c>
      <c r="S15" s="45"/>
      <c r="T15" s="46" t="str">
        <f t="shared" si="7"/>
        <v/>
      </c>
      <c r="U15" s="45"/>
      <c r="V15" s="46" t="str">
        <f t="shared" si="8"/>
        <v/>
      </c>
      <c r="W15" s="45"/>
      <c r="X15" s="46" t="str">
        <f t="shared" si="9"/>
        <v/>
      </c>
    </row>
    <row r="16" spans="1:24" x14ac:dyDescent="0.2">
      <c r="A16" s="21">
        <v>6</v>
      </c>
      <c r="B16" s="48">
        <v>46223</v>
      </c>
      <c r="C16" s="54">
        <f t="shared" si="0"/>
        <v>238.0952380952381</v>
      </c>
      <c r="D16" s="42"/>
      <c r="E16" s="54">
        <f>SUM($C$11:C16)</f>
        <v>1428.5714285714287</v>
      </c>
      <c r="F16" s="54">
        <f>SUM($D$11:D16)</f>
        <v>0</v>
      </c>
      <c r="G16" s="50" t="str">
        <f>IF(COUNT($D$11:D16)=0,"",F16/E16)</f>
        <v/>
      </c>
      <c r="H16" s="51" t="str">
        <f t="shared" si="1"/>
        <v/>
      </c>
      <c r="I16" s="45"/>
      <c r="J16" s="52" t="str">
        <f t="shared" si="2"/>
        <v/>
      </c>
      <c r="K16" s="45"/>
      <c r="L16" s="52" t="str">
        <f t="shared" si="3"/>
        <v/>
      </c>
      <c r="M16" s="45"/>
      <c r="N16" s="52" t="str">
        <f t="shared" si="4"/>
        <v/>
      </c>
      <c r="O16" s="45"/>
      <c r="P16" s="52" t="str">
        <f t="shared" si="5"/>
        <v/>
      </c>
      <c r="Q16" s="47"/>
      <c r="R16" s="52" t="str">
        <f t="shared" si="6"/>
        <v/>
      </c>
      <c r="S16" s="45"/>
      <c r="T16" s="52" t="str">
        <f t="shared" si="7"/>
        <v/>
      </c>
      <c r="U16" s="45"/>
      <c r="V16" s="52" t="str">
        <f t="shared" si="8"/>
        <v/>
      </c>
      <c r="W16" s="45"/>
      <c r="X16" s="52" t="str">
        <f t="shared" si="9"/>
        <v/>
      </c>
    </row>
    <row r="17" spans="1:24" x14ac:dyDescent="0.2">
      <c r="A17" s="14">
        <v>7</v>
      </c>
      <c r="B17" s="40">
        <v>46230</v>
      </c>
      <c r="C17" s="53">
        <f t="shared" si="0"/>
        <v>238.0952380952381</v>
      </c>
      <c r="D17" s="42"/>
      <c r="E17" s="53">
        <f>SUM($C$11:C17)</f>
        <v>1666.6666666666667</v>
      </c>
      <c r="F17" s="53">
        <f>SUM($D$11:D17)</f>
        <v>0</v>
      </c>
      <c r="G17" s="43" t="str">
        <f>IF(COUNT($D$11:D17)=0,"",F17/E17)</f>
        <v/>
      </c>
      <c r="H17" s="44" t="str">
        <f t="shared" si="1"/>
        <v/>
      </c>
      <c r="I17" s="45"/>
      <c r="J17" s="46" t="str">
        <f t="shared" si="2"/>
        <v/>
      </c>
      <c r="K17" s="45"/>
      <c r="L17" s="46" t="str">
        <f t="shared" si="3"/>
        <v/>
      </c>
      <c r="M17" s="45"/>
      <c r="N17" s="46" t="str">
        <f t="shared" si="4"/>
        <v/>
      </c>
      <c r="O17" s="45"/>
      <c r="P17" s="46" t="str">
        <f t="shared" si="5"/>
        <v/>
      </c>
      <c r="Q17" s="47"/>
      <c r="R17" s="46" t="str">
        <f t="shared" si="6"/>
        <v/>
      </c>
      <c r="S17" s="45"/>
      <c r="T17" s="46" t="str">
        <f t="shared" si="7"/>
        <v/>
      </c>
      <c r="U17" s="45"/>
      <c r="V17" s="46" t="str">
        <f t="shared" si="8"/>
        <v/>
      </c>
      <c r="W17" s="45"/>
      <c r="X17" s="46" t="str">
        <f t="shared" si="9"/>
        <v/>
      </c>
    </row>
    <row r="18" spans="1:24" x14ac:dyDescent="0.2">
      <c r="A18" s="21">
        <v>8</v>
      </c>
      <c r="B18" s="48">
        <v>46237</v>
      </c>
      <c r="C18" s="54">
        <f t="shared" si="0"/>
        <v>238.0952380952381</v>
      </c>
      <c r="D18" s="42"/>
      <c r="E18" s="54">
        <f>SUM($C$11:C18)</f>
        <v>1904.7619047619048</v>
      </c>
      <c r="F18" s="54">
        <f>SUM($D$11:D18)</f>
        <v>0</v>
      </c>
      <c r="G18" s="50" t="str">
        <f>IF(COUNT($D$11:D18)=0,"",F18/E18)</f>
        <v/>
      </c>
      <c r="H18" s="51" t="str">
        <f t="shared" si="1"/>
        <v/>
      </c>
      <c r="I18" s="45"/>
      <c r="J18" s="52" t="str">
        <f t="shared" si="2"/>
        <v/>
      </c>
      <c r="K18" s="45"/>
      <c r="L18" s="52" t="str">
        <f t="shared" si="3"/>
        <v/>
      </c>
      <c r="M18" s="45"/>
      <c r="N18" s="52" t="str">
        <f t="shared" si="4"/>
        <v/>
      </c>
      <c r="O18" s="45"/>
      <c r="P18" s="52" t="str">
        <f t="shared" si="5"/>
        <v/>
      </c>
      <c r="Q18" s="47"/>
      <c r="R18" s="52" t="str">
        <f t="shared" si="6"/>
        <v/>
      </c>
      <c r="S18" s="45"/>
      <c r="T18" s="52" t="str">
        <f t="shared" si="7"/>
        <v/>
      </c>
      <c r="U18" s="45"/>
      <c r="V18" s="52" t="str">
        <f t="shared" si="8"/>
        <v/>
      </c>
      <c r="W18" s="45"/>
      <c r="X18" s="52" t="str">
        <f t="shared" si="9"/>
        <v/>
      </c>
    </row>
    <row r="19" spans="1:24" x14ac:dyDescent="0.2">
      <c r="A19" s="14">
        <v>9</v>
      </c>
      <c r="B19" s="40">
        <v>46244</v>
      </c>
      <c r="C19" s="53">
        <f t="shared" si="0"/>
        <v>238.0952380952381</v>
      </c>
      <c r="D19" s="42"/>
      <c r="E19" s="53">
        <f>SUM($C$11:C19)</f>
        <v>2142.8571428571431</v>
      </c>
      <c r="F19" s="53">
        <f>SUM($D$11:D19)</f>
        <v>0</v>
      </c>
      <c r="G19" s="43" t="str">
        <f>IF(COUNT($D$11:D19)=0,"",F19/E19)</f>
        <v/>
      </c>
      <c r="H19" s="44" t="str">
        <f t="shared" si="1"/>
        <v/>
      </c>
      <c r="I19" s="45"/>
      <c r="J19" s="46" t="str">
        <f t="shared" si="2"/>
        <v/>
      </c>
      <c r="K19" s="45"/>
      <c r="L19" s="46" t="str">
        <f t="shared" si="3"/>
        <v/>
      </c>
      <c r="M19" s="45"/>
      <c r="N19" s="46" t="str">
        <f t="shared" si="4"/>
        <v/>
      </c>
      <c r="O19" s="45"/>
      <c r="P19" s="46" t="str">
        <f t="shared" si="5"/>
        <v/>
      </c>
      <c r="Q19" s="47"/>
      <c r="R19" s="46" t="str">
        <f t="shared" si="6"/>
        <v/>
      </c>
      <c r="S19" s="45"/>
      <c r="T19" s="46" t="str">
        <f t="shared" si="7"/>
        <v/>
      </c>
      <c r="U19" s="45"/>
      <c r="V19" s="46" t="str">
        <f t="shared" si="8"/>
        <v/>
      </c>
      <c r="W19" s="45"/>
      <c r="X19" s="46" t="str">
        <f t="shared" si="9"/>
        <v/>
      </c>
    </row>
    <row r="20" spans="1:24" x14ac:dyDescent="0.2">
      <c r="A20" s="21">
        <v>10</v>
      </c>
      <c r="B20" s="48">
        <v>46251</v>
      </c>
      <c r="C20" s="54">
        <f t="shared" si="0"/>
        <v>238.0952380952381</v>
      </c>
      <c r="D20" s="42"/>
      <c r="E20" s="54">
        <f>SUM($C$11:C20)</f>
        <v>2380.9523809523812</v>
      </c>
      <c r="F20" s="54">
        <f>SUM($D$11:D20)</f>
        <v>0</v>
      </c>
      <c r="G20" s="50" t="str">
        <f>IF(COUNT($D$11:D20)=0,"",F20/E20)</f>
        <v/>
      </c>
      <c r="H20" s="51" t="str">
        <f t="shared" si="1"/>
        <v/>
      </c>
      <c r="I20" s="45"/>
      <c r="J20" s="52" t="str">
        <f t="shared" si="2"/>
        <v/>
      </c>
      <c r="K20" s="45"/>
      <c r="L20" s="52" t="str">
        <f t="shared" si="3"/>
        <v/>
      </c>
      <c r="M20" s="45"/>
      <c r="N20" s="52" t="str">
        <f t="shared" si="4"/>
        <v/>
      </c>
      <c r="O20" s="45"/>
      <c r="P20" s="52" t="str">
        <f t="shared" si="5"/>
        <v/>
      </c>
      <c r="Q20" s="47"/>
      <c r="R20" s="52" t="str">
        <f t="shared" si="6"/>
        <v/>
      </c>
      <c r="S20" s="45"/>
      <c r="T20" s="52" t="str">
        <f t="shared" si="7"/>
        <v/>
      </c>
      <c r="U20" s="45"/>
      <c r="V20" s="52" t="str">
        <f t="shared" si="8"/>
        <v/>
      </c>
      <c r="W20" s="45"/>
      <c r="X20" s="52" t="str">
        <f t="shared" si="9"/>
        <v/>
      </c>
    </row>
    <row r="21" spans="1:24" x14ac:dyDescent="0.2">
      <c r="A21" s="14">
        <v>11</v>
      </c>
      <c r="B21" s="40">
        <v>46258</v>
      </c>
      <c r="C21" s="53">
        <f t="shared" si="0"/>
        <v>238.0952380952381</v>
      </c>
      <c r="D21" s="42"/>
      <c r="E21" s="53">
        <f>SUM($C$11:C21)</f>
        <v>2619.0476190476193</v>
      </c>
      <c r="F21" s="53">
        <f>SUM($D$11:D21)</f>
        <v>0</v>
      </c>
      <c r="G21" s="43" t="str">
        <f>IF(COUNT($D$11:D21)=0,"",F21/E21)</f>
        <v/>
      </c>
      <c r="H21" s="44" t="str">
        <f t="shared" si="1"/>
        <v/>
      </c>
      <c r="I21" s="45"/>
      <c r="J21" s="46" t="str">
        <f t="shared" si="2"/>
        <v/>
      </c>
      <c r="K21" s="45"/>
      <c r="L21" s="46" t="str">
        <f t="shared" si="3"/>
        <v/>
      </c>
      <c r="M21" s="45"/>
      <c r="N21" s="46" t="str">
        <f t="shared" si="4"/>
        <v/>
      </c>
      <c r="O21" s="45"/>
      <c r="P21" s="46" t="str">
        <f t="shared" si="5"/>
        <v/>
      </c>
      <c r="Q21" s="47"/>
      <c r="R21" s="46" t="str">
        <f t="shared" si="6"/>
        <v/>
      </c>
      <c r="S21" s="45"/>
      <c r="T21" s="46" t="str">
        <f t="shared" si="7"/>
        <v/>
      </c>
      <c r="U21" s="45"/>
      <c r="V21" s="46" t="str">
        <f t="shared" si="8"/>
        <v/>
      </c>
      <c r="W21" s="45"/>
      <c r="X21" s="46" t="str">
        <f t="shared" si="9"/>
        <v/>
      </c>
    </row>
    <row r="22" spans="1:24" x14ac:dyDescent="0.2">
      <c r="A22" s="21">
        <v>12</v>
      </c>
      <c r="B22" s="48">
        <v>46265</v>
      </c>
      <c r="C22" s="54">
        <f t="shared" si="0"/>
        <v>238.0952380952381</v>
      </c>
      <c r="D22" s="42"/>
      <c r="E22" s="54">
        <f>SUM($C$11:C22)</f>
        <v>2857.1428571428573</v>
      </c>
      <c r="F22" s="54">
        <f>SUM($D$11:D22)</f>
        <v>0</v>
      </c>
      <c r="G22" s="50" t="str">
        <f>IF(COUNT($D$11:D22)=0,"",F22/E22)</f>
        <v/>
      </c>
      <c r="H22" s="51" t="str">
        <f t="shared" si="1"/>
        <v/>
      </c>
      <c r="I22" s="45"/>
      <c r="J22" s="52" t="str">
        <f t="shared" si="2"/>
        <v/>
      </c>
      <c r="K22" s="45"/>
      <c r="L22" s="52" t="str">
        <f t="shared" si="3"/>
        <v/>
      </c>
      <c r="M22" s="45"/>
      <c r="N22" s="52" t="str">
        <f t="shared" si="4"/>
        <v/>
      </c>
      <c r="O22" s="45"/>
      <c r="P22" s="52" t="str">
        <f t="shared" si="5"/>
        <v/>
      </c>
      <c r="Q22" s="47"/>
      <c r="R22" s="52" t="str">
        <f t="shared" si="6"/>
        <v/>
      </c>
      <c r="S22" s="45"/>
      <c r="T22" s="52" t="str">
        <f t="shared" si="7"/>
        <v/>
      </c>
      <c r="U22" s="45"/>
      <c r="V22" s="52" t="str">
        <f t="shared" si="8"/>
        <v/>
      </c>
      <c r="W22" s="45"/>
      <c r="X22" s="52" t="str">
        <f t="shared" si="9"/>
        <v/>
      </c>
    </row>
    <row r="23" spans="1:24" x14ac:dyDescent="0.2">
      <c r="A23" s="14">
        <v>13</v>
      </c>
      <c r="B23" s="40">
        <v>46272</v>
      </c>
      <c r="C23" s="53">
        <f t="shared" si="0"/>
        <v>238.0952380952381</v>
      </c>
      <c r="D23" s="42"/>
      <c r="E23" s="53">
        <f>SUM($C$11:C23)</f>
        <v>3095.2380952380954</v>
      </c>
      <c r="F23" s="53">
        <f>SUM($D$11:D23)</f>
        <v>0</v>
      </c>
      <c r="G23" s="43" t="str">
        <f>IF(COUNT($D$11:D23)=0,"",F23/E23)</f>
        <v/>
      </c>
      <c r="H23" s="44" t="str">
        <f t="shared" si="1"/>
        <v/>
      </c>
      <c r="I23" s="45"/>
      <c r="J23" s="46" t="str">
        <f t="shared" si="2"/>
        <v/>
      </c>
      <c r="K23" s="45"/>
      <c r="L23" s="46" t="str">
        <f t="shared" si="3"/>
        <v/>
      </c>
      <c r="M23" s="45"/>
      <c r="N23" s="46" t="str">
        <f t="shared" si="4"/>
        <v/>
      </c>
      <c r="O23" s="45"/>
      <c r="P23" s="46" t="str">
        <f t="shared" si="5"/>
        <v/>
      </c>
      <c r="Q23" s="47"/>
      <c r="R23" s="46" t="str">
        <f t="shared" si="6"/>
        <v/>
      </c>
      <c r="S23" s="45"/>
      <c r="T23" s="46" t="str">
        <f t="shared" si="7"/>
        <v/>
      </c>
      <c r="U23" s="45"/>
      <c r="V23" s="46" t="str">
        <f t="shared" si="8"/>
        <v/>
      </c>
      <c r="W23" s="45"/>
      <c r="X23" s="46" t="str">
        <f t="shared" si="9"/>
        <v/>
      </c>
    </row>
    <row r="24" spans="1:24" x14ac:dyDescent="0.2">
      <c r="A24" s="21">
        <v>14</v>
      </c>
      <c r="B24" s="48">
        <v>46279</v>
      </c>
      <c r="C24" s="54">
        <f t="shared" si="0"/>
        <v>238.0952380952381</v>
      </c>
      <c r="D24" s="42"/>
      <c r="E24" s="54">
        <f>SUM($C$11:C24)</f>
        <v>3333.3333333333335</v>
      </c>
      <c r="F24" s="54">
        <f>SUM($D$11:D24)</f>
        <v>0</v>
      </c>
      <c r="G24" s="50" t="str">
        <f>IF(COUNT($D$11:D24)=0,"",F24/E24)</f>
        <v/>
      </c>
      <c r="H24" s="51" t="str">
        <f t="shared" si="1"/>
        <v/>
      </c>
      <c r="I24" s="45"/>
      <c r="J24" s="52" t="str">
        <f t="shared" si="2"/>
        <v/>
      </c>
      <c r="K24" s="45"/>
      <c r="L24" s="52" t="str">
        <f t="shared" si="3"/>
        <v/>
      </c>
      <c r="M24" s="45"/>
      <c r="N24" s="52" t="str">
        <f t="shared" si="4"/>
        <v/>
      </c>
      <c r="O24" s="45"/>
      <c r="P24" s="52" t="str">
        <f t="shared" si="5"/>
        <v/>
      </c>
      <c r="Q24" s="47"/>
      <c r="R24" s="52" t="str">
        <f t="shared" si="6"/>
        <v/>
      </c>
      <c r="S24" s="45"/>
      <c r="T24" s="52" t="str">
        <f t="shared" si="7"/>
        <v/>
      </c>
      <c r="U24" s="45"/>
      <c r="V24" s="52" t="str">
        <f t="shared" si="8"/>
        <v/>
      </c>
      <c r="W24" s="45"/>
      <c r="X24" s="52" t="str">
        <f t="shared" si="9"/>
        <v/>
      </c>
    </row>
    <row r="25" spans="1:24" x14ac:dyDescent="0.2">
      <c r="A25" s="14">
        <v>15</v>
      </c>
      <c r="B25" s="40">
        <v>46286</v>
      </c>
      <c r="C25" s="53">
        <f t="shared" si="0"/>
        <v>238.0952380952381</v>
      </c>
      <c r="D25" s="42"/>
      <c r="E25" s="53">
        <f>SUM($C$11:C25)</f>
        <v>3571.4285714285716</v>
      </c>
      <c r="F25" s="53">
        <f>SUM($D$11:D25)</f>
        <v>0</v>
      </c>
      <c r="G25" s="43" t="str">
        <f>IF(COUNT($D$11:D25)=0,"",F25/E25)</f>
        <v/>
      </c>
      <c r="H25" s="44" t="str">
        <f t="shared" si="1"/>
        <v/>
      </c>
      <c r="I25" s="45"/>
      <c r="J25" s="46" t="str">
        <f t="shared" si="2"/>
        <v/>
      </c>
      <c r="K25" s="45"/>
      <c r="L25" s="46" t="str">
        <f t="shared" si="3"/>
        <v/>
      </c>
      <c r="M25" s="45"/>
      <c r="N25" s="46" t="str">
        <f t="shared" si="4"/>
        <v/>
      </c>
      <c r="O25" s="45"/>
      <c r="P25" s="46" t="str">
        <f t="shared" si="5"/>
        <v/>
      </c>
      <c r="Q25" s="47"/>
      <c r="R25" s="46" t="str">
        <f t="shared" si="6"/>
        <v/>
      </c>
      <c r="S25" s="45"/>
      <c r="T25" s="46" t="str">
        <f t="shared" si="7"/>
        <v/>
      </c>
      <c r="U25" s="45"/>
      <c r="V25" s="46" t="str">
        <f t="shared" si="8"/>
        <v/>
      </c>
      <c r="W25" s="45"/>
      <c r="X25" s="46" t="str">
        <f t="shared" si="9"/>
        <v/>
      </c>
    </row>
    <row r="26" spans="1:24" x14ac:dyDescent="0.2">
      <c r="A26" s="21">
        <v>16</v>
      </c>
      <c r="B26" s="48">
        <v>46293</v>
      </c>
      <c r="C26" s="54">
        <f t="shared" si="0"/>
        <v>238.0952380952381</v>
      </c>
      <c r="D26" s="42"/>
      <c r="E26" s="54">
        <f>SUM($C$11:C26)</f>
        <v>3809.5238095238096</v>
      </c>
      <c r="F26" s="54">
        <f>SUM($D$11:D26)</f>
        <v>0</v>
      </c>
      <c r="G26" s="50" t="str">
        <f>IF(COUNT($D$11:D26)=0,"",F26/E26)</f>
        <v/>
      </c>
      <c r="H26" s="51" t="str">
        <f t="shared" si="1"/>
        <v/>
      </c>
      <c r="I26" s="45"/>
      <c r="J26" s="52" t="str">
        <f t="shared" si="2"/>
        <v/>
      </c>
      <c r="K26" s="45"/>
      <c r="L26" s="52" t="str">
        <f t="shared" si="3"/>
        <v/>
      </c>
      <c r="M26" s="45"/>
      <c r="N26" s="52" t="str">
        <f t="shared" si="4"/>
        <v/>
      </c>
      <c r="O26" s="45"/>
      <c r="P26" s="52" t="str">
        <f t="shared" si="5"/>
        <v/>
      </c>
      <c r="Q26" s="47"/>
      <c r="R26" s="52" t="str">
        <f t="shared" si="6"/>
        <v/>
      </c>
      <c r="S26" s="45"/>
      <c r="T26" s="52" t="str">
        <f t="shared" si="7"/>
        <v/>
      </c>
      <c r="U26" s="45"/>
      <c r="V26" s="52" t="str">
        <f t="shared" si="8"/>
        <v/>
      </c>
      <c r="W26" s="45"/>
      <c r="X26" s="52" t="str">
        <f t="shared" si="9"/>
        <v/>
      </c>
    </row>
    <row r="27" spans="1:24" x14ac:dyDescent="0.2">
      <c r="A27" s="14">
        <v>17</v>
      </c>
      <c r="B27" s="40">
        <v>46300</v>
      </c>
      <c r="C27" s="53">
        <f t="shared" si="0"/>
        <v>238.0952380952381</v>
      </c>
      <c r="D27" s="42"/>
      <c r="E27" s="53">
        <f>SUM($C$11:C27)</f>
        <v>4047.6190476190477</v>
      </c>
      <c r="F27" s="53">
        <f>SUM($D$11:D27)</f>
        <v>0</v>
      </c>
      <c r="G27" s="43" t="str">
        <f>IF(COUNT($D$11:D27)=0,"",F27/E27)</f>
        <v/>
      </c>
      <c r="H27" s="44" t="str">
        <f t="shared" si="1"/>
        <v/>
      </c>
      <c r="I27" s="45"/>
      <c r="J27" s="46" t="str">
        <f t="shared" si="2"/>
        <v/>
      </c>
      <c r="K27" s="45"/>
      <c r="L27" s="46" t="str">
        <f t="shared" si="3"/>
        <v/>
      </c>
      <c r="M27" s="45"/>
      <c r="N27" s="46" t="str">
        <f t="shared" si="4"/>
        <v/>
      </c>
      <c r="O27" s="45"/>
      <c r="P27" s="46" t="str">
        <f t="shared" si="5"/>
        <v/>
      </c>
      <c r="Q27" s="47"/>
      <c r="R27" s="46" t="str">
        <f t="shared" si="6"/>
        <v/>
      </c>
      <c r="S27" s="45"/>
      <c r="T27" s="46" t="str">
        <f t="shared" si="7"/>
        <v/>
      </c>
      <c r="U27" s="45"/>
      <c r="V27" s="46" t="str">
        <f t="shared" si="8"/>
        <v/>
      </c>
      <c r="W27" s="45"/>
      <c r="X27" s="46" t="str">
        <f t="shared" si="9"/>
        <v/>
      </c>
    </row>
    <row r="28" spans="1:24" x14ac:dyDescent="0.2">
      <c r="A28" s="21">
        <v>18</v>
      </c>
      <c r="B28" s="48">
        <v>46307</v>
      </c>
      <c r="C28" s="54">
        <f t="shared" si="0"/>
        <v>238.0952380952381</v>
      </c>
      <c r="D28" s="42"/>
      <c r="E28" s="54">
        <f>SUM($C$11:C28)</f>
        <v>4285.7142857142862</v>
      </c>
      <c r="F28" s="54">
        <f>SUM($D$11:D28)</f>
        <v>0</v>
      </c>
      <c r="G28" s="50" t="str">
        <f>IF(COUNT($D$11:D28)=0,"",F28/E28)</f>
        <v/>
      </c>
      <c r="H28" s="51" t="str">
        <f t="shared" si="1"/>
        <v/>
      </c>
      <c r="I28" s="45"/>
      <c r="J28" s="52" t="str">
        <f t="shared" si="2"/>
        <v/>
      </c>
      <c r="K28" s="45"/>
      <c r="L28" s="52" t="str">
        <f t="shared" si="3"/>
        <v/>
      </c>
      <c r="M28" s="45"/>
      <c r="N28" s="52" t="str">
        <f t="shared" si="4"/>
        <v/>
      </c>
      <c r="O28" s="45"/>
      <c r="P28" s="52" t="str">
        <f t="shared" si="5"/>
        <v/>
      </c>
      <c r="Q28" s="47"/>
      <c r="R28" s="52" t="str">
        <f t="shared" si="6"/>
        <v/>
      </c>
      <c r="S28" s="45"/>
      <c r="T28" s="52" t="str">
        <f t="shared" si="7"/>
        <v/>
      </c>
      <c r="U28" s="45"/>
      <c r="V28" s="52" t="str">
        <f t="shared" si="8"/>
        <v/>
      </c>
      <c r="W28" s="45"/>
      <c r="X28" s="52" t="str">
        <f t="shared" si="9"/>
        <v/>
      </c>
    </row>
    <row r="29" spans="1:24" x14ac:dyDescent="0.2">
      <c r="A29" s="14">
        <v>19</v>
      </c>
      <c r="B29" s="40">
        <v>46314</v>
      </c>
      <c r="C29" s="53">
        <f t="shared" si="0"/>
        <v>238.0952380952381</v>
      </c>
      <c r="D29" s="42"/>
      <c r="E29" s="53">
        <f>SUM($C$11:C29)</f>
        <v>4523.8095238095248</v>
      </c>
      <c r="F29" s="53">
        <f>SUM($D$11:D29)</f>
        <v>0</v>
      </c>
      <c r="G29" s="43" t="str">
        <f>IF(COUNT($D$11:D29)=0,"",F29/E29)</f>
        <v/>
      </c>
      <c r="H29" s="44" t="str">
        <f t="shared" si="1"/>
        <v/>
      </c>
      <c r="I29" s="45"/>
      <c r="J29" s="46" t="str">
        <f t="shared" si="2"/>
        <v/>
      </c>
      <c r="K29" s="45"/>
      <c r="L29" s="46" t="str">
        <f t="shared" si="3"/>
        <v/>
      </c>
      <c r="M29" s="45"/>
      <c r="N29" s="46" t="str">
        <f t="shared" si="4"/>
        <v/>
      </c>
      <c r="O29" s="45"/>
      <c r="P29" s="46" t="str">
        <f t="shared" si="5"/>
        <v/>
      </c>
      <c r="Q29" s="47"/>
      <c r="R29" s="46" t="str">
        <f t="shared" si="6"/>
        <v/>
      </c>
      <c r="S29" s="45"/>
      <c r="T29" s="46" t="str">
        <f t="shared" si="7"/>
        <v/>
      </c>
      <c r="U29" s="45"/>
      <c r="V29" s="46" t="str">
        <f t="shared" si="8"/>
        <v/>
      </c>
      <c r="W29" s="45"/>
      <c r="X29" s="46" t="str">
        <f t="shared" si="9"/>
        <v/>
      </c>
    </row>
    <row r="30" spans="1:24" x14ac:dyDescent="0.2">
      <c r="A30" s="21">
        <v>20</v>
      </c>
      <c r="B30" s="48">
        <v>46321</v>
      </c>
      <c r="C30" s="54">
        <f t="shared" si="0"/>
        <v>238.0952380952381</v>
      </c>
      <c r="D30" s="42"/>
      <c r="E30" s="54">
        <f>SUM($C$11:C30)</f>
        <v>4761.9047619047633</v>
      </c>
      <c r="F30" s="54">
        <f>SUM($D$11:D30)</f>
        <v>0</v>
      </c>
      <c r="G30" s="50" t="str">
        <f>IF(COUNT($D$11:D30)=0,"",F30/E30)</f>
        <v/>
      </c>
      <c r="H30" s="51" t="str">
        <f t="shared" si="1"/>
        <v/>
      </c>
      <c r="I30" s="45"/>
      <c r="J30" s="52" t="str">
        <f t="shared" si="2"/>
        <v/>
      </c>
      <c r="K30" s="45"/>
      <c r="L30" s="52" t="str">
        <f t="shared" si="3"/>
        <v/>
      </c>
      <c r="M30" s="45"/>
      <c r="N30" s="52" t="str">
        <f t="shared" si="4"/>
        <v/>
      </c>
      <c r="O30" s="45"/>
      <c r="P30" s="52" t="str">
        <f t="shared" si="5"/>
        <v/>
      </c>
      <c r="Q30" s="47"/>
      <c r="R30" s="52" t="str">
        <f t="shared" si="6"/>
        <v/>
      </c>
      <c r="S30" s="45"/>
      <c r="T30" s="52" t="str">
        <f t="shared" si="7"/>
        <v/>
      </c>
      <c r="U30" s="45"/>
      <c r="V30" s="52" t="str">
        <f t="shared" si="8"/>
        <v/>
      </c>
      <c r="W30" s="45"/>
      <c r="X30" s="52" t="str">
        <f t="shared" si="9"/>
        <v/>
      </c>
    </row>
    <row r="31" spans="1:24" x14ac:dyDescent="0.2">
      <c r="A31" s="14">
        <v>21</v>
      </c>
      <c r="B31" s="40">
        <v>46328</v>
      </c>
      <c r="C31" s="53">
        <f t="shared" si="0"/>
        <v>238.0952380952381</v>
      </c>
      <c r="D31" s="42"/>
      <c r="E31" s="53">
        <f>SUM($C$11:C31)</f>
        <v>5000.0000000000018</v>
      </c>
      <c r="F31" s="53">
        <f>SUM($D$11:D31)</f>
        <v>0</v>
      </c>
      <c r="G31" s="43" t="str">
        <f>IF(COUNT($D$11:D31)=0,"",F31/E31)</f>
        <v/>
      </c>
      <c r="H31" s="44" t="str">
        <f t="shared" si="1"/>
        <v/>
      </c>
      <c r="I31" s="45"/>
      <c r="J31" s="46" t="str">
        <f t="shared" si="2"/>
        <v/>
      </c>
      <c r="K31" s="45"/>
      <c r="L31" s="46" t="str">
        <f t="shared" si="3"/>
        <v/>
      </c>
      <c r="M31" s="45"/>
      <c r="N31" s="46" t="str">
        <f t="shared" si="4"/>
        <v/>
      </c>
      <c r="O31" s="45"/>
      <c r="P31" s="46" t="str">
        <f t="shared" si="5"/>
        <v/>
      </c>
      <c r="Q31" s="47"/>
      <c r="R31" s="46" t="str">
        <f t="shared" si="6"/>
        <v/>
      </c>
      <c r="S31" s="45"/>
      <c r="T31" s="46" t="str">
        <f t="shared" si="7"/>
        <v/>
      </c>
      <c r="U31" s="45"/>
      <c r="V31" s="46" t="str">
        <f t="shared" si="8"/>
        <v/>
      </c>
      <c r="W31" s="45"/>
      <c r="X31" s="46" t="str">
        <f t="shared" si="9"/>
        <v/>
      </c>
    </row>
    <row r="32" spans="1:24" x14ac:dyDescent="0.2">
      <c r="A32" s="21">
        <v>22</v>
      </c>
      <c r="B32" s="48">
        <v>46335</v>
      </c>
      <c r="C32" s="54">
        <f t="shared" si="0"/>
        <v>238.0952380952381</v>
      </c>
      <c r="D32" s="42"/>
      <c r="E32" s="54">
        <f>SUM($C$11:C32)</f>
        <v>5238.0952380952403</v>
      </c>
      <c r="F32" s="54">
        <f>SUM($D$11:D32)</f>
        <v>0</v>
      </c>
      <c r="G32" s="50" t="str">
        <f>IF(COUNT($D$11:D32)=0,"",F32/E32)</f>
        <v/>
      </c>
      <c r="H32" s="51" t="str">
        <f t="shared" si="1"/>
        <v/>
      </c>
      <c r="I32" s="45"/>
      <c r="J32" s="52" t="str">
        <f t="shared" si="2"/>
        <v/>
      </c>
      <c r="K32" s="45"/>
      <c r="L32" s="52" t="str">
        <f t="shared" si="3"/>
        <v/>
      </c>
      <c r="M32" s="45"/>
      <c r="N32" s="52" t="str">
        <f t="shared" si="4"/>
        <v/>
      </c>
      <c r="O32" s="45"/>
      <c r="P32" s="52" t="str">
        <f t="shared" si="5"/>
        <v/>
      </c>
      <c r="Q32" s="47"/>
      <c r="R32" s="52" t="str">
        <f t="shared" si="6"/>
        <v/>
      </c>
      <c r="S32" s="45"/>
      <c r="T32" s="52" t="str">
        <f t="shared" si="7"/>
        <v/>
      </c>
      <c r="U32" s="45"/>
      <c r="V32" s="52" t="str">
        <f t="shared" si="8"/>
        <v/>
      </c>
      <c r="W32" s="45"/>
      <c r="X32" s="52" t="str">
        <f t="shared" si="9"/>
        <v/>
      </c>
    </row>
    <row r="33" spans="1:24" x14ac:dyDescent="0.2">
      <c r="A33" s="14">
        <v>23</v>
      </c>
      <c r="B33" s="40">
        <v>46342</v>
      </c>
      <c r="C33" s="53">
        <f t="shared" si="0"/>
        <v>238.0952380952381</v>
      </c>
      <c r="D33" s="42"/>
      <c r="E33" s="53">
        <f>SUM($C$11:C33)</f>
        <v>5476.1904761904789</v>
      </c>
      <c r="F33" s="53">
        <f>SUM($D$11:D33)</f>
        <v>0</v>
      </c>
      <c r="G33" s="43" t="str">
        <f>IF(COUNT($D$11:D33)=0,"",F33/E33)</f>
        <v/>
      </c>
      <c r="H33" s="44" t="str">
        <f t="shared" si="1"/>
        <v/>
      </c>
      <c r="I33" s="45"/>
      <c r="J33" s="46" t="str">
        <f t="shared" si="2"/>
        <v/>
      </c>
      <c r="K33" s="45"/>
      <c r="L33" s="46" t="str">
        <f t="shared" si="3"/>
        <v/>
      </c>
      <c r="M33" s="45"/>
      <c r="N33" s="46" t="str">
        <f t="shared" si="4"/>
        <v/>
      </c>
      <c r="O33" s="45"/>
      <c r="P33" s="46" t="str">
        <f t="shared" si="5"/>
        <v/>
      </c>
      <c r="Q33" s="47"/>
      <c r="R33" s="46" t="str">
        <f t="shared" si="6"/>
        <v/>
      </c>
      <c r="S33" s="45"/>
      <c r="T33" s="46" t="str">
        <f t="shared" si="7"/>
        <v/>
      </c>
      <c r="U33" s="45"/>
      <c r="V33" s="46" t="str">
        <f t="shared" si="8"/>
        <v/>
      </c>
      <c r="W33" s="45"/>
      <c r="X33" s="46" t="str">
        <f t="shared" si="9"/>
        <v/>
      </c>
    </row>
    <row r="34" spans="1:24" x14ac:dyDescent="0.2">
      <c r="A34" s="21">
        <v>24</v>
      </c>
      <c r="B34" s="48">
        <v>46349</v>
      </c>
      <c r="C34" s="54">
        <f t="shared" si="0"/>
        <v>238.0952380952381</v>
      </c>
      <c r="D34" s="42"/>
      <c r="E34" s="54">
        <f>SUM($C$11:C34)</f>
        <v>5714.2857142857174</v>
      </c>
      <c r="F34" s="54">
        <f>SUM($D$11:D34)</f>
        <v>0</v>
      </c>
      <c r="G34" s="50" t="str">
        <f>IF(COUNT($D$11:D34)=0,"",F34/E34)</f>
        <v/>
      </c>
      <c r="H34" s="51" t="str">
        <f t="shared" si="1"/>
        <v/>
      </c>
      <c r="I34" s="45"/>
      <c r="J34" s="52" t="str">
        <f t="shared" si="2"/>
        <v/>
      </c>
      <c r="K34" s="45"/>
      <c r="L34" s="52" t="str">
        <f t="shared" si="3"/>
        <v/>
      </c>
      <c r="M34" s="45"/>
      <c r="N34" s="52" t="str">
        <f t="shared" si="4"/>
        <v/>
      </c>
      <c r="O34" s="45"/>
      <c r="P34" s="52" t="str">
        <f t="shared" si="5"/>
        <v/>
      </c>
      <c r="Q34" s="47"/>
      <c r="R34" s="52" t="str">
        <f t="shared" si="6"/>
        <v/>
      </c>
      <c r="S34" s="45"/>
      <c r="T34" s="52" t="str">
        <f t="shared" si="7"/>
        <v/>
      </c>
      <c r="U34" s="45"/>
      <c r="V34" s="52" t="str">
        <f t="shared" si="8"/>
        <v/>
      </c>
      <c r="W34" s="45"/>
      <c r="X34" s="52" t="str">
        <f t="shared" si="9"/>
        <v/>
      </c>
    </row>
    <row r="35" spans="1:24" x14ac:dyDescent="0.2">
      <c r="A35" s="14">
        <v>25</v>
      </c>
      <c r="B35" s="40">
        <v>46356</v>
      </c>
      <c r="C35" s="53">
        <f t="shared" si="0"/>
        <v>238.0952380952381</v>
      </c>
      <c r="D35" s="42"/>
      <c r="E35" s="53">
        <f>SUM($C$11:C35)</f>
        <v>5952.3809523809559</v>
      </c>
      <c r="F35" s="53">
        <f>SUM($D$11:D35)</f>
        <v>0</v>
      </c>
      <c r="G35" s="43" t="str">
        <f>IF(COUNT($D$11:D35)=0,"",F35/E35)</f>
        <v/>
      </c>
      <c r="H35" s="44" t="str">
        <f t="shared" si="1"/>
        <v/>
      </c>
      <c r="I35" s="45"/>
      <c r="J35" s="46" t="str">
        <f t="shared" si="2"/>
        <v/>
      </c>
      <c r="K35" s="45"/>
      <c r="L35" s="46" t="str">
        <f t="shared" si="3"/>
        <v/>
      </c>
      <c r="M35" s="45"/>
      <c r="N35" s="46" t="str">
        <f t="shared" si="4"/>
        <v/>
      </c>
      <c r="O35" s="45"/>
      <c r="P35" s="46" t="str">
        <f t="shared" si="5"/>
        <v/>
      </c>
      <c r="Q35" s="47"/>
      <c r="R35" s="46" t="str">
        <f t="shared" si="6"/>
        <v/>
      </c>
      <c r="S35" s="45"/>
      <c r="T35" s="46" t="str">
        <f t="shared" si="7"/>
        <v/>
      </c>
      <c r="U35" s="45"/>
      <c r="V35" s="46" t="str">
        <f t="shared" si="8"/>
        <v/>
      </c>
      <c r="W35" s="45"/>
      <c r="X35" s="46" t="str">
        <f t="shared" si="9"/>
        <v/>
      </c>
    </row>
    <row r="36" spans="1:24" x14ac:dyDescent="0.2">
      <c r="A36" s="21">
        <v>26</v>
      </c>
      <c r="B36" s="48">
        <v>46363</v>
      </c>
      <c r="C36" s="54">
        <f t="shared" si="0"/>
        <v>238.0952380952381</v>
      </c>
      <c r="D36" s="42"/>
      <c r="E36" s="54">
        <f>SUM($C$11:C36)</f>
        <v>6190.4761904761945</v>
      </c>
      <c r="F36" s="54">
        <f>SUM($D$11:D36)</f>
        <v>0</v>
      </c>
      <c r="G36" s="50" t="str">
        <f>IF(COUNT($D$11:D36)=0,"",F36/E36)</f>
        <v/>
      </c>
      <c r="H36" s="51" t="str">
        <f t="shared" si="1"/>
        <v/>
      </c>
      <c r="I36" s="45"/>
      <c r="J36" s="52" t="str">
        <f t="shared" si="2"/>
        <v/>
      </c>
      <c r="K36" s="45"/>
      <c r="L36" s="52" t="str">
        <f t="shared" si="3"/>
        <v/>
      </c>
      <c r="M36" s="45"/>
      <c r="N36" s="52" t="str">
        <f t="shared" si="4"/>
        <v/>
      </c>
      <c r="O36" s="45"/>
      <c r="P36" s="52" t="str">
        <f t="shared" si="5"/>
        <v/>
      </c>
      <c r="Q36" s="47"/>
      <c r="R36" s="52" t="str">
        <f t="shared" si="6"/>
        <v/>
      </c>
      <c r="S36" s="45"/>
      <c r="T36" s="52" t="str">
        <f t="shared" si="7"/>
        <v/>
      </c>
      <c r="U36" s="45"/>
      <c r="V36" s="52" t="str">
        <f t="shared" si="8"/>
        <v/>
      </c>
      <c r="W36" s="45"/>
      <c r="X36" s="52" t="str">
        <f t="shared" si="9"/>
        <v/>
      </c>
    </row>
    <row r="37" spans="1:24" x14ac:dyDescent="0.2">
      <c r="A37" s="14">
        <v>27</v>
      </c>
      <c r="B37" s="40">
        <v>46370</v>
      </c>
      <c r="C37" s="53">
        <f t="shared" si="0"/>
        <v>238.0952380952381</v>
      </c>
      <c r="D37" s="42"/>
      <c r="E37" s="53">
        <f>SUM($C$11:C37)</f>
        <v>6428.571428571433</v>
      </c>
      <c r="F37" s="53">
        <f>SUM($D$11:D37)</f>
        <v>0</v>
      </c>
      <c r="G37" s="43" t="str">
        <f>IF(COUNT($D$11:D37)=0,"",F37/E37)</f>
        <v/>
      </c>
      <c r="H37" s="44" t="str">
        <f t="shared" si="1"/>
        <v/>
      </c>
      <c r="I37" s="45"/>
      <c r="J37" s="46" t="str">
        <f t="shared" si="2"/>
        <v/>
      </c>
      <c r="K37" s="45"/>
      <c r="L37" s="46" t="str">
        <f t="shared" si="3"/>
        <v/>
      </c>
      <c r="M37" s="45"/>
      <c r="N37" s="46" t="str">
        <f t="shared" si="4"/>
        <v/>
      </c>
      <c r="O37" s="45"/>
      <c r="P37" s="46" t="str">
        <f t="shared" si="5"/>
        <v/>
      </c>
      <c r="Q37" s="47"/>
      <c r="R37" s="46" t="str">
        <f t="shared" si="6"/>
        <v/>
      </c>
      <c r="S37" s="45"/>
      <c r="T37" s="46" t="str">
        <f t="shared" si="7"/>
        <v/>
      </c>
      <c r="U37" s="45"/>
      <c r="V37" s="46" t="str">
        <f t="shared" si="8"/>
        <v/>
      </c>
      <c r="W37" s="45"/>
      <c r="X37" s="46" t="str">
        <f t="shared" si="9"/>
        <v/>
      </c>
    </row>
    <row r="38" spans="1:24" x14ac:dyDescent="0.2">
      <c r="A38" s="21">
        <v>28</v>
      </c>
      <c r="B38" s="48">
        <v>46377</v>
      </c>
      <c r="C38" s="54">
        <f t="shared" si="0"/>
        <v>238.0952380952381</v>
      </c>
      <c r="D38" s="42"/>
      <c r="E38" s="54">
        <f>SUM($C$11:C38)</f>
        <v>6666.6666666666715</v>
      </c>
      <c r="F38" s="54">
        <f>SUM($D$11:D38)</f>
        <v>0</v>
      </c>
      <c r="G38" s="50" t="str">
        <f>IF(COUNT($D$11:D38)=0,"",F38/E38)</f>
        <v/>
      </c>
      <c r="H38" s="51" t="str">
        <f t="shared" si="1"/>
        <v/>
      </c>
      <c r="I38" s="45"/>
      <c r="J38" s="52" t="str">
        <f t="shared" si="2"/>
        <v/>
      </c>
      <c r="K38" s="45"/>
      <c r="L38" s="52" t="str">
        <f t="shared" si="3"/>
        <v/>
      </c>
      <c r="M38" s="45"/>
      <c r="N38" s="52" t="str">
        <f t="shared" si="4"/>
        <v/>
      </c>
      <c r="O38" s="45"/>
      <c r="P38" s="52" t="str">
        <f t="shared" si="5"/>
        <v/>
      </c>
      <c r="Q38" s="47"/>
      <c r="R38" s="52" t="str">
        <f t="shared" si="6"/>
        <v/>
      </c>
      <c r="S38" s="45"/>
      <c r="T38" s="52" t="str">
        <f t="shared" si="7"/>
        <v/>
      </c>
      <c r="U38" s="45"/>
      <c r="V38" s="52" t="str">
        <f t="shared" si="8"/>
        <v/>
      </c>
      <c r="W38" s="45"/>
      <c r="X38" s="52" t="str">
        <f t="shared" si="9"/>
        <v/>
      </c>
    </row>
    <row r="39" spans="1:24" x14ac:dyDescent="0.2">
      <c r="A39" s="14">
        <v>29</v>
      </c>
      <c r="B39" s="40">
        <v>46384</v>
      </c>
      <c r="C39" s="53">
        <f t="shared" si="0"/>
        <v>238.0952380952381</v>
      </c>
      <c r="D39" s="42"/>
      <c r="E39" s="53">
        <f>SUM($C$11:C39)</f>
        <v>6904.76190476191</v>
      </c>
      <c r="F39" s="53">
        <f>SUM($D$11:D39)</f>
        <v>0</v>
      </c>
      <c r="G39" s="43" t="str">
        <f>IF(COUNT($D$11:D39)=0,"",F39/E39)</f>
        <v/>
      </c>
      <c r="H39" s="44" t="str">
        <f t="shared" si="1"/>
        <v/>
      </c>
      <c r="I39" s="45"/>
      <c r="J39" s="46" t="str">
        <f t="shared" si="2"/>
        <v/>
      </c>
      <c r="K39" s="45"/>
      <c r="L39" s="46" t="str">
        <f t="shared" si="3"/>
        <v/>
      </c>
      <c r="M39" s="45"/>
      <c r="N39" s="46" t="str">
        <f t="shared" si="4"/>
        <v/>
      </c>
      <c r="O39" s="45"/>
      <c r="P39" s="46" t="str">
        <f t="shared" si="5"/>
        <v/>
      </c>
      <c r="Q39" s="47"/>
      <c r="R39" s="46" t="str">
        <f t="shared" si="6"/>
        <v/>
      </c>
      <c r="S39" s="45"/>
      <c r="T39" s="46" t="str">
        <f t="shared" si="7"/>
        <v/>
      </c>
      <c r="U39" s="45"/>
      <c r="V39" s="46" t="str">
        <f t="shared" si="8"/>
        <v/>
      </c>
      <c r="W39" s="45"/>
      <c r="X39" s="46" t="str">
        <f t="shared" si="9"/>
        <v/>
      </c>
    </row>
    <row r="40" spans="1:24" x14ac:dyDescent="0.2">
      <c r="A40" s="21">
        <v>30</v>
      </c>
      <c r="B40" s="48">
        <v>46391</v>
      </c>
      <c r="C40" s="54">
        <f t="shared" si="0"/>
        <v>238.0952380952381</v>
      </c>
      <c r="D40" s="42"/>
      <c r="E40" s="54">
        <f>SUM($C$11:C40)</f>
        <v>7142.8571428571486</v>
      </c>
      <c r="F40" s="54">
        <f>SUM($D$11:D40)</f>
        <v>0</v>
      </c>
      <c r="G40" s="50" t="str">
        <f>IF(COUNT($D$11:D40)=0,"",F40/E40)</f>
        <v/>
      </c>
      <c r="H40" s="51" t="str">
        <f t="shared" si="1"/>
        <v/>
      </c>
      <c r="I40" s="45"/>
      <c r="J40" s="52" t="str">
        <f t="shared" si="2"/>
        <v/>
      </c>
      <c r="K40" s="45"/>
      <c r="L40" s="52" t="str">
        <f t="shared" si="3"/>
        <v/>
      </c>
      <c r="M40" s="45"/>
      <c r="N40" s="52" t="str">
        <f t="shared" si="4"/>
        <v/>
      </c>
      <c r="O40" s="45"/>
      <c r="P40" s="52" t="str">
        <f t="shared" si="5"/>
        <v/>
      </c>
      <c r="Q40" s="47"/>
      <c r="R40" s="52" t="str">
        <f t="shared" si="6"/>
        <v/>
      </c>
      <c r="S40" s="45"/>
      <c r="T40" s="52" t="str">
        <f t="shared" si="7"/>
        <v/>
      </c>
      <c r="U40" s="45"/>
      <c r="V40" s="52" t="str">
        <f t="shared" si="8"/>
        <v/>
      </c>
      <c r="W40" s="45"/>
      <c r="X40" s="52" t="str">
        <f t="shared" si="9"/>
        <v/>
      </c>
    </row>
    <row r="41" spans="1:24" x14ac:dyDescent="0.2">
      <c r="A41" s="14">
        <v>31</v>
      </c>
      <c r="B41" s="40">
        <v>46398</v>
      </c>
      <c r="C41" s="53">
        <f t="shared" si="0"/>
        <v>238.0952380952381</v>
      </c>
      <c r="D41" s="42"/>
      <c r="E41" s="53">
        <f>SUM($C$11:C41)</f>
        <v>7380.9523809523871</v>
      </c>
      <c r="F41" s="53">
        <f>SUM($D$11:D41)</f>
        <v>0</v>
      </c>
      <c r="G41" s="43" t="str">
        <f>IF(COUNT($D$11:D41)=0,"",F41/E41)</f>
        <v/>
      </c>
      <c r="H41" s="44" t="str">
        <f t="shared" si="1"/>
        <v/>
      </c>
      <c r="I41" s="45"/>
      <c r="J41" s="46" t="str">
        <f t="shared" si="2"/>
        <v/>
      </c>
      <c r="K41" s="45"/>
      <c r="L41" s="46" t="str">
        <f t="shared" si="3"/>
        <v/>
      </c>
      <c r="M41" s="45"/>
      <c r="N41" s="46" t="str">
        <f t="shared" si="4"/>
        <v/>
      </c>
      <c r="O41" s="45"/>
      <c r="P41" s="46" t="str">
        <f t="shared" si="5"/>
        <v/>
      </c>
      <c r="Q41" s="47"/>
      <c r="R41" s="46" t="str">
        <f t="shared" si="6"/>
        <v/>
      </c>
      <c r="S41" s="45"/>
      <c r="T41" s="46" t="str">
        <f t="shared" si="7"/>
        <v/>
      </c>
      <c r="U41" s="45"/>
      <c r="V41" s="46" t="str">
        <f t="shared" si="8"/>
        <v/>
      </c>
      <c r="W41" s="45"/>
      <c r="X41" s="46" t="str">
        <f t="shared" si="9"/>
        <v/>
      </c>
    </row>
    <row r="42" spans="1:24" x14ac:dyDescent="0.2">
      <c r="A42" s="21">
        <v>32</v>
      </c>
      <c r="B42" s="48">
        <v>46405</v>
      </c>
      <c r="C42" s="54">
        <f t="shared" si="0"/>
        <v>238.0952380952381</v>
      </c>
      <c r="D42" s="42"/>
      <c r="E42" s="54">
        <f>SUM($C$11:C42)</f>
        <v>7619.0476190476256</v>
      </c>
      <c r="F42" s="54">
        <f>SUM($D$11:D42)</f>
        <v>0</v>
      </c>
      <c r="G42" s="50" t="str">
        <f>IF(COUNT($D$11:D42)=0,"",F42/E42)</f>
        <v/>
      </c>
      <c r="H42" s="51" t="str">
        <f t="shared" si="1"/>
        <v/>
      </c>
      <c r="I42" s="45"/>
      <c r="J42" s="52" t="str">
        <f t="shared" si="2"/>
        <v/>
      </c>
      <c r="K42" s="45"/>
      <c r="L42" s="52" t="str">
        <f t="shared" si="3"/>
        <v/>
      </c>
      <c r="M42" s="45"/>
      <c r="N42" s="52" t="str">
        <f t="shared" si="4"/>
        <v/>
      </c>
      <c r="O42" s="45"/>
      <c r="P42" s="52" t="str">
        <f t="shared" si="5"/>
        <v/>
      </c>
      <c r="Q42" s="47"/>
      <c r="R42" s="52" t="str">
        <f t="shared" si="6"/>
        <v/>
      </c>
      <c r="S42" s="45"/>
      <c r="T42" s="52" t="str">
        <f t="shared" si="7"/>
        <v/>
      </c>
      <c r="U42" s="45"/>
      <c r="V42" s="52" t="str">
        <f t="shared" si="8"/>
        <v/>
      </c>
      <c r="W42" s="45"/>
      <c r="X42" s="52" t="str">
        <f t="shared" si="9"/>
        <v/>
      </c>
    </row>
    <row r="43" spans="1:24" x14ac:dyDescent="0.2">
      <c r="A43" s="14">
        <v>33</v>
      </c>
      <c r="B43" s="40">
        <v>46412</v>
      </c>
      <c r="C43" s="53">
        <f t="shared" si="0"/>
        <v>238.0952380952381</v>
      </c>
      <c r="D43" s="42"/>
      <c r="E43" s="53">
        <f>SUM($C$11:C43)</f>
        <v>7857.1428571428642</v>
      </c>
      <c r="F43" s="53">
        <f>SUM($D$11:D43)</f>
        <v>0</v>
      </c>
      <c r="G43" s="43" t="str">
        <f>IF(COUNT($D$11:D43)=0,"",F43/E43)</f>
        <v/>
      </c>
      <c r="H43" s="44" t="str">
        <f t="shared" si="1"/>
        <v/>
      </c>
      <c r="I43" s="45"/>
      <c r="J43" s="46" t="str">
        <f t="shared" si="2"/>
        <v/>
      </c>
      <c r="K43" s="45"/>
      <c r="L43" s="46" t="str">
        <f t="shared" si="3"/>
        <v/>
      </c>
      <c r="M43" s="45"/>
      <c r="N43" s="46" t="str">
        <f t="shared" si="4"/>
        <v/>
      </c>
      <c r="O43" s="45"/>
      <c r="P43" s="46" t="str">
        <f t="shared" si="5"/>
        <v/>
      </c>
      <c r="Q43" s="47"/>
      <c r="R43" s="46" t="str">
        <f t="shared" si="6"/>
        <v/>
      </c>
      <c r="S43" s="45"/>
      <c r="T43" s="46" t="str">
        <f t="shared" si="7"/>
        <v/>
      </c>
      <c r="U43" s="45"/>
      <c r="V43" s="46" t="str">
        <f t="shared" si="8"/>
        <v/>
      </c>
      <c r="W43" s="45"/>
      <c r="X43" s="46" t="str">
        <f t="shared" si="9"/>
        <v/>
      </c>
    </row>
    <row r="44" spans="1:24" x14ac:dyDescent="0.2">
      <c r="A44" s="21">
        <v>34</v>
      </c>
      <c r="B44" s="48">
        <v>46419</v>
      </c>
      <c r="C44" s="54">
        <f t="shared" si="0"/>
        <v>238.0952380952381</v>
      </c>
      <c r="D44" s="42"/>
      <c r="E44" s="54">
        <f>SUM($C$11:C44)</f>
        <v>8095.2380952381027</v>
      </c>
      <c r="F44" s="54">
        <f>SUM($D$11:D44)</f>
        <v>0</v>
      </c>
      <c r="G44" s="50" t="str">
        <f>IF(COUNT($D$11:D44)=0,"",F44/E44)</f>
        <v/>
      </c>
      <c r="H44" s="51" t="str">
        <f t="shared" si="1"/>
        <v/>
      </c>
      <c r="I44" s="45"/>
      <c r="J44" s="52" t="str">
        <f t="shared" si="2"/>
        <v/>
      </c>
      <c r="K44" s="45"/>
      <c r="L44" s="52" t="str">
        <f t="shared" si="3"/>
        <v/>
      </c>
      <c r="M44" s="45"/>
      <c r="N44" s="52" t="str">
        <f t="shared" si="4"/>
        <v/>
      </c>
      <c r="O44" s="45"/>
      <c r="P44" s="52" t="str">
        <f t="shared" si="5"/>
        <v/>
      </c>
      <c r="Q44" s="47"/>
      <c r="R44" s="52" t="str">
        <f t="shared" si="6"/>
        <v/>
      </c>
      <c r="S44" s="45"/>
      <c r="T44" s="52" t="str">
        <f t="shared" si="7"/>
        <v/>
      </c>
      <c r="U44" s="45"/>
      <c r="V44" s="52" t="str">
        <f t="shared" si="8"/>
        <v/>
      </c>
      <c r="W44" s="45"/>
      <c r="X44" s="52" t="str">
        <f t="shared" si="9"/>
        <v/>
      </c>
    </row>
    <row r="45" spans="1:24" x14ac:dyDescent="0.2">
      <c r="A45" s="14">
        <v>35</v>
      </c>
      <c r="B45" s="40">
        <v>46426</v>
      </c>
      <c r="C45" s="53">
        <f t="shared" si="0"/>
        <v>238.0952380952381</v>
      </c>
      <c r="D45" s="42"/>
      <c r="E45" s="53">
        <f>SUM($C$11:C45)</f>
        <v>8333.3333333333412</v>
      </c>
      <c r="F45" s="53">
        <f>SUM($D$11:D45)</f>
        <v>0</v>
      </c>
      <c r="G45" s="43" t="str">
        <f>IF(COUNT($D$11:D45)=0,"",F45/E45)</f>
        <v/>
      </c>
      <c r="H45" s="44" t="str">
        <f t="shared" si="1"/>
        <v/>
      </c>
      <c r="I45" s="45"/>
      <c r="J45" s="46" t="str">
        <f t="shared" si="2"/>
        <v/>
      </c>
      <c r="K45" s="45"/>
      <c r="L45" s="46" t="str">
        <f t="shared" si="3"/>
        <v/>
      </c>
      <c r="M45" s="45"/>
      <c r="N45" s="46" t="str">
        <f t="shared" si="4"/>
        <v/>
      </c>
      <c r="O45" s="45"/>
      <c r="P45" s="46" t="str">
        <f t="shared" si="5"/>
        <v/>
      </c>
      <c r="Q45" s="47"/>
      <c r="R45" s="46" t="str">
        <f t="shared" si="6"/>
        <v/>
      </c>
      <c r="S45" s="45"/>
      <c r="T45" s="46" t="str">
        <f t="shared" si="7"/>
        <v/>
      </c>
      <c r="U45" s="45"/>
      <c r="V45" s="46" t="str">
        <f t="shared" si="8"/>
        <v/>
      </c>
      <c r="W45" s="45"/>
      <c r="X45" s="46" t="str">
        <f t="shared" si="9"/>
        <v/>
      </c>
    </row>
    <row r="46" spans="1:24" x14ac:dyDescent="0.2">
      <c r="A46" s="21">
        <v>36</v>
      </c>
      <c r="B46" s="48">
        <v>46433</v>
      </c>
      <c r="C46" s="54">
        <f t="shared" si="0"/>
        <v>238.0952380952381</v>
      </c>
      <c r="D46" s="42"/>
      <c r="E46" s="54">
        <f>SUM($C$11:C46)</f>
        <v>8571.4285714285797</v>
      </c>
      <c r="F46" s="54">
        <f>SUM($D$11:D46)</f>
        <v>0</v>
      </c>
      <c r="G46" s="50" t="str">
        <f>IF(COUNT($D$11:D46)=0,"",F46/E46)</f>
        <v/>
      </c>
      <c r="H46" s="51" t="str">
        <f t="shared" si="1"/>
        <v/>
      </c>
      <c r="I46" s="45"/>
      <c r="J46" s="52" t="str">
        <f t="shared" si="2"/>
        <v/>
      </c>
      <c r="K46" s="45"/>
      <c r="L46" s="52" t="str">
        <f t="shared" si="3"/>
        <v/>
      </c>
      <c r="M46" s="45"/>
      <c r="N46" s="52" t="str">
        <f t="shared" si="4"/>
        <v/>
      </c>
      <c r="O46" s="45"/>
      <c r="P46" s="52" t="str">
        <f t="shared" si="5"/>
        <v/>
      </c>
      <c r="Q46" s="47"/>
      <c r="R46" s="52" t="str">
        <f t="shared" si="6"/>
        <v/>
      </c>
      <c r="S46" s="45"/>
      <c r="T46" s="52" t="str">
        <f t="shared" si="7"/>
        <v/>
      </c>
      <c r="U46" s="45"/>
      <c r="V46" s="52" t="str">
        <f t="shared" si="8"/>
        <v/>
      </c>
      <c r="W46" s="45"/>
      <c r="X46" s="52" t="str">
        <f t="shared" si="9"/>
        <v/>
      </c>
    </row>
    <row r="47" spans="1:24" x14ac:dyDescent="0.2">
      <c r="A47" s="14">
        <v>37</v>
      </c>
      <c r="B47" s="40">
        <v>46440</v>
      </c>
      <c r="C47" s="53">
        <f t="shared" si="0"/>
        <v>238.0952380952381</v>
      </c>
      <c r="D47" s="42"/>
      <c r="E47" s="53">
        <f>SUM($C$11:C47)</f>
        <v>8809.5238095238183</v>
      </c>
      <c r="F47" s="53">
        <f>SUM($D$11:D47)</f>
        <v>0</v>
      </c>
      <c r="G47" s="43" t="str">
        <f>IF(COUNT($D$11:D47)=0,"",F47/E47)</f>
        <v/>
      </c>
      <c r="H47" s="44" t="str">
        <f t="shared" si="1"/>
        <v/>
      </c>
      <c r="I47" s="45"/>
      <c r="J47" s="46" t="str">
        <f t="shared" si="2"/>
        <v/>
      </c>
      <c r="K47" s="45"/>
      <c r="L47" s="46" t="str">
        <f t="shared" si="3"/>
        <v/>
      </c>
      <c r="M47" s="45"/>
      <c r="N47" s="46" t="str">
        <f t="shared" si="4"/>
        <v/>
      </c>
      <c r="O47" s="45"/>
      <c r="P47" s="46" t="str">
        <f t="shared" si="5"/>
        <v/>
      </c>
      <c r="Q47" s="47"/>
      <c r="R47" s="46" t="str">
        <f t="shared" si="6"/>
        <v/>
      </c>
      <c r="S47" s="45"/>
      <c r="T47" s="46" t="str">
        <f t="shared" si="7"/>
        <v/>
      </c>
      <c r="U47" s="45"/>
      <c r="V47" s="46" t="str">
        <f t="shared" si="8"/>
        <v/>
      </c>
      <c r="W47" s="45"/>
      <c r="X47" s="46" t="str">
        <f t="shared" si="9"/>
        <v/>
      </c>
    </row>
    <row r="48" spans="1:24" x14ac:dyDescent="0.2">
      <c r="A48" s="21">
        <v>38</v>
      </c>
      <c r="B48" s="48">
        <v>46447</v>
      </c>
      <c r="C48" s="54">
        <f t="shared" si="0"/>
        <v>238.0952380952381</v>
      </c>
      <c r="D48" s="42"/>
      <c r="E48" s="54">
        <f>SUM($C$11:C48)</f>
        <v>9047.6190476190568</v>
      </c>
      <c r="F48" s="54">
        <f>SUM($D$11:D48)</f>
        <v>0</v>
      </c>
      <c r="G48" s="50" t="str">
        <f>IF(COUNT($D$11:D48)=0,"",F48/E48)</f>
        <v/>
      </c>
      <c r="H48" s="51" t="str">
        <f t="shared" si="1"/>
        <v/>
      </c>
      <c r="I48" s="45"/>
      <c r="J48" s="52" t="str">
        <f t="shared" si="2"/>
        <v/>
      </c>
      <c r="K48" s="45"/>
      <c r="L48" s="52" t="str">
        <f t="shared" si="3"/>
        <v/>
      </c>
      <c r="M48" s="45"/>
      <c r="N48" s="52" t="str">
        <f t="shared" si="4"/>
        <v/>
      </c>
      <c r="O48" s="45"/>
      <c r="P48" s="52" t="str">
        <f t="shared" si="5"/>
        <v/>
      </c>
      <c r="Q48" s="47"/>
      <c r="R48" s="52" t="str">
        <f t="shared" si="6"/>
        <v/>
      </c>
      <c r="S48" s="45"/>
      <c r="T48" s="52" t="str">
        <f t="shared" si="7"/>
        <v/>
      </c>
      <c r="U48" s="45"/>
      <c r="V48" s="52" t="str">
        <f t="shared" si="8"/>
        <v/>
      </c>
      <c r="W48" s="45"/>
      <c r="X48" s="52" t="str">
        <f t="shared" si="9"/>
        <v/>
      </c>
    </row>
    <row r="49" spans="1:24" x14ac:dyDescent="0.2">
      <c r="A49" s="14">
        <v>39</v>
      </c>
      <c r="B49" s="40">
        <v>46454</v>
      </c>
      <c r="C49" s="53">
        <f t="shared" si="0"/>
        <v>238.0952380952381</v>
      </c>
      <c r="D49" s="42"/>
      <c r="E49" s="53">
        <f>SUM($C$11:C49)</f>
        <v>9285.7142857142953</v>
      </c>
      <c r="F49" s="53">
        <f>SUM($D$11:D49)</f>
        <v>0</v>
      </c>
      <c r="G49" s="43" t="str">
        <f>IF(COUNT($D$11:D49)=0,"",F49/E49)</f>
        <v/>
      </c>
      <c r="H49" s="44" t="str">
        <f t="shared" si="1"/>
        <v/>
      </c>
      <c r="I49" s="45"/>
      <c r="J49" s="46" t="str">
        <f t="shared" si="2"/>
        <v/>
      </c>
      <c r="K49" s="45"/>
      <c r="L49" s="46" t="str">
        <f t="shared" si="3"/>
        <v/>
      </c>
      <c r="M49" s="45"/>
      <c r="N49" s="46" t="str">
        <f t="shared" si="4"/>
        <v/>
      </c>
      <c r="O49" s="45"/>
      <c r="P49" s="46" t="str">
        <f t="shared" si="5"/>
        <v/>
      </c>
      <c r="Q49" s="47"/>
      <c r="R49" s="46" t="str">
        <f t="shared" si="6"/>
        <v/>
      </c>
      <c r="S49" s="45"/>
      <c r="T49" s="46" t="str">
        <f t="shared" si="7"/>
        <v/>
      </c>
      <c r="U49" s="45"/>
      <c r="V49" s="46" t="str">
        <f t="shared" si="8"/>
        <v/>
      </c>
      <c r="W49" s="45"/>
      <c r="X49" s="46" t="str">
        <f t="shared" si="9"/>
        <v/>
      </c>
    </row>
    <row r="50" spans="1:24" x14ac:dyDescent="0.2">
      <c r="A50" s="21">
        <v>40</v>
      </c>
      <c r="B50" s="48">
        <v>46461</v>
      </c>
      <c r="C50" s="54">
        <f t="shared" si="0"/>
        <v>238.0952380952381</v>
      </c>
      <c r="D50" s="42"/>
      <c r="E50" s="54">
        <f>SUM($C$11:C50)</f>
        <v>9523.8095238095339</v>
      </c>
      <c r="F50" s="54">
        <f>SUM($D$11:D50)</f>
        <v>0</v>
      </c>
      <c r="G50" s="50" t="str">
        <f>IF(COUNT($D$11:D50)=0,"",F50/E50)</f>
        <v/>
      </c>
      <c r="H50" s="51" t="str">
        <f t="shared" si="1"/>
        <v/>
      </c>
      <c r="I50" s="45"/>
      <c r="J50" s="52" t="str">
        <f t="shared" si="2"/>
        <v/>
      </c>
      <c r="K50" s="45"/>
      <c r="L50" s="52" t="str">
        <f t="shared" si="3"/>
        <v/>
      </c>
      <c r="M50" s="45"/>
      <c r="N50" s="52" t="str">
        <f t="shared" si="4"/>
        <v/>
      </c>
      <c r="O50" s="45"/>
      <c r="P50" s="52" t="str">
        <f t="shared" si="5"/>
        <v/>
      </c>
      <c r="Q50" s="47"/>
      <c r="R50" s="52" t="str">
        <f t="shared" si="6"/>
        <v/>
      </c>
      <c r="S50" s="45"/>
      <c r="T50" s="52" t="str">
        <f t="shared" si="7"/>
        <v/>
      </c>
      <c r="U50" s="45"/>
      <c r="V50" s="52" t="str">
        <f t="shared" si="8"/>
        <v/>
      </c>
      <c r="W50" s="45"/>
      <c r="X50" s="52" t="str">
        <f t="shared" si="9"/>
        <v/>
      </c>
    </row>
    <row r="51" spans="1:24" x14ac:dyDescent="0.2">
      <c r="A51" s="14">
        <v>41</v>
      </c>
      <c r="B51" s="40">
        <v>46468</v>
      </c>
      <c r="C51" s="53">
        <f t="shared" si="0"/>
        <v>238.0952380952381</v>
      </c>
      <c r="D51" s="42"/>
      <c r="E51" s="53">
        <f>SUM($C$11:C51)</f>
        <v>9761.9047619047724</v>
      </c>
      <c r="F51" s="53">
        <f>SUM($D$11:D51)</f>
        <v>0</v>
      </c>
      <c r="G51" s="43" t="str">
        <f>IF(COUNT($D$11:D51)=0,"",F51/E51)</f>
        <v/>
      </c>
      <c r="H51" s="44" t="str">
        <f t="shared" si="1"/>
        <v/>
      </c>
      <c r="I51" s="45"/>
      <c r="J51" s="46" t="str">
        <f t="shared" si="2"/>
        <v/>
      </c>
      <c r="K51" s="45"/>
      <c r="L51" s="46" t="str">
        <f t="shared" si="3"/>
        <v/>
      </c>
      <c r="M51" s="45"/>
      <c r="N51" s="46" t="str">
        <f t="shared" si="4"/>
        <v/>
      </c>
      <c r="O51" s="45"/>
      <c r="P51" s="46" t="str">
        <f t="shared" si="5"/>
        <v/>
      </c>
      <c r="Q51" s="47"/>
      <c r="R51" s="46" t="str">
        <f t="shared" si="6"/>
        <v/>
      </c>
      <c r="S51" s="45"/>
      <c r="T51" s="46" t="str">
        <f t="shared" si="7"/>
        <v/>
      </c>
      <c r="U51" s="45"/>
      <c r="V51" s="46" t="str">
        <f t="shared" si="8"/>
        <v/>
      </c>
      <c r="W51" s="45"/>
      <c r="X51" s="46" t="str">
        <f t="shared" si="9"/>
        <v/>
      </c>
    </row>
    <row r="52" spans="1:24" x14ac:dyDescent="0.2">
      <c r="A52" s="21">
        <v>42</v>
      </c>
      <c r="B52" s="48">
        <v>46475</v>
      </c>
      <c r="C52" s="54">
        <f t="shared" si="0"/>
        <v>238.0952380952381</v>
      </c>
      <c r="D52" s="42"/>
      <c r="E52" s="54">
        <f>SUM($C$11:C52)</f>
        <v>10000.000000000011</v>
      </c>
      <c r="F52" s="54">
        <f>SUM($D$11:D52)</f>
        <v>0</v>
      </c>
      <c r="G52" s="50" t="str">
        <f>IF(COUNT($D$11:D52)=0,"",F52/E52)</f>
        <v/>
      </c>
      <c r="H52" s="51" t="str">
        <f t="shared" si="1"/>
        <v/>
      </c>
      <c r="I52" s="45"/>
      <c r="J52" s="52" t="str">
        <f t="shared" si="2"/>
        <v/>
      </c>
      <c r="K52" s="45"/>
      <c r="L52" s="52" t="str">
        <f t="shared" si="3"/>
        <v/>
      </c>
      <c r="M52" s="45"/>
      <c r="N52" s="52" t="str">
        <f t="shared" si="4"/>
        <v/>
      </c>
      <c r="O52" s="45"/>
      <c r="P52" s="52" t="str">
        <f t="shared" si="5"/>
        <v/>
      </c>
      <c r="Q52" s="47"/>
      <c r="R52" s="52" t="str">
        <f t="shared" si="6"/>
        <v/>
      </c>
      <c r="S52" s="45"/>
      <c r="T52" s="52" t="str">
        <f t="shared" si="7"/>
        <v/>
      </c>
      <c r="U52" s="45"/>
      <c r="V52" s="52" t="str">
        <f t="shared" si="8"/>
        <v/>
      </c>
      <c r="W52" s="45"/>
      <c r="X52" s="52" t="str">
        <f t="shared" si="9"/>
        <v/>
      </c>
    </row>
  </sheetData>
  <mergeCells count="17">
    <mergeCell ref="A1:X1"/>
    <mergeCell ref="I8:J8"/>
    <mergeCell ref="O9:P9"/>
    <mergeCell ref="I9:J9"/>
    <mergeCell ref="W9:X9"/>
    <mergeCell ref="Q8:R8"/>
    <mergeCell ref="M8:N8"/>
    <mergeCell ref="U8:V8"/>
    <mergeCell ref="S8:T8"/>
    <mergeCell ref="W8:X8"/>
    <mergeCell ref="U9:V9"/>
    <mergeCell ref="K8:L8"/>
    <mergeCell ref="S9:T9"/>
    <mergeCell ref="O8:P8"/>
    <mergeCell ref="K9:L9"/>
    <mergeCell ref="M9:N9"/>
    <mergeCell ref="Q9:R9"/>
  </mergeCells>
  <conditionalFormatting sqref="H11:H52">
    <cfRule type="containsText" dxfId="25" priority="1" operator="containsText" text="En meta">
      <formula>NOT(ISERROR(SEARCH("En meta",H11)))</formula>
    </cfRule>
    <cfRule type="containsText" dxfId="24" priority="2" operator="containsText" text="Riesgo">
      <formula>NOT(ISERROR(SEARCH("Riesgo",H11)))</formula>
    </cfRule>
    <cfRule type="containsText" dxfId="23" priority="3" operator="containsText" text="Atrasado">
      <formula>NOT(ISERROR(SEARCH("Atrasado",H11)))</formula>
    </cfRule>
  </conditionalFormatting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X91"/>
  <sheetViews>
    <sheetView showGridLines="0" workbookViewId="0">
      <pane xSplit="2" ySplit="10" topLeftCell="C11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5" customWidth="1"/>
    <col min="2" max="2" width="11" customWidth="1"/>
    <col min="3" max="3" width="12" customWidth="1"/>
    <col min="4" max="4" width="11" customWidth="1"/>
    <col min="5" max="6" width="12" customWidth="1"/>
    <col min="7" max="7" width="13" customWidth="1"/>
    <col min="8" max="9" width="11" customWidth="1"/>
    <col min="10" max="10" width="7" customWidth="1"/>
    <col min="11" max="11" width="11" customWidth="1"/>
    <col min="12" max="12" width="7" customWidth="1"/>
    <col min="13" max="13" width="11" customWidth="1"/>
    <col min="14" max="14" width="7" customWidth="1"/>
    <col min="15" max="15" width="11" customWidth="1"/>
    <col min="16" max="16" width="7" customWidth="1"/>
    <col min="17" max="17" width="11" customWidth="1"/>
    <col min="18" max="18" width="7" customWidth="1"/>
    <col min="19" max="19" width="11" customWidth="1"/>
    <col min="20" max="20" width="7" customWidth="1"/>
    <col min="21" max="21" width="11" customWidth="1"/>
    <col min="22" max="22" width="7" customWidth="1"/>
    <col min="23" max="23" width="11" customWidth="1"/>
    <col min="24" max="24" width="7" customWidth="1"/>
  </cols>
  <sheetData>
    <row r="1" spans="1:24" ht="18" x14ac:dyDescent="0.2">
      <c r="A1" s="79" t="s">
        <v>84</v>
      </c>
      <c r="B1" s="73"/>
      <c r="C1" s="73"/>
      <c r="D1" s="73"/>
      <c r="E1" s="73"/>
      <c r="F1" s="73"/>
      <c r="G1" s="73"/>
      <c r="H1" s="73"/>
      <c r="I1" s="73"/>
      <c r="J1" s="73"/>
      <c r="K1" s="73"/>
      <c r="L1" s="73"/>
      <c r="M1" s="73"/>
      <c r="N1" s="73"/>
      <c r="O1" s="73"/>
      <c r="P1" s="73"/>
      <c r="Q1" s="73"/>
      <c r="R1" s="73"/>
      <c r="S1" s="73"/>
      <c r="T1" s="73"/>
      <c r="U1" s="73"/>
      <c r="V1" s="73"/>
      <c r="W1" s="73"/>
      <c r="X1" s="73"/>
    </row>
    <row r="2" spans="1:24" x14ac:dyDescent="0.2">
      <c r="A2" s="1" t="s">
        <v>46</v>
      </c>
      <c r="B2" s="32" t="s">
        <v>85</v>
      </c>
    </row>
    <row r="3" spans="1:24" x14ac:dyDescent="0.2">
      <c r="A3" s="1" t="s">
        <v>48</v>
      </c>
      <c r="B3" s="32" t="s">
        <v>86</v>
      </c>
    </row>
    <row r="4" spans="1:24" x14ac:dyDescent="0.2">
      <c r="A4" s="1" t="s">
        <v>50</v>
      </c>
      <c r="B4" s="33" t="s">
        <v>51</v>
      </c>
      <c r="D4" s="1" t="s">
        <v>52</v>
      </c>
      <c r="E4" s="32" t="s">
        <v>25</v>
      </c>
    </row>
    <row r="5" spans="1:24" x14ac:dyDescent="0.2">
      <c r="A5" s="1" t="s">
        <v>53</v>
      </c>
      <c r="B5" s="34">
        <v>10</v>
      </c>
      <c r="D5" s="1" t="s">
        <v>54</v>
      </c>
      <c r="E5" s="35">
        <v>46188</v>
      </c>
      <c r="G5" s="1" t="s">
        <v>55</v>
      </c>
      <c r="H5" s="35">
        <v>46748</v>
      </c>
    </row>
    <row r="6" spans="1:24" x14ac:dyDescent="0.2">
      <c r="A6" s="1" t="s">
        <v>56</v>
      </c>
      <c r="B6" s="32" t="s">
        <v>57</v>
      </c>
    </row>
    <row r="8" spans="1:24" ht="42" customHeight="1" x14ac:dyDescent="0.2">
      <c r="A8" s="1" t="s">
        <v>58</v>
      </c>
      <c r="B8" s="36">
        <f>COUNT(A11:A91)</f>
        <v>81</v>
      </c>
      <c r="H8" s="37" t="s">
        <v>59</v>
      </c>
      <c r="I8" s="75" t="s">
        <v>87</v>
      </c>
      <c r="J8" s="76"/>
      <c r="K8" s="75" t="s">
        <v>88</v>
      </c>
      <c r="L8" s="76"/>
      <c r="M8" s="75" t="s">
        <v>89</v>
      </c>
      <c r="N8" s="76"/>
      <c r="O8" s="75" t="s">
        <v>90</v>
      </c>
      <c r="P8" s="76"/>
      <c r="Q8" s="75" t="s">
        <v>91</v>
      </c>
      <c r="R8" s="76"/>
      <c r="S8" s="75" t="s">
        <v>92</v>
      </c>
      <c r="T8" s="76"/>
      <c r="U8" s="75" t="s">
        <v>93</v>
      </c>
      <c r="V8" s="76"/>
      <c r="W8" s="75" t="s">
        <v>67</v>
      </c>
      <c r="X8" s="76"/>
    </row>
    <row r="9" spans="1:24" x14ac:dyDescent="0.2">
      <c r="A9" s="38" t="s">
        <v>68</v>
      </c>
      <c r="H9" s="37" t="s">
        <v>69</v>
      </c>
      <c r="I9" s="78">
        <v>5</v>
      </c>
      <c r="J9" s="76"/>
      <c r="K9" s="78">
        <v>4</v>
      </c>
      <c r="L9" s="76"/>
      <c r="M9" s="78">
        <v>1</v>
      </c>
      <c r="N9" s="76"/>
      <c r="O9" s="78">
        <v>2</v>
      </c>
      <c r="P9" s="76"/>
      <c r="Q9" s="78">
        <v>10</v>
      </c>
      <c r="R9" s="76"/>
      <c r="S9" s="78">
        <v>2</v>
      </c>
      <c r="T9" s="76"/>
      <c r="U9" s="77">
        <v>0.3</v>
      </c>
      <c r="V9" s="76"/>
      <c r="W9" s="78"/>
      <c r="X9" s="76"/>
    </row>
    <row r="10" spans="1:24" x14ac:dyDescent="0.2">
      <c r="A10" s="3" t="s">
        <v>11</v>
      </c>
      <c r="B10" s="3" t="s">
        <v>70</v>
      </c>
      <c r="C10" s="3" t="s">
        <v>71</v>
      </c>
      <c r="D10" s="3" t="s">
        <v>72</v>
      </c>
      <c r="E10" s="3" t="s">
        <v>6</v>
      </c>
      <c r="F10" s="3" t="s">
        <v>7</v>
      </c>
      <c r="G10" s="3" t="s">
        <v>8</v>
      </c>
      <c r="H10" s="3" t="s">
        <v>9</v>
      </c>
      <c r="I10" s="39" t="s">
        <v>72</v>
      </c>
      <c r="J10" s="39" t="s">
        <v>73</v>
      </c>
      <c r="K10" s="39" t="s">
        <v>72</v>
      </c>
      <c r="L10" s="39" t="s">
        <v>73</v>
      </c>
      <c r="M10" s="39" t="s">
        <v>72</v>
      </c>
      <c r="N10" s="39" t="s">
        <v>73</v>
      </c>
      <c r="O10" s="39" t="s">
        <v>72</v>
      </c>
      <c r="P10" s="39" t="s">
        <v>73</v>
      </c>
      <c r="Q10" s="39" t="s">
        <v>72</v>
      </c>
      <c r="R10" s="39" t="s">
        <v>73</v>
      </c>
      <c r="S10" s="39" t="s">
        <v>72</v>
      </c>
      <c r="T10" s="39" t="s">
        <v>73</v>
      </c>
      <c r="U10" s="39" t="s">
        <v>72</v>
      </c>
      <c r="V10" s="39" t="s">
        <v>73</v>
      </c>
      <c r="W10" s="39" t="s">
        <v>72</v>
      </c>
      <c r="X10" s="39" t="s">
        <v>73</v>
      </c>
    </row>
    <row r="11" spans="1:24" x14ac:dyDescent="0.2">
      <c r="A11" s="14">
        <v>1</v>
      </c>
      <c r="B11" s="40">
        <v>46188</v>
      </c>
      <c r="C11" s="41">
        <f t="shared" ref="C11:C42" si="0">$B$5/$B$8</f>
        <v>0.12345679012345678</v>
      </c>
      <c r="D11" s="42"/>
      <c r="E11" s="41">
        <f>SUM($C$11:C11)</f>
        <v>0.12345679012345678</v>
      </c>
      <c r="F11" s="41">
        <f>SUM($D$11:D11)</f>
        <v>0</v>
      </c>
      <c r="G11" s="43" t="str">
        <f>IF(COUNT($D$11:D11)=0,"",F11/E11)</f>
        <v/>
      </c>
      <c r="H11" s="44" t="str">
        <f t="shared" ref="H11:H42" si="1">IF(G11="","",IF(G11&gt;=0.95,"En meta",IF(G11&gt;=0.8,"Riesgo","Atrasado")))</f>
        <v/>
      </c>
      <c r="I11" s="45"/>
      <c r="J11" s="46" t="str">
        <f t="shared" ref="J11:J42" si="2">IF(I11="","",IF($I$9="","",IF($I$9=0,"",I11/$I$9)))</f>
        <v/>
      </c>
      <c r="K11" s="45"/>
      <c r="L11" s="46" t="str">
        <f t="shared" ref="L11:L42" si="3">IF(K11="","",IF($K$9="","",IF($K$9=0,"",K11/$K$9)))</f>
        <v/>
      </c>
      <c r="M11" s="45"/>
      <c r="N11" s="46" t="str">
        <f t="shared" ref="N11:N42" si="4">IF(M11="","",IF($M$9="","",IF($M$9=0,"",M11/$M$9)))</f>
        <v/>
      </c>
      <c r="O11" s="45"/>
      <c r="P11" s="46" t="str">
        <f t="shared" ref="P11:P42" si="5">IF(O11="","",IF($O$9="","",IF($O$9=0,"",O11/$O$9)))</f>
        <v/>
      </c>
      <c r="Q11" s="45"/>
      <c r="R11" s="46" t="str">
        <f t="shared" ref="R11:R42" si="6">IF(Q11="","",IF($Q$9="","",IF($Q$9=0,"",Q11/$Q$9)))</f>
        <v/>
      </c>
      <c r="S11" s="45"/>
      <c r="T11" s="46" t="str">
        <f t="shared" ref="T11:T42" si="7">IF(S11="","",IF($S$9="","",IF($S$9=0,"",S11/$S$9)))</f>
        <v/>
      </c>
      <c r="U11" s="47"/>
      <c r="V11" s="46" t="str">
        <f t="shared" ref="V11:V42" si="8">IF(U11="","",IF($U$9="","",IF($U$9=0,"",U11/$U$9)))</f>
        <v/>
      </c>
      <c r="W11" s="45"/>
      <c r="X11" s="46" t="str">
        <f t="shared" ref="X11:X42" si="9">IF(W11="","",IF($W$9="","",IF($W$9=0,"",W11/$W$9)))</f>
        <v/>
      </c>
    </row>
    <row r="12" spans="1:24" x14ac:dyDescent="0.2">
      <c r="A12" s="21">
        <v>2</v>
      </c>
      <c r="B12" s="48">
        <v>46195</v>
      </c>
      <c r="C12" s="49">
        <f t="shared" si="0"/>
        <v>0.12345679012345678</v>
      </c>
      <c r="D12" s="42"/>
      <c r="E12" s="49">
        <f>SUM($C$11:C12)</f>
        <v>0.24691358024691357</v>
      </c>
      <c r="F12" s="49">
        <f>SUM($D$11:D12)</f>
        <v>0</v>
      </c>
      <c r="G12" s="50" t="str">
        <f>IF(COUNT($D$11:D12)=0,"",F12/E12)</f>
        <v/>
      </c>
      <c r="H12" s="51" t="str">
        <f t="shared" si="1"/>
        <v/>
      </c>
      <c r="I12" s="45"/>
      <c r="J12" s="52" t="str">
        <f t="shared" si="2"/>
        <v/>
      </c>
      <c r="K12" s="45"/>
      <c r="L12" s="52" t="str">
        <f t="shared" si="3"/>
        <v/>
      </c>
      <c r="M12" s="45"/>
      <c r="N12" s="52" t="str">
        <f t="shared" si="4"/>
        <v/>
      </c>
      <c r="O12" s="45"/>
      <c r="P12" s="52" t="str">
        <f t="shared" si="5"/>
        <v/>
      </c>
      <c r="Q12" s="45"/>
      <c r="R12" s="52" t="str">
        <f t="shared" si="6"/>
        <v/>
      </c>
      <c r="S12" s="45"/>
      <c r="T12" s="52" t="str">
        <f t="shared" si="7"/>
        <v/>
      </c>
      <c r="U12" s="47"/>
      <c r="V12" s="52" t="str">
        <f t="shared" si="8"/>
        <v/>
      </c>
      <c r="W12" s="45"/>
      <c r="X12" s="52" t="str">
        <f t="shared" si="9"/>
        <v/>
      </c>
    </row>
    <row r="13" spans="1:24" x14ac:dyDescent="0.2">
      <c r="A13" s="14">
        <v>3</v>
      </c>
      <c r="B13" s="40">
        <v>46202</v>
      </c>
      <c r="C13" s="41">
        <f t="shared" si="0"/>
        <v>0.12345679012345678</v>
      </c>
      <c r="D13" s="42"/>
      <c r="E13" s="41">
        <f>SUM($C$11:C13)</f>
        <v>0.37037037037037035</v>
      </c>
      <c r="F13" s="41">
        <f>SUM($D$11:D13)</f>
        <v>0</v>
      </c>
      <c r="G13" s="43" t="str">
        <f>IF(COUNT($D$11:D13)=0,"",F13/E13)</f>
        <v/>
      </c>
      <c r="H13" s="44" t="str">
        <f t="shared" si="1"/>
        <v/>
      </c>
      <c r="I13" s="45"/>
      <c r="J13" s="46" t="str">
        <f t="shared" si="2"/>
        <v/>
      </c>
      <c r="K13" s="45"/>
      <c r="L13" s="46" t="str">
        <f t="shared" si="3"/>
        <v/>
      </c>
      <c r="M13" s="45"/>
      <c r="N13" s="46" t="str">
        <f t="shared" si="4"/>
        <v/>
      </c>
      <c r="O13" s="45"/>
      <c r="P13" s="46" t="str">
        <f t="shared" si="5"/>
        <v/>
      </c>
      <c r="Q13" s="45"/>
      <c r="R13" s="46" t="str">
        <f t="shared" si="6"/>
        <v/>
      </c>
      <c r="S13" s="45"/>
      <c r="T13" s="46" t="str">
        <f t="shared" si="7"/>
        <v/>
      </c>
      <c r="U13" s="47"/>
      <c r="V13" s="46" t="str">
        <f t="shared" si="8"/>
        <v/>
      </c>
      <c r="W13" s="45"/>
      <c r="X13" s="46" t="str">
        <f t="shared" si="9"/>
        <v/>
      </c>
    </row>
    <row r="14" spans="1:24" x14ac:dyDescent="0.2">
      <c r="A14" s="21">
        <v>4</v>
      </c>
      <c r="B14" s="48">
        <v>46209</v>
      </c>
      <c r="C14" s="49">
        <f t="shared" si="0"/>
        <v>0.12345679012345678</v>
      </c>
      <c r="D14" s="42"/>
      <c r="E14" s="49">
        <f>SUM($C$11:C14)</f>
        <v>0.49382716049382713</v>
      </c>
      <c r="F14" s="49">
        <f>SUM($D$11:D14)</f>
        <v>0</v>
      </c>
      <c r="G14" s="50" t="str">
        <f>IF(COUNT($D$11:D14)=0,"",F14/E14)</f>
        <v/>
      </c>
      <c r="H14" s="51" t="str">
        <f t="shared" si="1"/>
        <v/>
      </c>
      <c r="I14" s="45"/>
      <c r="J14" s="52" t="str">
        <f t="shared" si="2"/>
        <v/>
      </c>
      <c r="K14" s="45"/>
      <c r="L14" s="52" t="str">
        <f t="shared" si="3"/>
        <v/>
      </c>
      <c r="M14" s="45"/>
      <c r="N14" s="52" t="str">
        <f t="shared" si="4"/>
        <v/>
      </c>
      <c r="O14" s="45"/>
      <c r="P14" s="52" t="str">
        <f t="shared" si="5"/>
        <v/>
      </c>
      <c r="Q14" s="45"/>
      <c r="R14" s="52" t="str">
        <f t="shared" si="6"/>
        <v/>
      </c>
      <c r="S14" s="45"/>
      <c r="T14" s="52" t="str">
        <f t="shared" si="7"/>
        <v/>
      </c>
      <c r="U14" s="47"/>
      <c r="V14" s="52" t="str">
        <f t="shared" si="8"/>
        <v/>
      </c>
      <c r="W14" s="45"/>
      <c r="X14" s="52" t="str">
        <f t="shared" si="9"/>
        <v/>
      </c>
    </row>
    <row r="15" spans="1:24" x14ac:dyDescent="0.2">
      <c r="A15" s="14">
        <v>5</v>
      </c>
      <c r="B15" s="40">
        <v>46216</v>
      </c>
      <c r="C15" s="41">
        <f t="shared" si="0"/>
        <v>0.12345679012345678</v>
      </c>
      <c r="D15" s="42"/>
      <c r="E15" s="41">
        <f>SUM($C$11:C15)</f>
        <v>0.61728395061728392</v>
      </c>
      <c r="F15" s="41">
        <f>SUM($D$11:D15)</f>
        <v>0</v>
      </c>
      <c r="G15" s="43" t="str">
        <f>IF(COUNT($D$11:D15)=0,"",F15/E15)</f>
        <v/>
      </c>
      <c r="H15" s="44" t="str">
        <f t="shared" si="1"/>
        <v/>
      </c>
      <c r="I15" s="45"/>
      <c r="J15" s="46" t="str">
        <f t="shared" si="2"/>
        <v/>
      </c>
      <c r="K15" s="45"/>
      <c r="L15" s="46" t="str">
        <f t="shared" si="3"/>
        <v/>
      </c>
      <c r="M15" s="45"/>
      <c r="N15" s="46" t="str">
        <f t="shared" si="4"/>
        <v/>
      </c>
      <c r="O15" s="45"/>
      <c r="P15" s="46" t="str">
        <f t="shared" si="5"/>
        <v/>
      </c>
      <c r="Q15" s="45"/>
      <c r="R15" s="46" t="str">
        <f t="shared" si="6"/>
        <v/>
      </c>
      <c r="S15" s="45"/>
      <c r="T15" s="46" t="str">
        <f t="shared" si="7"/>
        <v/>
      </c>
      <c r="U15" s="47"/>
      <c r="V15" s="46" t="str">
        <f t="shared" si="8"/>
        <v/>
      </c>
      <c r="W15" s="45"/>
      <c r="X15" s="46" t="str">
        <f t="shared" si="9"/>
        <v/>
      </c>
    </row>
    <row r="16" spans="1:24" x14ac:dyDescent="0.2">
      <c r="A16" s="21">
        <v>6</v>
      </c>
      <c r="B16" s="48">
        <v>46223</v>
      </c>
      <c r="C16" s="49">
        <f t="shared" si="0"/>
        <v>0.12345679012345678</v>
      </c>
      <c r="D16" s="42"/>
      <c r="E16" s="49">
        <f>SUM($C$11:C16)</f>
        <v>0.7407407407407407</v>
      </c>
      <c r="F16" s="49">
        <f>SUM($D$11:D16)</f>
        <v>0</v>
      </c>
      <c r="G16" s="50" t="str">
        <f>IF(COUNT($D$11:D16)=0,"",F16/E16)</f>
        <v/>
      </c>
      <c r="H16" s="51" t="str">
        <f t="shared" si="1"/>
        <v/>
      </c>
      <c r="I16" s="45"/>
      <c r="J16" s="52" t="str">
        <f t="shared" si="2"/>
        <v/>
      </c>
      <c r="K16" s="45"/>
      <c r="L16" s="52" t="str">
        <f t="shared" si="3"/>
        <v/>
      </c>
      <c r="M16" s="45"/>
      <c r="N16" s="52" t="str">
        <f t="shared" si="4"/>
        <v/>
      </c>
      <c r="O16" s="45"/>
      <c r="P16" s="52" t="str">
        <f t="shared" si="5"/>
        <v/>
      </c>
      <c r="Q16" s="45"/>
      <c r="R16" s="52" t="str">
        <f t="shared" si="6"/>
        <v/>
      </c>
      <c r="S16" s="45"/>
      <c r="T16" s="52" t="str">
        <f t="shared" si="7"/>
        <v/>
      </c>
      <c r="U16" s="47"/>
      <c r="V16" s="52" t="str">
        <f t="shared" si="8"/>
        <v/>
      </c>
      <c r="W16" s="45"/>
      <c r="X16" s="52" t="str">
        <f t="shared" si="9"/>
        <v/>
      </c>
    </row>
    <row r="17" spans="1:24" x14ac:dyDescent="0.2">
      <c r="A17" s="14">
        <v>7</v>
      </c>
      <c r="B17" s="40">
        <v>46230</v>
      </c>
      <c r="C17" s="41">
        <f t="shared" si="0"/>
        <v>0.12345679012345678</v>
      </c>
      <c r="D17" s="42"/>
      <c r="E17" s="41">
        <f>SUM($C$11:C17)</f>
        <v>0.86419753086419748</v>
      </c>
      <c r="F17" s="41">
        <f>SUM($D$11:D17)</f>
        <v>0</v>
      </c>
      <c r="G17" s="43" t="str">
        <f>IF(COUNT($D$11:D17)=0,"",F17/E17)</f>
        <v/>
      </c>
      <c r="H17" s="44" t="str">
        <f t="shared" si="1"/>
        <v/>
      </c>
      <c r="I17" s="45"/>
      <c r="J17" s="46" t="str">
        <f t="shared" si="2"/>
        <v/>
      </c>
      <c r="K17" s="45"/>
      <c r="L17" s="46" t="str">
        <f t="shared" si="3"/>
        <v/>
      </c>
      <c r="M17" s="45"/>
      <c r="N17" s="46" t="str">
        <f t="shared" si="4"/>
        <v/>
      </c>
      <c r="O17" s="45"/>
      <c r="P17" s="46" t="str">
        <f t="shared" si="5"/>
        <v/>
      </c>
      <c r="Q17" s="45"/>
      <c r="R17" s="46" t="str">
        <f t="shared" si="6"/>
        <v/>
      </c>
      <c r="S17" s="45"/>
      <c r="T17" s="46" t="str">
        <f t="shared" si="7"/>
        <v/>
      </c>
      <c r="U17" s="47"/>
      <c r="V17" s="46" t="str">
        <f t="shared" si="8"/>
        <v/>
      </c>
      <c r="W17" s="45"/>
      <c r="X17" s="46" t="str">
        <f t="shared" si="9"/>
        <v/>
      </c>
    </row>
    <row r="18" spans="1:24" x14ac:dyDescent="0.2">
      <c r="A18" s="21">
        <v>8</v>
      </c>
      <c r="B18" s="48">
        <v>46237</v>
      </c>
      <c r="C18" s="49">
        <f t="shared" si="0"/>
        <v>0.12345679012345678</v>
      </c>
      <c r="D18" s="42"/>
      <c r="E18" s="49">
        <f>SUM($C$11:C18)</f>
        <v>0.98765432098765427</v>
      </c>
      <c r="F18" s="49">
        <f>SUM($D$11:D18)</f>
        <v>0</v>
      </c>
      <c r="G18" s="50" t="str">
        <f>IF(COUNT($D$11:D18)=0,"",F18/E18)</f>
        <v/>
      </c>
      <c r="H18" s="51" t="str">
        <f t="shared" si="1"/>
        <v/>
      </c>
      <c r="I18" s="45"/>
      <c r="J18" s="52" t="str">
        <f t="shared" si="2"/>
        <v/>
      </c>
      <c r="K18" s="45"/>
      <c r="L18" s="52" t="str">
        <f t="shared" si="3"/>
        <v/>
      </c>
      <c r="M18" s="45"/>
      <c r="N18" s="52" t="str">
        <f t="shared" si="4"/>
        <v/>
      </c>
      <c r="O18" s="45"/>
      <c r="P18" s="52" t="str">
        <f t="shared" si="5"/>
        <v/>
      </c>
      <c r="Q18" s="45"/>
      <c r="R18" s="52" t="str">
        <f t="shared" si="6"/>
        <v/>
      </c>
      <c r="S18" s="45"/>
      <c r="T18" s="52" t="str">
        <f t="shared" si="7"/>
        <v/>
      </c>
      <c r="U18" s="47"/>
      <c r="V18" s="52" t="str">
        <f t="shared" si="8"/>
        <v/>
      </c>
      <c r="W18" s="45"/>
      <c r="X18" s="52" t="str">
        <f t="shared" si="9"/>
        <v/>
      </c>
    </row>
    <row r="19" spans="1:24" x14ac:dyDescent="0.2">
      <c r="A19" s="14">
        <v>9</v>
      </c>
      <c r="B19" s="40">
        <v>46244</v>
      </c>
      <c r="C19" s="41">
        <f t="shared" si="0"/>
        <v>0.12345679012345678</v>
      </c>
      <c r="D19" s="42"/>
      <c r="E19" s="41">
        <f>SUM($C$11:C19)</f>
        <v>1.1111111111111112</v>
      </c>
      <c r="F19" s="41">
        <f>SUM($D$11:D19)</f>
        <v>0</v>
      </c>
      <c r="G19" s="43" t="str">
        <f>IF(COUNT($D$11:D19)=0,"",F19/E19)</f>
        <v/>
      </c>
      <c r="H19" s="44" t="str">
        <f t="shared" si="1"/>
        <v/>
      </c>
      <c r="I19" s="45"/>
      <c r="J19" s="46" t="str">
        <f t="shared" si="2"/>
        <v/>
      </c>
      <c r="K19" s="45"/>
      <c r="L19" s="46" t="str">
        <f t="shared" si="3"/>
        <v/>
      </c>
      <c r="M19" s="45"/>
      <c r="N19" s="46" t="str">
        <f t="shared" si="4"/>
        <v/>
      </c>
      <c r="O19" s="45"/>
      <c r="P19" s="46" t="str">
        <f t="shared" si="5"/>
        <v/>
      </c>
      <c r="Q19" s="45"/>
      <c r="R19" s="46" t="str">
        <f t="shared" si="6"/>
        <v/>
      </c>
      <c r="S19" s="45"/>
      <c r="T19" s="46" t="str">
        <f t="shared" si="7"/>
        <v/>
      </c>
      <c r="U19" s="47"/>
      <c r="V19" s="46" t="str">
        <f t="shared" si="8"/>
        <v/>
      </c>
      <c r="W19" s="45"/>
      <c r="X19" s="46" t="str">
        <f t="shared" si="9"/>
        <v/>
      </c>
    </row>
    <row r="20" spans="1:24" x14ac:dyDescent="0.2">
      <c r="A20" s="21">
        <v>10</v>
      </c>
      <c r="B20" s="48">
        <v>46251</v>
      </c>
      <c r="C20" s="49">
        <f t="shared" si="0"/>
        <v>0.12345679012345678</v>
      </c>
      <c r="D20" s="42"/>
      <c r="E20" s="49">
        <f>SUM($C$11:C20)</f>
        <v>1.2345679012345681</v>
      </c>
      <c r="F20" s="49">
        <f>SUM($D$11:D20)</f>
        <v>0</v>
      </c>
      <c r="G20" s="50" t="str">
        <f>IF(COUNT($D$11:D20)=0,"",F20/E20)</f>
        <v/>
      </c>
      <c r="H20" s="51" t="str">
        <f t="shared" si="1"/>
        <v/>
      </c>
      <c r="I20" s="45"/>
      <c r="J20" s="52" t="str">
        <f t="shared" si="2"/>
        <v/>
      </c>
      <c r="K20" s="45"/>
      <c r="L20" s="52" t="str">
        <f t="shared" si="3"/>
        <v/>
      </c>
      <c r="M20" s="45"/>
      <c r="N20" s="52" t="str">
        <f t="shared" si="4"/>
        <v/>
      </c>
      <c r="O20" s="45"/>
      <c r="P20" s="52" t="str">
        <f t="shared" si="5"/>
        <v/>
      </c>
      <c r="Q20" s="45"/>
      <c r="R20" s="52" t="str">
        <f t="shared" si="6"/>
        <v/>
      </c>
      <c r="S20" s="45"/>
      <c r="T20" s="52" t="str">
        <f t="shared" si="7"/>
        <v/>
      </c>
      <c r="U20" s="47"/>
      <c r="V20" s="52" t="str">
        <f t="shared" si="8"/>
        <v/>
      </c>
      <c r="W20" s="45"/>
      <c r="X20" s="52" t="str">
        <f t="shared" si="9"/>
        <v/>
      </c>
    </row>
    <row r="21" spans="1:24" x14ac:dyDescent="0.2">
      <c r="A21" s="14">
        <v>11</v>
      </c>
      <c r="B21" s="40">
        <v>46258</v>
      </c>
      <c r="C21" s="41">
        <f t="shared" si="0"/>
        <v>0.12345679012345678</v>
      </c>
      <c r="D21" s="42"/>
      <c r="E21" s="41">
        <f>SUM($C$11:C21)</f>
        <v>1.3580246913580249</v>
      </c>
      <c r="F21" s="41">
        <f>SUM($D$11:D21)</f>
        <v>0</v>
      </c>
      <c r="G21" s="43" t="str">
        <f>IF(COUNT($D$11:D21)=0,"",F21/E21)</f>
        <v/>
      </c>
      <c r="H21" s="44" t="str">
        <f t="shared" si="1"/>
        <v/>
      </c>
      <c r="I21" s="45"/>
      <c r="J21" s="46" t="str">
        <f t="shared" si="2"/>
        <v/>
      </c>
      <c r="K21" s="45"/>
      <c r="L21" s="46" t="str">
        <f t="shared" si="3"/>
        <v/>
      </c>
      <c r="M21" s="45"/>
      <c r="N21" s="46" t="str">
        <f t="shared" si="4"/>
        <v/>
      </c>
      <c r="O21" s="45"/>
      <c r="P21" s="46" t="str">
        <f t="shared" si="5"/>
        <v/>
      </c>
      <c r="Q21" s="45"/>
      <c r="R21" s="46" t="str">
        <f t="shared" si="6"/>
        <v/>
      </c>
      <c r="S21" s="45"/>
      <c r="T21" s="46" t="str">
        <f t="shared" si="7"/>
        <v/>
      </c>
      <c r="U21" s="47"/>
      <c r="V21" s="46" t="str">
        <f t="shared" si="8"/>
        <v/>
      </c>
      <c r="W21" s="45"/>
      <c r="X21" s="46" t="str">
        <f t="shared" si="9"/>
        <v/>
      </c>
    </row>
    <row r="22" spans="1:24" x14ac:dyDescent="0.2">
      <c r="A22" s="21">
        <v>12</v>
      </c>
      <c r="B22" s="48">
        <v>46265</v>
      </c>
      <c r="C22" s="49">
        <f t="shared" si="0"/>
        <v>0.12345679012345678</v>
      </c>
      <c r="D22" s="42"/>
      <c r="E22" s="49">
        <f>SUM($C$11:C22)</f>
        <v>1.4814814814814818</v>
      </c>
      <c r="F22" s="49">
        <f>SUM($D$11:D22)</f>
        <v>0</v>
      </c>
      <c r="G22" s="50" t="str">
        <f>IF(COUNT($D$11:D22)=0,"",F22/E22)</f>
        <v/>
      </c>
      <c r="H22" s="51" t="str">
        <f t="shared" si="1"/>
        <v/>
      </c>
      <c r="I22" s="45"/>
      <c r="J22" s="52" t="str">
        <f t="shared" si="2"/>
        <v/>
      </c>
      <c r="K22" s="45"/>
      <c r="L22" s="52" t="str">
        <f t="shared" si="3"/>
        <v/>
      </c>
      <c r="M22" s="45"/>
      <c r="N22" s="52" t="str">
        <f t="shared" si="4"/>
        <v/>
      </c>
      <c r="O22" s="45"/>
      <c r="P22" s="52" t="str">
        <f t="shared" si="5"/>
        <v/>
      </c>
      <c r="Q22" s="45"/>
      <c r="R22" s="52" t="str">
        <f t="shared" si="6"/>
        <v/>
      </c>
      <c r="S22" s="45"/>
      <c r="T22" s="52" t="str">
        <f t="shared" si="7"/>
        <v/>
      </c>
      <c r="U22" s="47"/>
      <c r="V22" s="52" t="str">
        <f t="shared" si="8"/>
        <v/>
      </c>
      <c r="W22" s="45"/>
      <c r="X22" s="52" t="str">
        <f t="shared" si="9"/>
        <v/>
      </c>
    </row>
    <row r="23" spans="1:24" x14ac:dyDescent="0.2">
      <c r="A23" s="14">
        <v>13</v>
      </c>
      <c r="B23" s="40">
        <v>46272</v>
      </c>
      <c r="C23" s="41">
        <f t="shared" si="0"/>
        <v>0.12345679012345678</v>
      </c>
      <c r="D23" s="42"/>
      <c r="E23" s="41">
        <f>SUM($C$11:C23)</f>
        <v>1.6049382716049387</v>
      </c>
      <c r="F23" s="41">
        <f>SUM($D$11:D23)</f>
        <v>0</v>
      </c>
      <c r="G23" s="43" t="str">
        <f>IF(COUNT($D$11:D23)=0,"",F23/E23)</f>
        <v/>
      </c>
      <c r="H23" s="44" t="str">
        <f t="shared" si="1"/>
        <v/>
      </c>
      <c r="I23" s="45"/>
      <c r="J23" s="46" t="str">
        <f t="shared" si="2"/>
        <v/>
      </c>
      <c r="K23" s="45"/>
      <c r="L23" s="46" t="str">
        <f t="shared" si="3"/>
        <v/>
      </c>
      <c r="M23" s="45"/>
      <c r="N23" s="46" t="str">
        <f t="shared" si="4"/>
        <v/>
      </c>
      <c r="O23" s="45"/>
      <c r="P23" s="46" t="str">
        <f t="shared" si="5"/>
        <v/>
      </c>
      <c r="Q23" s="45"/>
      <c r="R23" s="46" t="str">
        <f t="shared" si="6"/>
        <v/>
      </c>
      <c r="S23" s="45"/>
      <c r="T23" s="46" t="str">
        <f t="shared" si="7"/>
        <v/>
      </c>
      <c r="U23" s="47"/>
      <c r="V23" s="46" t="str">
        <f t="shared" si="8"/>
        <v/>
      </c>
      <c r="W23" s="45"/>
      <c r="X23" s="46" t="str">
        <f t="shared" si="9"/>
        <v/>
      </c>
    </row>
    <row r="24" spans="1:24" x14ac:dyDescent="0.2">
      <c r="A24" s="21">
        <v>14</v>
      </c>
      <c r="B24" s="48">
        <v>46279</v>
      </c>
      <c r="C24" s="49">
        <f t="shared" si="0"/>
        <v>0.12345679012345678</v>
      </c>
      <c r="D24" s="42"/>
      <c r="E24" s="49">
        <f>SUM($C$11:C24)</f>
        <v>1.7283950617283956</v>
      </c>
      <c r="F24" s="49">
        <f>SUM($D$11:D24)</f>
        <v>0</v>
      </c>
      <c r="G24" s="50" t="str">
        <f>IF(COUNT($D$11:D24)=0,"",F24/E24)</f>
        <v/>
      </c>
      <c r="H24" s="51" t="str">
        <f t="shared" si="1"/>
        <v/>
      </c>
      <c r="I24" s="45"/>
      <c r="J24" s="52" t="str">
        <f t="shared" si="2"/>
        <v/>
      </c>
      <c r="K24" s="45"/>
      <c r="L24" s="52" t="str">
        <f t="shared" si="3"/>
        <v/>
      </c>
      <c r="M24" s="45"/>
      <c r="N24" s="52" t="str">
        <f t="shared" si="4"/>
        <v/>
      </c>
      <c r="O24" s="45"/>
      <c r="P24" s="52" t="str">
        <f t="shared" si="5"/>
        <v/>
      </c>
      <c r="Q24" s="45"/>
      <c r="R24" s="52" t="str">
        <f t="shared" si="6"/>
        <v/>
      </c>
      <c r="S24" s="45"/>
      <c r="T24" s="52" t="str">
        <f t="shared" si="7"/>
        <v/>
      </c>
      <c r="U24" s="47"/>
      <c r="V24" s="52" t="str">
        <f t="shared" si="8"/>
        <v/>
      </c>
      <c r="W24" s="45"/>
      <c r="X24" s="52" t="str">
        <f t="shared" si="9"/>
        <v/>
      </c>
    </row>
    <row r="25" spans="1:24" x14ac:dyDescent="0.2">
      <c r="A25" s="14">
        <v>15</v>
      </c>
      <c r="B25" s="40">
        <v>46286</v>
      </c>
      <c r="C25" s="41">
        <f t="shared" si="0"/>
        <v>0.12345679012345678</v>
      </c>
      <c r="D25" s="42"/>
      <c r="E25" s="41">
        <f>SUM($C$11:C25)</f>
        <v>1.8518518518518525</v>
      </c>
      <c r="F25" s="41">
        <f>SUM($D$11:D25)</f>
        <v>0</v>
      </c>
      <c r="G25" s="43" t="str">
        <f>IF(COUNT($D$11:D25)=0,"",F25/E25)</f>
        <v/>
      </c>
      <c r="H25" s="44" t="str">
        <f t="shared" si="1"/>
        <v/>
      </c>
      <c r="I25" s="45"/>
      <c r="J25" s="46" t="str">
        <f t="shared" si="2"/>
        <v/>
      </c>
      <c r="K25" s="45"/>
      <c r="L25" s="46" t="str">
        <f t="shared" si="3"/>
        <v/>
      </c>
      <c r="M25" s="45"/>
      <c r="N25" s="46" t="str">
        <f t="shared" si="4"/>
        <v/>
      </c>
      <c r="O25" s="45"/>
      <c r="P25" s="46" t="str">
        <f t="shared" si="5"/>
        <v/>
      </c>
      <c r="Q25" s="45"/>
      <c r="R25" s="46" t="str">
        <f t="shared" si="6"/>
        <v/>
      </c>
      <c r="S25" s="45"/>
      <c r="T25" s="46" t="str">
        <f t="shared" si="7"/>
        <v/>
      </c>
      <c r="U25" s="47"/>
      <c r="V25" s="46" t="str">
        <f t="shared" si="8"/>
        <v/>
      </c>
      <c r="W25" s="45"/>
      <c r="X25" s="46" t="str">
        <f t="shared" si="9"/>
        <v/>
      </c>
    </row>
    <row r="26" spans="1:24" x14ac:dyDescent="0.2">
      <c r="A26" s="21">
        <v>16</v>
      </c>
      <c r="B26" s="48">
        <v>46293</v>
      </c>
      <c r="C26" s="49">
        <f t="shared" si="0"/>
        <v>0.12345679012345678</v>
      </c>
      <c r="D26" s="42"/>
      <c r="E26" s="49">
        <f>SUM($C$11:C26)</f>
        <v>1.9753086419753094</v>
      </c>
      <c r="F26" s="49">
        <f>SUM($D$11:D26)</f>
        <v>0</v>
      </c>
      <c r="G26" s="50" t="str">
        <f>IF(COUNT($D$11:D26)=0,"",F26/E26)</f>
        <v/>
      </c>
      <c r="H26" s="51" t="str">
        <f t="shared" si="1"/>
        <v/>
      </c>
      <c r="I26" s="45"/>
      <c r="J26" s="52" t="str">
        <f t="shared" si="2"/>
        <v/>
      </c>
      <c r="K26" s="45"/>
      <c r="L26" s="52" t="str">
        <f t="shared" si="3"/>
        <v/>
      </c>
      <c r="M26" s="45"/>
      <c r="N26" s="52" t="str">
        <f t="shared" si="4"/>
        <v/>
      </c>
      <c r="O26" s="45"/>
      <c r="P26" s="52" t="str">
        <f t="shared" si="5"/>
        <v/>
      </c>
      <c r="Q26" s="45"/>
      <c r="R26" s="52" t="str">
        <f t="shared" si="6"/>
        <v/>
      </c>
      <c r="S26" s="45"/>
      <c r="T26" s="52" t="str">
        <f t="shared" si="7"/>
        <v/>
      </c>
      <c r="U26" s="47"/>
      <c r="V26" s="52" t="str">
        <f t="shared" si="8"/>
        <v/>
      </c>
      <c r="W26" s="45"/>
      <c r="X26" s="52" t="str">
        <f t="shared" si="9"/>
        <v/>
      </c>
    </row>
    <row r="27" spans="1:24" x14ac:dyDescent="0.2">
      <c r="A27" s="14">
        <v>17</v>
      </c>
      <c r="B27" s="40">
        <v>46300</v>
      </c>
      <c r="C27" s="41">
        <f t="shared" si="0"/>
        <v>0.12345679012345678</v>
      </c>
      <c r="D27" s="42"/>
      <c r="E27" s="41">
        <f>SUM($C$11:C27)</f>
        <v>2.0987654320987663</v>
      </c>
      <c r="F27" s="41">
        <f>SUM($D$11:D27)</f>
        <v>0</v>
      </c>
      <c r="G27" s="43" t="str">
        <f>IF(COUNT($D$11:D27)=0,"",F27/E27)</f>
        <v/>
      </c>
      <c r="H27" s="44" t="str">
        <f t="shared" si="1"/>
        <v/>
      </c>
      <c r="I27" s="45"/>
      <c r="J27" s="46" t="str">
        <f t="shared" si="2"/>
        <v/>
      </c>
      <c r="K27" s="45"/>
      <c r="L27" s="46" t="str">
        <f t="shared" si="3"/>
        <v/>
      </c>
      <c r="M27" s="45"/>
      <c r="N27" s="46" t="str">
        <f t="shared" si="4"/>
        <v/>
      </c>
      <c r="O27" s="45"/>
      <c r="P27" s="46" t="str">
        <f t="shared" si="5"/>
        <v/>
      </c>
      <c r="Q27" s="45"/>
      <c r="R27" s="46" t="str">
        <f t="shared" si="6"/>
        <v/>
      </c>
      <c r="S27" s="45"/>
      <c r="T27" s="46" t="str">
        <f t="shared" si="7"/>
        <v/>
      </c>
      <c r="U27" s="47"/>
      <c r="V27" s="46" t="str">
        <f t="shared" si="8"/>
        <v/>
      </c>
      <c r="W27" s="45"/>
      <c r="X27" s="46" t="str">
        <f t="shared" si="9"/>
        <v/>
      </c>
    </row>
    <row r="28" spans="1:24" x14ac:dyDescent="0.2">
      <c r="A28" s="21">
        <v>18</v>
      </c>
      <c r="B28" s="48">
        <v>46307</v>
      </c>
      <c r="C28" s="49">
        <f t="shared" si="0"/>
        <v>0.12345679012345678</v>
      </c>
      <c r="D28" s="42"/>
      <c r="E28" s="49">
        <f>SUM($C$11:C28)</f>
        <v>2.2222222222222232</v>
      </c>
      <c r="F28" s="49">
        <f>SUM($D$11:D28)</f>
        <v>0</v>
      </c>
      <c r="G28" s="50" t="str">
        <f>IF(COUNT($D$11:D28)=0,"",F28/E28)</f>
        <v/>
      </c>
      <c r="H28" s="51" t="str">
        <f t="shared" si="1"/>
        <v/>
      </c>
      <c r="I28" s="45"/>
      <c r="J28" s="52" t="str">
        <f t="shared" si="2"/>
        <v/>
      </c>
      <c r="K28" s="45"/>
      <c r="L28" s="52" t="str">
        <f t="shared" si="3"/>
        <v/>
      </c>
      <c r="M28" s="45"/>
      <c r="N28" s="52" t="str">
        <f t="shared" si="4"/>
        <v/>
      </c>
      <c r="O28" s="45"/>
      <c r="P28" s="52" t="str">
        <f t="shared" si="5"/>
        <v/>
      </c>
      <c r="Q28" s="45"/>
      <c r="R28" s="52" t="str">
        <f t="shared" si="6"/>
        <v/>
      </c>
      <c r="S28" s="45"/>
      <c r="T28" s="52" t="str">
        <f t="shared" si="7"/>
        <v/>
      </c>
      <c r="U28" s="47"/>
      <c r="V28" s="52" t="str">
        <f t="shared" si="8"/>
        <v/>
      </c>
      <c r="W28" s="45"/>
      <c r="X28" s="52" t="str">
        <f t="shared" si="9"/>
        <v/>
      </c>
    </row>
    <row r="29" spans="1:24" x14ac:dyDescent="0.2">
      <c r="A29" s="14">
        <v>19</v>
      </c>
      <c r="B29" s="40">
        <v>46314</v>
      </c>
      <c r="C29" s="41">
        <f t="shared" si="0"/>
        <v>0.12345679012345678</v>
      </c>
      <c r="D29" s="42"/>
      <c r="E29" s="41">
        <f>SUM($C$11:C29)</f>
        <v>2.3456790123456801</v>
      </c>
      <c r="F29" s="41">
        <f>SUM($D$11:D29)</f>
        <v>0</v>
      </c>
      <c r="G29" s="43" t="str">
        <f>IF(COUNT($D$11:D29)=0,"",F29/E29)</f>
        <v/>
      </c>
      <c r="H29" s="44" t="str">
        <f t="shared" si="1"/>
        <v/>
      </c>
      <c r="I29" s="45"/>
      <c r="J29" s="46" t="str">
        <f t="shared" si="2"/>
        <v/>
      </c>
      <c r="K29" s="45"/>
      <c r="L29" s="46" t="str">
        <f t="shared" si="3"/>
        <v/>
      </c>
      <c r="M29" s="45"/>
      <c r="N29" s="46" t="str">
        <f t="shared" si="4"/>
        <v/>
      </c>
      <c r="O29" s="45"/>
      <c r="P29" s="46" t="str">
        <f t="shared" si="5"/>
        <v/>
      </c>
      <c r="Q29" s="45"/>
      <c r="R29" s="46" t="str">
        <f t="shared" si="6"/>
        <v/>
      </c>
      <c r="S29" s="45"/>
      <c r="T29" s="46" t="str">
        <f t="shared" si="7"/>
        <v/>
      </c>
      <c r="U29" s="47"/>
      <c r="V29" s="46" t="str">
        <f t="shared" si="8"/>
        <v/>
      </c>
      <c r="W29" s="45"/>
      <c r="X29" s="46" t="str">
        <f t="shared" si="9"/>
        <v/>
      </c>
    </row>
    <row r="30" spans="1:24" x14ac:dyDescent="0.2">
      <c r="A30" s="21">
        <v>20</v>
      </c>
      <c r="B30" s="48">
        <v>46321</v>
      </c>
      <c r="C30" s="49">
        <f t="shared" si="0"/>
        <v>0.12345679012345678</v>
      </c>
      <c r="D30" s="42"/>
      <c r="E30" s="49">
        <f>SUM($C$11:C30)</f>
        <v>2.469135802469137</v>
      </c>
      <c r="F30" s="49">
        <f>SUM($D$11:D30)</f>
        <v>0</v>
      </c>
      <c r="G30" s="50" t="str">
        <f>IF(COUNT($D$11:D30)=0,"",F30/E30)</f>
        <v/>
      </c>
      <c r="H30" s="51" t="str">
        <f t="shared" si="1"/>
        <v/>
      </c>
      <c r="I30" s="45"/>
      <c r="J30" s="52" t="str">
        <f t="shared" si="2"/>
        <v/>
      </c>
      <c r="K30" s="45"/>
      <c r="L30" s="52" t="str">
        <f t="shared" si="3"/>
        <v/>
      </c>
      <c r="M30" s="45"/>
      <c r="N30" s="52" t="str">
        <f t="shared" si="4"/>
        <v/>
      </c>
      <c r="O30" s="45"/>
      <c r="P30" s="52" t="str">
        <f t="shared" si="5"/>
        <v/>
      </c>
      <c r="Q30" s="45"/>
      <c r="R30" s="52" t="str">
        <f t="shared" si="6"/>
        <v/>
      </c>
      <c r="S30" s="45"/>
      <c r="T30" s="52" t="str">
        <f t="shared" si="7"/>
        <v/>
      </c>
      <c r="U30" s="47"/>
      <c r="V30" s="52" t="str">
        <f t="shared" si="8"/>
        <v/>
      </c>
      <c r="W30" s="45"/>
      <c r="X30" s="52" t="str">
        <f t="shared" si="9"/>
        <v/>
      </c>
    </row>
    <row r="31" spans="1:24" x14ac:dyDescent="0.2">
      <c r="A31" s="14">
        <v>21</v>
      </c>
      <c r="B31" s="40">
        <v>46328</v>
      </c>
      <c r="C31" s="41">
        <f t="shared" si="0"/>
        <v>0.12345679012345678</v>
      </c>
      <c r="D31" s="42"/>
      <c r="E31" s="41">
        <f>SUM($C$11:C31)</f>
        <v>2.5925925925925939</v>
      </c>
      <c r="F31" s="41">
        <f>SUM($D$11:D31)</f>
        <v>0</v>
      </c>
      <c r="G31" s="43" t="str">
        <f>IF(COUNT($D$11:D31)=0,"",F31/E31)</f>
        <v/>
      </c>
      <c r="H31" s="44" t="str">
        <f t="shared" si="1"/>
        <v/>
      </c>
      <c r="I31" s="45"/>
      <c r="J31" s="46" t="str">
        <f t="shared" si="2"/>
        <v/>
      </c>
      <c r="K31" s="45"/>
      <c r="L31" s="46" t="str">
        <f t="shared" si="3"/>
        <v/>
      </c>
      <c r="M31" s="45"/>
      <c r="N31" s="46" t="str">
        <f t="shared" si="4"/>
        <v/>
      </c>
      <c r="O31" s="45"/>
      <c r="P31" s="46" t="str">
        <f t="shared" si="5"/>
        <v/>
      </c>
      <c r="Q31" s="45"/>
      <c r="R31" s="46" t="str">
        <f t="shared" si="6"/>
        <v/>
      </c>
      <c r="S31" s="45"/>
      <c r="T31" s="46" t="str">
        <f t="shared" si="7"/>
        <v/>
      </c>
      <c r="U31" s="47"/>
      <c r="V31" s="46" t="str">
        <f t="shared" si="8"/>
        <v/>
      </c>
      <c r="W31" s="45"/>
      <c r="X31" s="46" t="str">
        <f t="shared" si="9"/>
        <v/>
      </c>
    </row>
    <row r="32" spans="1:24" x14ac:dyDescent="0.2">
      <c r="A32" s="21">
        <v>22</v>
      </c>
      <c r="B32" s="48">
        <v>46335</v>
      </c>
      <c r="C32" s="49">
        <f t="shared" si="0"/>
        <v>0.12345679012345678</v>
      </c>
      <c r="D32" s="42"/>
      <c r="E32" s="49">
        <f>SUM($C$11:C32)</f>
        <v>2.7160493827160508</v>
      </c>
      <c r="F32" s="49">
        <f>SUM($D$11:D32)</f>
        <v>0</v>
      </c>
      <c r="G32" s="50" t="str">
        <f>IF(COUNT($D$11:D32)=0,"",F32/E32)</f>
        <v/>
      </c>
      <c r="H32" s="51" t="str">
        <f t="shared" si="1"/>
        <v/>
      </c>
      <c r="I32" s="45"/>
      <c r="J32" s="52" t="str">
        <f t="shared" si="2"/>
        <v/>
      </c>
      <c r="K32" s="45"/>
      <c r="L32" s="52" t="str">
        <f t="shared" si="3"/>
        <v/>
      </c>
      <c r="M32" s="45"/>
      <c r="N32" s="52" t="str">
        <f t="shared" si="4"/>
        <v/>
      </c>
      <c r="O32" s="45"/>
      <c r="P32" s="52" t="str">
        <f t="shared" si="5"/>
        <v/>
      </c>
      <c r="Q32" s="45"/>
      <c r="R32" s="52" t="str">
        <f t="shared" si="6"/>
        <v/>
      </c>
      <c r="S32" s="45"/>
      <c r="T32" s="52" t="str">
        <f t="shared" si="7"/>
        <v/>
      </c>
      <c r="U32" s="47"/>
      <c r="V32" s="52" t="str">
        <f t="shared" si="8"/>
        <v/>
      </c>
      <c r="W32" s="45"/>
      <c r="X32" s="52" t="str">
        <f t="shared" si="9"/>
        <v/>
      </c>
    </row>
    <row r="33" spans="1:24" x14ac:dyDescent="0.2">
      <c r="A33" s="14">
        <v>23</v>
      </c>
      <c r="B33" s="40">
        <v>46342</v>
      </c>
      <c r="C33" s="41">
        <f t="shared" si="0"/>
        <v>0.12345679012345678</v>
      </c>
      <c r="D33" s="42"/>
      <c r="E33" s="41">
        <f>SUM($C$11:C33)</f>
        <v>2.8395061728395077</v>
      </c>
      <c r="F33" s="41">
        <f>SUM($D$11:D33)</f>
        <v>0</v>
      </c>
      <c r="G33" s="43" t="str">
        <f>IF(COUNT($D$11:D33)=0,"",F33/E33)</f>
        <v/>
      </c>
      <c r="H33" s="44" t="str">
        <f t="shared" si="1"/>
        <v/>
      </c>
      <c r="I33" s="45"/>
      <c r="J33" s="46" t="str">
        <f t="shared" si="2"/>
        <v/>
      </c>
      <c r="K33" s="45"/>
      <c r="L33" s="46" t="str">
        <f t="shared" si="3"/>
        <v/>
      </c>
      <c r="M33" s="45"/>
      <c r="N33" s="46" t="str">
        <f t="shared" si="4"/>
        <v/>
      </c>
      <c r="O33" s="45"/>
      <c r="P33" s="46" t="str">
        <f t="shared" si="5"/>
        <v/>
      </c>
      <c r="Q33" s="45"/>
      <c r="R33" s="46" t="str">
        <f t="shared" si="6"/>
        <v/>
      </c>
      <c r="S33" s="45"/>
      <c r="T33" s="46" t="str">
        <f t="shared" si="7"/>
        <v/>
      </c>
      <c r="U33" s="47"/>
      <c r="V33" s="46" t="str">
        <f t="shared" si="8"/>
        <v/>
      </c>
      <c r="W33" s="45"/>
      <c r="X33" s="46" t="str">
        <f t="shared" si="9"/>
        <v/>
      </c>
    </row>
    <row r="34" spans="1:24" x14ac:dyDescent="0.2">
      <c r="A34" s="21">
        <v>24</v>
      </c>
      <c r="B34" s="48">
        <v>46349</v>
      </c>
      <c r="C34" s="49">
        <f t="shared" si="0"/>
        <v>0.12345679012345678</v>
      </c>
      <c r="D34" s="42"/>
      <c r="E34" s="49">
        <f>SUM($C$11:C34)</f>
        <v>2.9629629629629646</v>
      </c>
      <c r="F34" s="49">
        <f>SUM($D$11:D34)</f>
        <v>0</v>
      </c>
      <c r="G34" s="50" t="str">
        <f>IF(COUNT($D$11:D34)=0,"",F34/E34)</f>
        <v/>
      </c>
      <c r="H34" s="51" t="str">
        <f t="shared" si="1"/>
        <v/>
      </c>
      <c r="I34" s="45"/>
      <c r="J34" s="52" t="str">
        <f t="shared" si="2"/>
        <v/>
      </c>
      <c r="K34" s="45"/>
      <c r="L34" s="52" t="str">
        <f t="shared" si="3"/>
        <v/>
      </c>
      <c r="M34" s="45"/>
      <c r="N34" s="52" t="str">
        <f t="shared" si="4"/>
        <v/>
      </c>
      <c r="O34" s="45"/>
      <c r="P34" s="52" t="str">
        <f t="shared" si="5"/>
        <v/>
      </c>
      <c r="Q34" s="45"/>
      <c r="R34" s="52" t="str">
        <f t="shared" si="6"/>
        <v/>
      </c>
      <c r="S34" s="45"/>
      <c r="T34" s="52" t="str">
        <f t="shared" si="7"/>
        <v/>
      </c>
      <c r="U34" s="47"/>
      <c r="V34" s="52" t="str">
        <f t="shared" si="8"/>
        <v/>
      </c>
      <c r="W34" s="45"/>
      <c r="X34" s="52" t="str">
        <f t="shared" si="9"/>
        <v/>
      </c>
    </row>
    <row r="35" spans="1:24" x14ac:dyDescent="0.2">
      <c r="A35" s="14">
        <v>25</v>
      </c>
      <c r="B35" s="40">
        <v>46356</v>
      </c>
      <c r="C35" s="41">
        <f t="shared" si="0"/>
        <v>0.12345679012345678</v>
      </c>
      <c r="D35" s="42"/>
      <c r="E35" s="41">
        <f>SUM($C$11:C35)</f>
        <v>3.0864197530864215</v>
      </c>
      <c r="F35" s="41">
        <f>SUM($D$11:D35)</f>
        <v>0</v>
      </c>
      <c r="G35" s="43" t="str">
        <f>IF(COUNT($D$11:D35)=0,"",F35/E35)</f>
        <v/>
      </c>
      <c r="H35" s="44" t="str">
        <f t="shared" si="1"/>
        <v/>
      </c>
      <c r="I35" s="45"/>
      <c r="J35" s="46" t="str">
        <f t="shared" si="2"/>
        <v/>
      </c>
      <c r="K35" s="45"/>
      <c r="L35" s="46" t="str">
        <f t="shared" si="3"/>
        <v/>
      </c>
      <c r="M35" s="45"/>
      <c r="N35" s="46" t="str">
        <f t="shared" si="4"/>
        <v/>
      </c>
      <c r="O35" s="45"/>
      <c r="P35" s="46" t="str">
        <f t="shared" si="5"/>
        <v/>
      </c>
      <c r="Q35" s="45"/>
      <c r="R35" s="46" t="str">
        <f t="shared" si="6"/>
        <v/>
      </c>
      <c r="S35" s="45"/>
      <c r="T35" s="46" t="str">
        <f t="shared" si="7"/>
        <v/>
      </c>
      <c r="U35" s="47"/>
      <c r="V35" s="46" t="str">
        <f t="shared" si="8"/>
        <v/>
      </c>
      <c r="W35" s="45"/>
      <c r="X35" s="46" t="str">
        <f t="shared" si="9"/>
        <v/>
      </c>
    </row>
    <row r="36" spans="1:24" x14ac:dyDescent="0.2">
      <c r="A36" s="21">
        <v>26</v>
      </c>
      <c r="B36" s="48">
        <v>46363</v>
      </c>
      <c r="C36" s="49">
        <f t="shared" si="0"/>
        <v>0.12345679012345678</v>
      </c>
      <c r="D36" s="42"/>
      <c r="E36" s="49">
        <f>SUM($C$11:C36)</f>
        <v>3.2098765432098784</v>
      </c>
      <c r="F36" s="49">
        <f>SUM($D$11:D36)</f>
        <v>0</v>
      </c>
      <c r="G36" s="50" t="str">
        <f>IF(COUNT($D$11:D36)=0,"",F36/E36)</f>
        <v/>
      </c>
      <c r="H36" s="51" t="str">
        <f t="shared" si="1"/>
        <v/>
      </c>
      <c r="I36" s="45"/>
      <c r="J36" s="52" t="str">
        <f t="shared" si="2"/>
        <v/>
      </c>
      <c r="K36" s="45"/>
      <c r="L36" s="52" t="str">
        <f t="shared" si="3"/>
        <v/>
      </c>
      <c r="M36" s="45"/>
      <c r="N36" s="52" t="str">
        <f t="shared" si="4"/>
        <v/>
      </c>
      <c r="O36" s="45"/>
      <c r="P36" s="52" t="str">
        <f t="shared" si="5"/>
        <v/>
      </c>
      <c r="Q36" s="45"/>
      <c r="R36" s="52" t="str">
        <f t="shared" si="6"/>
        <v/>
      </c>
      <c r="S36" s="45"/>
      <c r="T36" s="52" t="str">
        <f t="shared" si="7"/>
        <v/>
      </c>
      <c r="U36" s="47"/>
      <c r="V36" s="52" t="str">
        <f t="shared" si="8"/>
        <v/>
      </c>
      <c r="W36" s="45"/>
      <c r="X36" s="52" t="str">
        <f t="shared" si="9"/>
        <v/>
      </c>
    </row>
    <row r="37" spans="1:24" x14ac:dyDescent="0.2">
      <c r="A37" s="14">
        <v>27</v>
      </c>
      <c r="B37" s="40">
        <v>46370</v>
      </c>
      <c r="C37" s="41">
        <f t="shared" si="0"/>
        <v>0.12345679012345678</v>
      </c>
      <c r="D37" s="42"/>
      <c r="E37" s="41">
        <f>SUM($C$11:C37)</f>
        <v>3.3333333333333353</v>
      </c>
      <c r="F37" s="41">
        <f>SUM($D$11:D37)</f>
        <v>0</v>
      </c>
      <c r="G37" s="43" t="str">
        <f>IF(COUNT($D$11:D37)=0,"",F37/E37)</f>
        <v/>
      </c>
      <c r="H37" s="44" t="str">
        <f t="shared" si="1"/>
        <v/>
      </c>
      <c r="I37" s="45"/>
      <c r="J37" s="46" t="str">
        <f t="shared" si="2"/>
        <v/>
      </c>
      <c r="K37" s="45"/>
      <c r="L37" s="46" t="str">
        <f t="shared" si="3"/>
        <v/>
      </c>
      <c r="M37" s="45"/>
      <c r="N37" s="46" t="str">
        <f t="shared" si="4"/>
        <v/>
      </c>
      <c r="O37" s="45"/>
      <c r="P37" s="46" t="str">
        <f t="shared" si="5"/>
        <v/>
      </c>
      <c r="Q37" s="45"/>
      <c r="R37" s="46" t="str">
        <f t="shared" si="6"/>
        <v/>
      </c>
      <c r="S37" s="45"/>
      <c r="T37" s="46" t="str">
        <f t="shared" si="7"/>
        <v/>
      </c>
      <c r="U37" s="47"/>
      <c r="V37" s="46" t="str">
        <f t="shared" si="8"/>
        <v/>
      </c>
      <c r="W37" s="45"/>
      <c r="X37" s="46" t="str">
        <f t="shared" si="9"/>
        <v/>
      </c>
    </row>
    <row r="38" spans="1:24" x14ac:dyDescent="0.2">
      <c r="A38" s="21">
        <v>28</v>
      </c>
      <c r="B38" s="48">
        <v>46377</v>
      </c>
      <c r="C38" s="49">
        <f t="shared" si="0"/>
        <v>0.12345679012345678</v>
      </c>
      <c r="D38" s="42"/>
      <c r="E38" s="49">
        <f>SUM($C$11:C38)</f>
        <v>3.4567901234567922</v>
      </c>
      <c r="F38" s="49">
        <f>SUM($D$11:D38)</f>
        <v>0</v>
      </c>
      <c r="G38" s="50" t="str">
        <f>IF(COUNT($D$11:D38)=0,"",F38/E38)</f>
        <v/>
      </c>
      <c r="H38" s="51" t="str">
        <f t="shared" si="1"/>
        <v/>
      </c>
      <c r="I38" s="45"/>
      <c r="J38" s="52" t="str">
        <f t="shared" si="2"/>
        <v/>
      </c>
      <c r="K38" s="45"/>
      <c r="L38" s="52" t="str">
        <f t="shared" si="3"/>
        <v/>
      </c>
      <c r="M38" s="45"/>
      <c r="N38" s="52" t="str">
        <f t="shared" si="4"/>
        <v/>
      </c>
      <c r="O38" s="45"/>
      <c r="P38" s="52" t="str">
        <f t="shared" si="5"/>
        <v/>
      </c>
      <c r="Q38" s="45"/>
      <c r="R38" s="52" t="str">
        <f t="shared" si="6"/>
        <v/>
      </c>
      <c r="S38" s="45"/>
      <c r="T38" s="52" t="str">
        <f t="shared" si="7"/>
        <v/>
      </c>
      <c r="U38" s="47"/>
      <c r="V38" s="52" t="str">
        <f t="shared" si="8"/>
        <v/>
      </c>
      <c r="W38" s="45"/>
      <c r="X38" s="52" t="str">
        <f t="shared" si="9"/>
        <v/>
      </c>
    </row>
    <row r="39" spans="1:24" x14ac:dyDescent="0.2">
      <c r="A39" s="14">
        <v>29</v>
      </c>
      <c r="B39" s="40">
        <v>46384</v>
      </c>
      <c r="C39" s="41">
        <f t="shared" si="0"/>
        <v>0.12345679012345678</v>
      </c>
      <c r="D39" s="42"/>
      <c r="E39" s="41">
        <f>SUM($C$11:C39)</f>
        <v>3.580246913580249</v>
      </c>
      <c r="F39" s="41">
        <f>SUM($D$11:D39)</f>
        <v>0</v>
      </c>
      <c r="G39" s="43" t="str">
        <f>IF(COUNT($D$11:D39)=0,"",F39/E39)</f>
        <v/>
      </c>
      <c r="H39" s="44" t="str">
        <f t="shared" si="1"/>
        <v/>
      </c>
      <c r="I39" s="45"/>
      <c r="J39" s="46" t="str">
        <f t="shared" si="2"/>
        <v/>
      </c>
      <c r="K39" s="45"/>
      <c r="L39" s="46" t="str">
        <f t="shared" si="3"/>
        <v/>
      </c>
      <c r="M39" s="45"/>
      <c r="N39" s="46" t="str">
        <f t="shared" si="4"/>
        <v/>
      </c>
      <c r="O39" s="45"/>
      <c r="P39" s="46" t="str">
        <f t="shared" si="5"/>
        <v/>
      </c>
      <c r="Q39" s="45"/>
      <c r="R39" s="46" t="str">
        <f t="shared" si="6"/>
        <v/>
      </c>
      <c r="S39" s="45"/>
      <c r="T39" s="46" t="str">
        <f t="shared" si="7"/>
        <v/>
      </c>
      <c r="U39" s="47"/>
      <c r="V39" s="46" t="str">
        <f t="shared" si="8"/>
        <v/>
      </c>
      <c r="W39" s="45"/>
      <c r="X39" s="46" t="str">
        <f t="shared" si="9"/>
        <v/>
      </c>
    </row>
    <row r="40" spans="1:24" x14ac:dyDescent="0.2">
      <c r="A40" s="21">
        <v>30</v>
      </c>
      <c r="B40" s="48">
        <v>46391</v>
      </c>
      <c r="C40" s="49">
        <f t="shared" si="0"/>
        <v>0.12345679012345678</v>
      </c>
      <c r="D40" s="42"/>
      <c r="E40" s="49">
        <f>SUM($C$11:C40)</f>
        <v>3.7037037037037059</v>
      </c>
      <c r="F40" s="49">
        <f>SUM($D$11:D40)</f>
        <v>0</v>
      </c>
      <c r="G40" s="50" t="str">
        <f>IF(COUNT($D$11:D40)=0,"",F40/E40)</f>
        <v/>
      </c>
      <c r="H40" s="51" t="str">
        <f t="shared" si="1"/>
        <v/>
      </c>
      <c r="I40" s="45"/>
      <c r="J40" s="52" t="str">
        <f t="shared" si="2"/>
        <v/>
      </c>
      <c r="K40" s="45"/>
      <c r="L40" s="52" t="str">
        <f t="shared" si="3"/>
        <v/>
      </c>
      <c r="M40" s="45"/>
      <c r="N40" s="52" t="str">
        <f t="shared" si="4"/>
        <v/>
      </c>
      <c r="O40" s="45"/>
      <c r="P40" s="52" t="str">
        <f t="shared" si="5"/>
        <v/>
      </c>
      <c r="Q40" s="45"/>
      <c r="R40" s="52" t="str">
        <f t="shared" si="6"/>
        <v/>
      </c>
      <c r="S40" s="45"/>
      <c r="T40" s="52" t="str">
        <f t="shared" si="7"/>
        <v/>
      </c>
      <c r="U40" s="47"/>
      <c r="V40" s="52" t="str">
        <f t="shared" si="8"/>
        <v/>
      </c>
      <c r="W40" s="45"/>
      <c r="X40" s="52" t="str">
        <f t="shared" si="9"/>
        <v/>
      </c>
    </row>
    <row r="41" spans="1:24" x14ac:dyDescent="0.2">
      <c r="A41" s="14">
        <v>31</v>
      </c>
      <c r="B41" s="40">
        <v>46398</v>
      </c>
      <c r="C41" s="41">
        <f t="shared" si="0"/>
        <v>0.12345679012345678</v>
      </c>
      <c r="D41" s="42"/>
      <c r="E41" s="41">
        <f>SUM($C$11:C41)</f>
        <v>3.8271604938271628</v>
      </c>
      <c r="F41" s="41">
        <f>SUM($D$11:D41)</f>
        <v>0</v>
      </c>
      <c r="G41" s="43" t="str">
        <f>IF(COUNT($D$11:D41)=0,"",F41/E41)</f>
        <v/>
      </c>
      <c r="H41" s="44" t="str">
        <f t="shared" si="1"/>
        <v/>
      </c>
      <c r="I41" s="45"/>
      <c r="J41" s="46" t="str">
        <f t="shared" si="2"/>
        <v/>
      </c>
      <c r="K41" s="45"/>
      <c r="L41" s="46" t="str">
        <f t="shared" si="3"/>
        <v/>
      </c>
      <c r="M41" s="45"/>
      <c r="N41" s="46" t="str">
        <f t="shared" si="4"/>
        <v/>
      </c>
      <c r="O41" s="45"/>
      <c r="P41" s="46" t="str">
        <f t="shared" si="5"/>
        <v/>
      </c>
      <c r="Q41" s="45"/>
      <c r="R41" s="46" t="str">
        <f t="shared" si="6"/>
        <v/>
      </c>
      <c r="S41" s="45"/>
      <c r="T41" s="46" t="str">
        <f t="shared" si="7"/>
        <v/>
      </c>
      <c r="U41" s="47"/>
      <c r="V41" s="46" t="str">
        <f t="shared" si="8"/>
        <v/>
      </c>
      <c r="W41" s="45"/>
      <c r="X41" s="46" t="str">
        <f t="shared" si="9"/>
        <v/>
      </c>
    </row>
    <row r="42" spans="1:24" x14ac:dyDescent="0.2">
      <c r="A42" s="21">
        <v>32</v>
      </c>
      <c r="B42" s="48">
        <v>46405</v>
      </c>
      <c r="C42" s="49">
        <f t="shared" si="0"/>
        <v>0.12345679012345678</v>
      </c>
      <c r="D42" s="42"/>
      <c r="E42" s="49">
        <f>SUM($C$11:C42)</f>
        <v>3.9506172839506197</v>
      </c>
      <c r="F42" s="49">
        <f>SUM($D$11:D42)</f>
        <v>0</v>
      </c>
      <c r="G42" s="50" t="str">
        <f>IF(COUNT($D$11:D42)=0,"",F42/E42)</f>
        <v/>
      </c>
      <c r="H42" s="51" t="str">
        <f t="shared" si="1"/>
        <v/>
      </c>
      <c r="I42" s="45"/>
      <c r="J42" s="52" t="str">
        <f t="shared" si="2"/>
        <v/>
      </c>
      <c r="K42" s="45"/>
      <c r="L42" s="52" t="str">
        <f t="shared" si="3"/>
        <v/>
      </c>
      <c r="M42" s="45"/>
      <c r="N42" s="52" t="str">
        <f t="shared" si="4"/>
        <v/>
      </c>
      <c r="O42" s="45"/>
      <c r="P42" s="52" t="str">
        <f t="shared" si="5"/>
        <v/>
      </c>
      <c r="Q42" s="45"/>
      <c r="R42" s="52" t="str">
        <f t="shared" si="6"/>
        <v/>
      </c>
      <c r="S42" s="45"/>
      <c r="T42" s="52" t="str">
        <f t="shared" si="7"/>
        <v/>
      </c>
      <c r="U42" s="47"/>
      <c r="V42" s="52" t="str">
        <f t="shared" si="8"/>
        <v/>
      </c>
      <c r="W42" s="45"/>
      <c r="X42" s="52" t="str">
        <f t="shared" si="9"/>
        <v/>
      </c>
    </row>
    <row r="43" spans="1:24" x14ac:dyDescent="0.2">
      <c r="A43" s="14">
        <v>33</v>
      </c>
      <c r="B43" s="40">
        <v>46412</v>
      </c>
      <c r="C43" s="41">
        <f t="shared" ref="C43:C74" si="10">$B$5/$B$8</f>
        <v>0.12345679012345678</v>
      </c>
      <c r="D43" s="42"/>
      <c r="E43" s="41">
        <f>SUM($C$11:C43)</f>
        <v>4.0740740740740762</v>
      </c>
      <c r="F43" s="41">
        <f>SUM($D$11:D43)</f>
        <v>0</v>
      </c>
      <c r="G43" s="43" t="str">
        <f>IF(COUNT($D$11:D43)=0,"",F43/E43)</f>
        <v/>
      </c>
      <c r="H43" s="44" t="str">
        <f t="shared" ref="H43:H74" si="11">IF(G43="","",IF(G43&gt;=0.95,"En meta",IF(G43&gt;=0.8,"Riesgo","Atrasado")))</f>
        <v/>
      </c>
      <c r="I43" s="45"/>
      <c r="J43" s="46" t="str">
        <f t="shared" ref="J43:J74" si="12">IF(I43="","",IF($I$9="","",IF($I$9=0,"",I43/$I$9)))</f>
        <v/>
      </c>
      <c r="K43" s="45"/>
      <c r="L43" s="46" t="str">
        <f t="shared" ref="L43:L74" si="13">IF(K43="","",IF($K$9="","",IF($K$9=0,"",K43/$K$9)))</f>
        <v/>
      </c>
      <c r="M43" s="45"/>
      <c r="N43" s="46" t="str">
        <f t="shared" ref="N43:N74" si="14">IF(M43="","",IF($M$9="","",IF($M$9=0,"",M43/$M$9)))</f>
        <v/>
      </c>
      <c r="O43" s="45"/>
      <c r="P43" s="46" t="str">
        <f t="shared" ref="P43:P74" si="15">IF(O43="","",IF($O$9="","",IF($O$9=0,"",O43/$O$9)))</f>
        <v/>
      </c>
      <c r="Q43" s="45"/>
      <c r="R43" s="46" t="str">
        <f t="shared" ref="R43:R74" si="16">IF(Q43="","",IF($Q$9="","",IF($Q$9=0,"",Q43/$Q$9)))</f>
        <v/>
      </c>
      <c r="S43" s="45"/>
      <c r="T43" s="46" t="str">
        <f t="shared" ref="T43:T74" si="17">IF(S43="","",IF($S$9="","",IF($S$9=0,"",S43/$S$9)))</f>
        <v/>
      </c>
      <c r="U43" s="47"/>
      <c r="V43" s="46" t="str">
        <f t="shared" ref="V43:V74" si="18">IF(U43="","",IF($U$9="","",IF($U$9=0,"",U43/$U$9)))</f>
        <v/>
      </c>
      <c r="W43" s="45"/>
      <c r="X43" s="46" t="str">
        <f t="shared" ref="X43:X74" si="19">IF(W43="","",IF($W$9="","",IF($W$9=0,"",W43/$W$9)))</f>
        <v/>
      </c>
    </row>
    <row r="44" spans="1:24" x14ac:dyDescent="0.2">
      <c r="A44" s="21">
        <v>34</v>
      </c>
      <c r="B44" s="48">
        <v>46419</v>
      </c>
      <c r="C44" s="49">
        <f t="shared" si="10"/>
        <v>0.12345679012345678</v>
      </c>
      <c r="D44" s="42"/>
      <c r="E44" s="49">
        <f>SUM($C$11:C44)</f>
        <v>4.1975308641975326</v>
      </c>
      <c r="F44" s="49">
        <f>SUM($D$11:D44)</f>
        <v>0</v>
      </c>
      <c r="G44" s="50" t="str">
        <f>IF(COUNT($D$11:D44)=0,"",F44/E44)</f>
        <v/>
      </c>
      <c r="H44" s="51" t="str">
        <f t="shared" si="11"/>
        <v/>
      </c>
      <c r="I44" s="45"/>
      <c r="J44" s="52" t="str">
        <f t="shared" si="12"/>
        <v/>
      </c>
      <c r="K44" s="45"/>
      <c r="L44" s="52" t="str">
        <f t="shared" si="13"/>
        <v/>
      </c>
      <c r="M44" s="45"/>
      <c r="N44" s="52" t="str">
        <f t="shared" si="14"/>
        <v/>
      </c>
      <c r="O44" s="45"/>
      <c r="P44" s="52" t="str">
        <f t="shared" si="15"/>
        <v/>
      </c>
      <c r="Q44" s="45"/>
      <c r="R44" s="52" t="str">
        <f t="shared" si="16"/>
        <v/>
      </c>
      <c r="S44" s="45"/>
      <c r="T44" s="52" t="str">
        <f t="shared" si="17"/>
        <v/>
      </c>
      <c r="U44" s="47"/>
      <c r="V44" s="52" t="str">
        <f t="shared" si="18"/>
        <v/>
      </c>
      <c r="W44" s="45"/>
      <c r="X44" s="52" t="str">
        <f t="shared" si="19"/>
        <v/>
      </c>
    </row>
    <row r="45" spans="1:24" x14ac:dyDescent="0.2">
      <c r="A45" s="14">
        <v>35</v>
      </c>
      <c r="B45" s="40">
        <v>46426</v>
      </c>
      <c r="C45" s="41">
        <f t="shared" si="10"/>
        <v>0.12345679012345678</v>
      </c>
      <c r="D45" s="42"/>
      <c r="E45" s="41">
        <f>SUM($C$11:C45)</f>
        <v>4.3209876543209891</v>
      </c>
      <c r="F45" s="41">
        <f>SUM($D$11:D45)</f>
        <v>0</v>
      </c>
      <c r="G45" s="43" t="str">
        <f>IF(COUNT($D$11:D45)=0,"",F45/E45)</f>
        <v/>
      </c>
      <c r="H45" s="44" t="str">
        <f t="shared" si="11"/>
        <v/>
      </c>
      <c r="I45" s="45"/>
      <c r="J45" s="46" t="str">
        <f t="shared" si="12"/>
        <v/>
      </c>
      <c r="K45" s="45"/>
      <c r="L45" s="46" t="str">
        <f t="shared" si="13"/>
        <v/>
      </c>
      <c r="M45" s="45"/>
      <c r="N45" s="46" t="str">
        <f t="shared" si="14"/>
        <v/>
      </c>
      <c r="O45" s="45"/>
      <c r="P45" s="46" t="str">
        <f t="shared" si="15"/>
        <v/>
      </c>
      <c r="Q45" s="45"/>
      <c r="R45" s="46" t="str">
        <f t="shared" si="16"/>
        <v/>
      </c>
      <c r="S45" s="45"/>
      <c r="T45" s="46" t="str">
        <f t="shared" si="17"/>
        <v/>
      </c>
      <c r="U45" s="47"/>
      <c r="V45" s="46" t="str">
        <f t="shared" si="18"/>
        <v/>
      </c>
      <c r="W45" s="45"/>
      <c r="X45" s="46" t="str">
        <f t="shared" si="19"/>
        <v/>
      </c>
    </row>
    <row r="46" spans="1:24" x14ac:dyDescent="0.2">
      <c r="A46" s="21">
        <v>36</v>
      </c>
      <c r="B46" s="48">
        <v>46433</v>
      </c>
      <c r="C46" s="49">
        <f t="shared" si="10"/>
        <v>0.12345679012345678</v>
      </c>
      <c r="D46" s="42"/>
      <c r="E46" s="49">
        <f>SUM($C$11:C46)</f>
        <v>4.4444444444444455</v>
      </c>
      <c r="F46" s="49">
        <f>SUM($D$11:D46)</f>
        <v>0</v>
      </c>
      <c r="G46" s="50" t="str">
        <f>IF(COUNT($D$11:D46)=0,"",F46/E46)</f>
        <v/>
      </c>
      <c r="H46" s="51" t="str">
        <f t="shared" si="11"/>
        <v/>
      </c>
      <c r="I46" s="45"/>
      <c r="J46" s="52" t="str">
        <f t="shared" si="12"/>
        <v/>
      </c>
      <c r="K46" s="45"/>
      <c r="L46" s="52" t="str">
        <f t="shared" si="13"/>
        <v/>
      </c>
      <c r="M46" s="45"/>
      <c r="N46" s="52" t="str">
        <f t="shared" si="14"/>
        <v/>
      </c>
      <c r="O46" s="45"/>
      <c r="P46" s="52" t="str">
        <f t="shared" si="15"/>
        <v/>
      </c>
      <c r="Q46" s="45"/>
      <c r="R46" s="52" t="str">
        <f t="shared" si="16"/>
        <v/>
      </c>
      <c r="S46" s="45"/>
      <c r="T46" s="52" t="str">
        <f t="shared" si="17"/>
        <v/>
      </c>
      <c r="U46" s="47"/>
      <c r="V46" s="52" t="str">
        <f t="shared" si="18"/>
        <v/>
      </c>
      <c r="W46" s="45"/>
      <c r="X46" s="52" t="str">
        <f t="shared" si="19"/>
        <v/>
      </c>
    </row>
    <row r="47" spans="1:24" x14ac:dyDescent="0.2">
      <c r="A47" s="14">
        <v>37</v>
      </c>
      <c r="B47" s="40">
        <v>46440</v>
      </c>
      <c r="C47" s="41">
        <f t="shared" si="10"/>
        <v>0.12345679012345678</v>
      </c>
      <c r="D47" s="42"/>
      <c r="E47" s="41">
        <f>SUM($C$11:C47)</f>
        <v>4.567901234567902</v>
      </c>
      <c r="F47" s="41">
        <f>SUM($D$11:D47)</f>
        <v>0</v>
      </c>
      <c r="G47" s="43" t="str">
        <f>IF(COUNT($D$11:D47)=0,"",F47/E47)</f>
        <v/>
      </c>
      <c r="H47" s="44" t="str">
        <f t="shared" si="11"/>
        <v/>
      </c>
      <c r="I47" s="45"/>
      <c r="J47" s="46" t="str">
        <f t="shared" si="12"/>
        <v/>
      </c>
      <c r="K47" s="45"/>
      <c r="L47" s="46" t="str">
        <f t="shared" si="13"/>
        <v/>
      </c>
      <c r="M47" s="45"/>
      <c r="N47" s="46" t="str">
        <f t="shared" si="14"/>
        <v/>
      </c>
      <c r="O47" s="45"/>
      <c r="P47" s="46" t="str">
        <f t="shared" si="15"/>
        <v/>
      </c>
      <c r="Q47" s="45"/>
      <c r="R47" s="46" t="str">
        <f t="shared" si="16"/>
        <v/>
      </c>
      <c r="S47" s="45"/>
      <c r="T47" s="46" t="str">
        <f t="shared" si="17"/>
        <v/>
      </c>
      <c r="U47" s="47"/>
      <c r="V47" s="46" t="str">
        <f t="shared" si="18"/>
        <v/>
      </c>
      <c r="W47" s="45"/>
      <c r="X47" s="46" t="str">
        <f t="shared" si="19"/>
        <v/>
      </c>
    </row>
    <row r="48" spans="1:24" x14ac:dyDescent="0.2">
      <c r="A48" s="21">
        <v>38</v>
      </c>
      <c r="B48" s="48">
        <v>46447</v>
      </c>
      <c r="C48" s="49">
        <f t="shared" si="10"/>
        <v>0.12345679012345678</v>
      </c>
      <c r="D48" s="42"/>
      <c r="E48" s="49">
        <f>SUM($C$11:C48)</f>
        <v>4.6913580246913584</v>
      </c>
      <c r="F48" s="49">
        <f>SUM($D$11:D48)</f>
        <v>0</v>
      </c>
      <c r="G48" s="50" t="str">
        <f>IF(COUNT($D$11:D48)=0,"",F48/E48)</f>
        <v/>
      </c>
      <c r="H48" s="51" t="str">
        <f t="shared" si="11"/>
        <v/>
      </c>
      <c r="I48" s="45"/>
      <c r="J48" s="52" t="str">
        <f t="shared" si="12"/>
        <v/>
      </c>
      <c r="K48" s="45"/>
      <c r="L48" s="52" t="str">
        <f t="shared" si="13"/>
        <v/>
      </c>
      <c r="M48" s="45"/>
      <c r="N48" s="52" t="str">
        <f t="shared" si="14"/>
        <v/>
      </c>
      <c r="O48" s="45"/>
      <c r="P48" s="52" t="str">
        <f t="shared" si="15"/>
        <v/>
      </c>
      <c r="Q48" s="45"/>
      <c r="R48" s="52" t="str">
        <f t="shared" si="16"/>
        <v/>
      </c>
      <c r="S48" s="45"/>
      <c r="T48" s="52" t="str">
        <f t="shared" si="17"/>
        <v/>
      </c>
      <c r="U48" s="47"/>
      <c r="V48" s="52" t="str">
        <f t="shared" si="18"/>
        <v/>
      </c>
      <c r="W48" s="45"/>
      <c r="X48" s="52" t="str">
        <f t="shared" si="19"/>
        <v/>
      </c>
    </row>
    <row r="49" spans="1:24" x14ac:dyDescent="0.2">
      <c r="A49" s="14">
        <v>39</v>
      </c>
      <c r="B49" s="40">
        <v>46454</v>
      </c>
      <c r="C49" s="41">
        <f t="shared" si="10"/>
        <v>0.12345679012345678</v>
      </c>
      <c r="D49" s="42"/>
      <c r="E49" s="41">
        <f>SUM($C$11:C49)</f>
        <v>4.8148148148148149</v>
      </c>
      <c r="F49" s="41">
        <f>SUM($D$11:D49)</f>
        <v>0</v>
      </c>
      <c r="G49" s="43" t="str">
        <f>IF(COUNT($D$11:D49)=0,"",F49/E49)</f>
        <v/>
      </c>
      <c r="H49" s="44" t="str">
        <f t="shared" si="11"/>
        <v/>
      </c>
      <c r="I49" s="45"/>
      <c r="J49" s="46" t="str">
        <f t="shared" si="12"/>
        <v/>
      </c>
      <c r="K49" s="45"/>
      <c r="L49" s="46" t="str">
        <f t="shared" si="13"/>
        <v/>
      </c>
      <c r="M49" s="45"/>
      <c r="N49" s="46" t="str">
        <f t="shared" si="14"/>
        <v/>
      </c>
      <c r="O49" s="45"/>
      <c r="P49" s="46" t="str">
        <f t="shared" si="15"/>
        <v/>
      </c>
      <c r="Q49" s="45"/>
      <c r="R49" s="46" t="str">
        <f t="shared" si="16"/>
        <v/>
      </c>
      <c r="S49" s="45"/>
      <c r="T49" s="46" t="str">
        <f t="shared" si="17"/>
        <v/>
      </c>
      <c r="U49" s="47"/>
      <c r="V49" s="46" t="str">
        <f t="shared" si="18"/>
        <v/>
      </c>
      <c r="W49" s="45"/>
      <c r="X49" s="46" t="str">
        <f t="shared" si="19"/>
        <v/>
      </c>
    </row>
    <row r="50" spans="1:24" x14ac:dyDescent="0.2">
      <c r="A50" s="21">
        <v>40</v>
      </c>
      <c r="B50" s="48">
        <v>46461</v>
      </c>
      <c r="C50" s="49">
        <f t="shared" si="10"/>
        <v>0.12345679012345678</v>
      </c>
      <c r="D50" s="42"/>
      <c r="E50" s="49">
        <f>SUM($C$11:C50)</f>
        <v>4.9382716049382713</v>
      </c>
      <c r="F50" s="49">
        <f>SUM($D$11:D50)</f>
        <v>0</v>
      </c>
      <c r="G50" s="50" t="str">
        <f>IF(COUNT($D$11:D50)=0,"",F50/E50)</f>
        <v/>
      </c>
      <c r="H50" s="51" t="str">
        <f t="shared" si="11"/>
        <v/>
      </c>
      <c r="I50" s="45"/>
      <c r="J50" s="52" t="str">
        <f t="shared" si="12"/>
        <v/>
      </c>
      <c r="K50" s="45"/>
      <c r="L50" s="52" t="str">
        <f t="shared" si="13"/>
        <v/>
      </c>
      <c r="M50" s="45"/>
      <c r="N50" s="52" t="str">
        <f t="shared" si="14"/>
        <v/>
      </c>
      <c r="O50" s="45"/>
      <c r="P50" s="52" t="str">
        <f t="shared" si="15"/>
        <v/>
      </c>
      <c r="Q50" s="45"/>
      <c r="R50" s="52" t="str">
        <f t="shared" si="16"/>
        <v/>
      </c>
      <c r="S50" s="45"/>
      <c r="T50" s="52" t="str">
        <f t="shared" si="17"/>
        <v/>
      </c>
      <c r="U50" s="47"/>
      <c r="V50" s="52" t="str">
        <f t="shared" si="18"/>
        <v/>
      </c>
      <c r="W50" s="45"/>
      <c r="X50" s="52" t="str">
        <f t="shared" si="19"/>
        <v/>
      </c>
    </row>
    <row r="51" spans="1:24" x14ac:dyDescent="0.2">
      <c r="A51" s="14">
        <v>41</v>
      </c>
      <c r="B51" s="40">
        <v>46468</v>
      </c>
      <c r="C51" s="41">
        <f t="shared" si="10"/>
        <v>0.12345679012345678</v>
      </c>
      <c r="D51" s="42"/>
      <c r="E51" s="41">
        <f>SUM($C$11:C51)</f>
        <v>5.0617283950617278</v>
      </c>
      <c r="F51" s="41">
        <f>SUM($D$11:D51)</f>
        <v>0</v>
      </c>
      <c r="G51" s="43" t="str">
        <f>IF(COUNT($D$11:D51)=0,"",F51/E51)</f>
        <v/>
      </c>
      <c r="H51" s="44" t="str">
        <f t="shared" si="11"/>
        <v/>
      </c>
      <c r="I51" s="45"/>
      <c r="J51" s="46" t="str">
        <f t="shared" si="12"/>
        <v/>
      </c>
      <c r="K51" s="45"/>
      <c r="L51" s="46" t="str">
        <f t="shared" si="13"/>
        <v/>
      </c>
      <c r="M51" s="45"/>
      <c r="N51" s="46" t="str">
        <f t="shared" si="14"/>
        <v/>
      </c>
      <c r="O51" s="45"/>
      <c r="P51" s="46" t="str">
        <f t="shared" si="15"/>
        <v/>
      </c>
      <c r="Q51" s="45"/>
      <c r="R51" s="46" t="str">
        <f t="shared" si="16"/>
        <v/>
      </c>
      <c r="S51" s="45"/>
      <c r="T51" s="46" t="str">
        <f t="shared" si="17"/>
        <v/>
      </c>
      <c r="U51" s="47"/>
      <c r="V51" s="46" t="str">
        <f t="shared" si="18"/>
        <v/>
      </c>
      <c r="W51" s="45"/>
      <c r="X51" s="46" t="str">
        <f t="shared" si="19"/>
        <v/>
      </c>
    </row>
    <row r="52" spans="1:24" x14ac:dyDescent="0.2">
      <c r="A52" s="21">
        <v>42</v>
      </c>
      <c r="B52" s="48">
        <v>46475</v>
      </c>
      <c r="C52" s="49">
        <f t="shared" si="10"/>
        <v>0.12345679012345678</v>
      </c>
      <c r="D52" s="42"/>
      <c r="E52" s="49">
        <f>SUM($C$11:C52)</f>
        <v>5.1851851851851842</v>
      </c>
      <c r="F52" s="49">
        <f>SUM($D$11:D52)</f>
        <v>0</v>
      </c>
      <c r="G52" s="50" t="str">
        <f>IF(COUNT($D$11:D52)=0,"",F52/E52)</f>
        <v/>
      </c>
      <c r="H52" s="51" t="str">
        <f t="shared" si="11"/>
        <v/>
      </c>
      <c r="I52" s="45"/>
      <c r="J52" s="52" t="str">
        <f t="shared" si="12"/>
        <v/>
      </c>
      <c r="K52" s="45"/>
      <c r="L52" s="52" t="str">
        <f t="shared" si="13"/>
        <v/>
      </c>
      <c r="M52" s="45"/>
      <c r="N52" s="52" t="str">
        <f t="shared" si="14"/>
        <v/>
      </c>
      <c r="O52" s="45"/>
      <c r="P52" s="52" t="str">
        <f t="shared" si="15"/>
        <v/>
      </c>
      <c r="Q52" s="45"/>
      <c r="R52" s="52" t="str">
        <f t="shared" si="16"/>
        <v/>
      </c>
      <c r="S52" s="45"/>
      <c r="T52" s="52" t="str">
        <f t="shared" si="17"/>
        <v/>
      </c>
      <c r="U52" s="47"/>
      <c r="V52" s="52" t="str">
        <f t="shared" si="18"/>
        <v/>
      </c>
      <c r="W52" s="45"/>
      <c r="X52" s="52" t="str">
        <f t="shared" si="19"/>
        <v/>
      </c>
    </row>
    <row r="53" spans="1:24" x14ac:dyDescent="0.2">
      <c r="A53" s="14">
        <v>43</v>
      </c>
      <c r="B53" s="40">
        <v>46482</v>
      </c>
      <c r="C53" s="41">
        <f t="shared" si="10"/>
        <v>0.12345679012345678</v>
      </c>
      <c r="D53" s="42"/>
      <c r="E53" s="41">
        <f>SUM($C$11:C53)</f>
        <v>5.3086419753086407</v>
      </c>
      <c r="F53" s="41">
        <f>SUM($D$11:D53)</f>
        <v>0</v>
      </c>
      <c r="G53" s="43" t="str">
        <f>IF(COUNT($D$11:D53)=0,"",F53/E53)</f>
        <v/>
      </c>
      <c r="H53" s="44" t="str">
        <f t="shared" si="11"/>
        <v/>
      </c>
      <c r="I53" s="45"/>
      <c r="J53" s="46" t="str">
        <f t="shared" si="12"/>
        <v/>
      </c>
      <c r="K53" s="45"/>
      <c r="L53" s="46" t="str">
        <f t="shared" si="13"/>
        <v/>
      </c>
      <c r="M53" s="45"/>
      <c r="N53" s="46" t="str">
        <f t="shared" si="14"/>
        <v/>
      </c>
      <c r="O53" s="45"/>
      <c r="P53" s="46" t="str">
        <f t="shared" si="15"/>
        <v/>
      </c>
      <c r="Q53" s="45"/>
      <c r="R53" s="46" t="str">
        <f t="shared" si="16"/>
        <v/>
      </c>
      <c r="S53" s="45"/>
      <c r="T53" s="46" t="str">
        <f t="shared" si="17"/>
        <v/>
      </c>
      <c r="U53" s="47"/>
      <c r="V53" s="46" t="str">
        <f t="shared" si="18"/>
        <v/>
      </c>
      <c r="W53" s="45"/>
      <c r="X53" s="46" t="str">
        <f t="shared" si="19"/>
        <v/>
      </c>
    </row>
    <row r="54" spans="1:24" x14ac:dyDescent="0.2">
      <c r="A54" s="21">
        <v>44</v>
      </c>
      <c r="B54" s="48">
        <v>46489</v>
      </c>
      <c r="C54" s="49">
        <f t="shared" si="10"/>
        <v>0.12345679012345678</v>
      </c>
      <c r="D54" s="42"/>
      <c r="E54" s="49">
        <f>SUM($C$11:C54)</f>
        <v>5.4320987654320971</v>
      </c>
      <c r="F54" s="49">
        <f>SUM($D$11:D54)</f>
        <v>0</v>
      </c>
      <c r="G54" s="50" t="str">
        <f>IF(COUNT($D$11:D54)=0,"",F54/E54)</f>
        <v/>
      </c>
      <c r="H54" s="51" t="str">
        <f t="shared" si="11"/>
        <v/>
      </c>
      <c r="I54" s="45"/>
      <c r="J54" s="52" t="str">
        <f t="shared" si="12"/>
        <v/>
      </c>
      <c r="K54" s="45"/>
      <c r="L54" s="52" t="str">
        <f t="shared" si="13"/>
        <v/>
      </c>
      <c r="M54" s="45"/>
      <c r="N54" s="52" t="str">
        <f t="shared" si="14"/>
        <v/>
      </c>
      <c r="O54" s="45"/>
      <c r="P54" s="52" t="str">
        <f t="shared" si="15"/>
        <v/>
      </c>
      <c r="Q54" s="45"/>
      <c r="R54" s="52" t="str">
        <f t="shared" si="16"/>
        <v/>
      </c>
      <c r="S54" s="45"/>
      <c r="T54" s="52" t="str">
        <f t="shared" si="17"/>
        <v/>
      </c>
      <c r="U54" s="47"/>
      <c r="V54" s="52" t="str">
        <f t="shared" si="18"/>
        <v/>
      </c>
      <c r="W54" s="45"/>
      <c r="X54" s="52" t="str">
        <f t="shared" si="19"/>
        <v/>
      </c>
    </row>
    <row r="55" spans="1:24" x14ac:dyDescent="0.2">
      <c r="A55" s="14">
        <v>45</v>
      </c>
      <c r="B55" s="40">
        <v>46496</v>
      </c>
      <c r="C55" s="41">
        <f t="shared" si="10"/>
        <v>0.12345679012345678</v>
      </c>
      <c r="D55" s="42"/>
      <c r="E55" s="41">
        <f>SUM($C$11:C55)</f>
        <v>5.5555555555555536</v>
      </c>
      <c r="F55" s="41">
        <f>SUM($D$11:D55)</f>
        <v>0</v>
      </c>
      <c r="G55" s="43" t="str">
        <f>IF(COUNT($D$11:D55)=0,"",F55/E55)</f>
        <v/>
      </c>
      <c r="H55" s="44" t="str">
        <f t="shared" si="11"/>
        <v/>
      </c>
      <c r="I55" s="45"/>
      <c r="J55" s="46" t="str">
        <f t="shared" si="12"/>
        <v/>
      </c>
      <c r="K55" s="45"/>
      <c r="L55" s="46" t="str">
        <f t="shared" si="13"/>
        <v/>
      </c>
      <c r="M55" s="45"/>
      <c r="N55" s="46" t="str">
        <f t="shared" si="14"/>
        <v/>
      </c>
      <c r="O55" s="45"/>
      <c r="P55" s="46" t="str">
        <f t="shared" si="15"/>
        <v/>
      </c>
      <c r="Q55" s="45"/>
      <c r="R55" s="46" t="str">
        <f t="shared" si="16"/>
        <v/>
      </c>
      <c r="S55" s="45"/>
      <c r="T55" s="46" t="str">
        <f t="shared" si="17"/>
        <v/>
      </c>
      <c r="U55" s="47"/>
      <c r="V55" s="46" t="str">
        <f t="shared" si="18"/>
        <v/>
      </c>
      <c r="W55" s="45"/>
      <c r="X55" s="46" t="str">
        <f t="shared" si="19"/>
        <v/>
      </c>
    </row>
    <row r="56" spans="1:24" x14ac:dyDescent="0.2">
      <c r="A56" s="21">
        <v>46</v>
      </c>
      <c r="B56" s="48">
        <v>46503</v>
      </c>
      <c r="C56" s="49">
        <f t="shared" si="10"/>
        <v>0.12345679012345678</v>
      </c>
      <c r="D56" s="42"/>
      <c r="E56" s="49">
        <f>SUM($C$11:C56)</f>
        <v>5.67901234567901</v>
      </c>
      <c r="F56" s="49">
        <f>SUM($D$11:D56)</f>
        <v>0</v>
      </c>
      <c r="G56" s="50" t="str">
        <f>IF(COUNT($D$11:D56)=0,"",F56/E56)</f>
        <v/>
      </c>
      <c r="H56" s="51" t="str">
        <f t="shared" si="11"/>
        <v/>
      </c>
      <c r="I56" s="45"/>
      <c r="J56" s="52" t="str">
        <f t="shared" si="12"/>
        <v/>
      </c>
      <c r="K56" s="45"/>
      <c r="L56" s="52" t="str">
        <f t="shared" si="13"/>
        <v/>
      </c>
      <c r="M56" s="45"/>
      <c r="N56" s="52" t="str">
        <f t="shared" si="14"/>
        <v/>
      </c>
      <c r="O56" s="45"/>
      <c r="P56" s="52" t="str">
        <f t="shared" si="15"/>
        <v/>
      </c>
      <c r="Q56" s="45"/>
      <c r="R56" s="52" t="str">
        <f t="shared" si="16"/>
        <v/>
      </c>
      <c r="S56" s="45"/>
      <c r="T56" s="52" t="str">
        <f t="shared" si="17"/>
        <v/>
      </c>
      <c r="U56" s="47"/>
      <c r="V56" s="52" t="str">
        <f t="shared" si="18"/>
        <v/>
      </c>
      <c r="W56" s="45"/>
      <c r="X56" s="52" t="str">
        <f t="shared" si="19"/>
        <v/>
      </c>
    </row>
    <row r="57" spans="1:24" x14ac:dyDescent="0.2">
      <c r="A57" s="14">
        <v>47</v>
      </c>
      <c r="B57" s="40">
        <v>46510</v>
      </c>
      <c r="C57" s="41">
        <f t="shared" si="10"/>
        <v>0.12345679012345678</v>
      </c>
      <c r="D57" s="42"/>
      <c r="E57" s="41">
        <f>SUM($C$11:C57)</f>
        <v>5.8024691358024665</v>
      </c>
      <c r="F57" s="41">
        <f>SUM($D$11:D57)</f>
        <v>0</v>
      </c>
      <c r="G57" s="43" t="str">
        <f>IF(COUNT($D$11:D57)=0,"",F57/E57)</f>
        <v/>
      </c>
      <c r="H57" s="44" t="str">
        <f t="shared" si="11"/>
        <v/>
      </c>
      <c r="I57" s="45"/>
      <c r="J57" s="46" t="str">
        <f t="shared" si="12"/>
        <v/>
      </c>
      <c r="K57" s="45"/>
      <c r="L57" s="46" t="str">
        <f t="shared" si="13"/>
        <v/>
      </c>
      <c r="M57" s="45"/>
      <c r="N57" s="46" t="str">
        <f t="shared" si="14"/>
        <v/>
      </c>
      <c r="O57" s="45"/>
      <c r="P57" s="46" t="str">
        <f t="shared" si="15"/>
        <v/>
      </c>
      <c r="Q57" s="45"/>
      <c r="R57" s="46" t="str">
        <f t="shared" si="16"/>
        <v/>
      </c>
      <c r="S57" s="45"/>
      <c r="T57" s="46" t="str">
        <f t="shared" si="17"/>
        <v/>
      </c>
      <c r="U57" s="47"/>
      <c r="V57" s="46" t="str">
        <f t="shared" si="18"/>
        <v/>
      </c>
      <c r="W57" s="45"/>
      <c r="X57" s="46" t="str">
        <f t="shared" si="19"/>
        <v/>
      </c>
    </row>
    <row r="58" spans="1:24" x14ac:dyDescent="0.2">
      <c r="A58" s="21">
        <v>48</v>
      </c>
      <c r="B58" s="48">
        <v>46517</v>
      </c>
      <c r="C58" s="49">
        <f t="shared" si="10"/>
        <v>0.12345679012345678</v>
      </c>
      <c r="D58" s="42"/>
      <c r="E58" s="49">
        <f>SUM($C$11:C58)</f>
        <v>5.9259259259259229</v>
      </c>
      <c r="F58" s="49">
        <f>SUM($D$11:D58)</f>
        <v>0</v>
      </c>
      <c r="G58" s="50" t="str">
        <f>IF(COUNT($D$11:D58)=0,"",F58/E58)</f>
        <v/>
      </c>
      <c r="H58" s="51" t="str">
        <f t="shared" si="11"/>
        <v/>
      </c>
      <c r="I58" s="45"/>
      <c r="J58" s="52" t="str">
        <f t="shared" si="12"/>
        <v/>
      </c>
      <c r="K58" s="45"/>
      <c r="L58" s="52" t="str">
        <f t="shared" si="13"/>
        <v/>
      </c>
      <c r="M58" s="45"/>
      <c r="N58" s="52" t="str">
        <f t="shared" si="14"/>
        <v/>
      </c>
      <c r="O58" s="45"/>
      <c r="P58" s="52" t="str">
        <f t="shared" si="15"/>
        <v/>
      </c>
      <c r="Q58" s="45"/>
      <c r="R58" s="52" t="str">
        <f t="shared" si="16"/>
        <v/>
      </c>
      <c r="S58" s="45"/>
      <c r="T58" s="52" t="str">
        <f t="shared" si="17"/>
        <v/>
      </c>
      <c r="U58" s="47"/>
      <c r="V58" s="52" t="str">
        <f t="shared" si="18"/>
        <v/>
      </c>
      <c r="W58" s="45"/>
      <c r="X58" s="52" t="str">
        <f t="shared" si="19"/>
        <v/>
      </c>
    </row>
    <row r="59" spans="1:24" x14ac:dyDescent="0.2">
      <c r="A59" s="14">
        <v>49</v>
      </c>
      <c r="B59" s="40">
        <v>46524</v>
      </c>
      <c r="C59" s="41">
        <f t="shared" si="10"/>
        <v>0.12345679012345678</v>
      </c>
      <c r="D59" s="42"/>
      <c r="E59" s="41">
        <f>SUM($C$11:C59)</f>
        <v>6.0493827160493794</v>
      </c>
      <c r="F59" s="41">
        <f>SUM($D$11:D59)</f>
        <v>0</v>
      </c>
      <c r="G59" s="43" t="str">
        <f>IF(COUNT($D$11:D59)=0,"",F59/E59)</f>
        <v/>
      </c>
      <c r="H59" s="44" t="str">
        <f t="shared" si="11"/>
        <v/>
      </c>
      <c r="I59" s="45"/>
      <c r="J59" s="46" t="str">
        <f t="shared" si="12"/>
        <v/>
      </c>
      <c r="K59" s="45"/>
      <c r="L59" s="46" t="str">
        <f t="shared" si="13"/>
        <v/>
      </c>
      <c r="M59" s="45"/>
      <c r="N59" s="46" t="str">
        <f t="shared" si="14"/>
        <v/>
      </c>
      <c r="O59" s="45"/>
      <c r="P59" s="46" t="str">
        <f t="shared" si="15"/>
        <v/>
      </c>
      <c r="Q59" s="45"/>
      <c r="R59" s="46" t="str">
        <f t="shared" si="16"/>
        <v/>
      </c>
      <c r="S59" s="45"/>
      <c r="T59" s="46" t="str">
        <f t="shared" si="17"/>
        <v/>
      </c>
      <c r="U59" s="47"/>
      <c r="V59" s="46" t="str">
        <f t="shared" si="18"/>
        <v/>
      </c>
      <c r="W59" s="45"/>
      <c r="X59" s="46" t="str">
        <f t="shared" si="19"/>
        <v/>
      </c>
    </row>
    <row r="60" spans="1:24" x14ac:dyDescent="0.2">
      <c r="A60" s="21">
        <v>50</v>
      </c>
      <c r="B60" s="48">
        <v>46531</v>
      </c>
      <c r="C60" s="49">
        <f t="shared" si="10"/>
        <v>0.12345679012345678</v>
      </c>
      <c r="D60" s="42"/>
      <c r="E60" s="49">
        <f>SUM($C$11:C60)</f>
        <v>6.1728395061728358</v>
      </c>
      <c r="F60" s="49">
        <f>SUM($D$11:D60)</f>
        <v>0</v>
      </c>
      <c r="G60" s="50" t="str">
        <f>IF(COUNT($D$11:D60)=0,"",F60/E60)</f>
        <v/>
      </c>
      <c r="H60" s="51" t="str">
        <f t="shared" si="11"/>
        <v/>
      </c>
      <c r="I60" s="45"/>
      <c r="J60" s="52" t="str">
        <f t="shared" si="12"/>
        <v/>
      </c>
      <c r="K60" s="45"/>
      <c r="L60" s="52" t="str">
        <f t="shared" si="13"/>
        <v/>
      </c>
      <c r="M60" s="45"/>
      <c r="N60" s="52" t="str">
        <f t="shared" si="14"/>
        <v/>
      </c>
      <c r="O60" s="45"/>
      <c r="P60" s="52" t="str">
        <f t="shared" si="15"/>
        <v/>
      </c>
      <c r="Q60" s="45"/>
      <c r="R60" s="52" t="str">
        <f t="shared" si="16"/>
        <v/>
      </c>
      <c r="S60" s="45"/>
      <c r="T60" s="52" t="str">
        <f t="shared" si="17"/>
        <v/>
      </c>
      <c r="U60" s="47"/>
      <c r="V60" s="52" t="str">
        <f t="shared" si="18"/>
        <v/>
      </c>
      <c r="W60" s="45"/>
      <c r="X60" s="52" t="str">
        <f t="shared" si="19"/>
        <v/>
      </c>
    </row>
    <row r="61" spans="1:24" x14ac:dyDescent="0.2">
      <c r="A61" s="14">
        <v>51</v>
      </c>
      <c r="B61" s="40">
        <v>46538</v>
      </c>
      <c r="C61" s="41">
        <f t="shared" si="10"/>
        <v>0.12345679012345678</v>
      </c>
      <c r="D61" s="42"/>
      <c r="E61" s="41">
        <f>SUM($C$11:C61)</f>
        <v>6.2962962962962923</v>
      </c>
      <c r="F61" s="41">
        <f>SUM($D$11:D61)</f>
        <v>0</v>
      </c>
      <c r="G61" s="43" t="str">
        <f>IF(COUNT($D$11:D61)=0,"",F61/E61)</f>
        <v/>
      </c>
      <c r="H61" s="44" t="str">
        <f t="shared" si="11"/>
        <v/>
      </c>
      <c r="I61" s="45"/>
      <c r="J61" s="46" t="str">
        <f t="shared" si="12"/>
        <v/>
      </c>
      <c r="K61" s="45"/>
      <c r="L61" s="46" t="str">
        <f t="shared" si="13"/>
        <v/>
      </c>
      <c r="M61" s="45"/>
      <c r="N61" s="46" t="str">
        <f t="shared" si="14"/>
        <v/>
      </c>
      <c r="O61" s="45"/>
      <c r="P61" s="46" t="str">
        <f t="shared" si="15"/>
        <v/>
      </c>
      <c r="Q61" s="45"/>
      <c r="R61" s="46" t="str">
        <f t="shared" si="16"/>
        <v/>
      </c>
      <c r="S61" s="45"/>
      <c r="T61" s="46" t="str">
        <f t="shared" si="17"/>
        <v/>
      </c>
      <c r="U61" s="47"/>
      <c r="V61" s="46" t="str">
        <f t="shared" si="18"/>
        <v/>
      </c>
      <c r="W61" s="45"/>
      <c r="X61" s="46" t="str">
        <f t="shared" si="19"/>
        <v/>
      </c>
    </row>
    <row r="62" spans="1:24" x14ac:dyDescent="0.2">
      <c r="A62" s="21">
        <v>52</v>
      </c>
      <c r="B62" s="48">
        <v>46545</v>
      </c>
      <c r="C62" s="49">
        <f t="shared" si="10"/>
        <v>0.12345679012345678</v>
      </c>
      <c r="D62" s="42"/>
      <c r="E62" s="49">
        <f>SUM($C$11:C62)</f>
        <v>6.4197530864197487</v>
      </c>
      <c r="F62" s="49">
        <f>SUM($D$11:D62)</f>
        <v>0</v>
      </c>
      <c r="G62" s="50" t="str">
        <f>IF(COUNT($D$11:D62)=0,"",F62/E62)</f>
        <v/>
      </c>
      <c r="H62" s="51" t="str">
        <f t="shared" si="11"/>
        <v/>
      </c>
      <c r="I62" s="45"/>
      <c r="J62" s="52" t="str">
        <f t="shared" si="12"/>
        <v/>
      </c>
      <c r="K62" s="45"/>
      <c r="L62" s="52" t="str">
        <f t="shared" si="13"/>
        <v/>
      </c>
      <c r="M62" s="45"/>
      <c r="N62" s="52" t="str">
        <f t="shared" si="14"/>
        <v/>
      </c>
      <c r="O62" s="45"/>
      <c r="P62" s="52" t="str">
        <f t="shared" si="15"/>
        <v/>
      </c>
      <c r="Q62" s="45"/>
      <c r="R62" s="52" t="str">
        <f t="shared" si="16"/>
        <v/>
      </c>
      <c r="S62" s="45"/>
      <c r="T62" s="52" t="str">
        <f t="shared" si="17"/>
        <v/>
      </c>
      <c r="U62" s="47"/>
      <c r="V62" s="52" t="str">
        <f t="shared" si="18"/>
        <v/>
      </c>
      <c r="W62" s="45"/>
      <c r="X62" s="52" t="str">
        <f t="shared" si="19"/>
        <v/>
      </c>
    </row>
    <row r="63" spans="1:24" x14ac:dyDescent="0.2">
      <c r="A63" s="14">
        <v>53</v>
      </c>
      <c r="B63" s="40">
        <v>46552</v>
      </c>
      <c r="C63" s="41">
        <f t="shared" si="10"/>
        <v>0.12345679012345678</v>
      </c>
      <c r="D63" s="42"/>
      <c r="E63" s="41">
        <f>SUM($C$11:C63)</f>
        <v>6.5432098765432052</v>
      </c>
      <c r="F63" s="41">
        <f>SUM($D$11:D63)</f>
        <v>0</v>
      </c>
      <c r="G63" s="43" t="str">
        <f>IF(COUNT($D$11:D63)=0,"",F63/E63)</f>
        <v/>
      </c>
      <c r="H63" s="44" t="str">
        <f t="shared" si="11"/>
        <v/>
      </c>
      <c r="I63" s="45"/>
      <c r="J63" s="46" t="str">
        <f t="shared" si="12"/>
        <v/>
      </c>
      <c r="K63" s="45"/>
      <c r="L63" s="46" t="str">
        <f t="shared" si="13"/>
        <v/>
      </c>
      <c r="M63" s="45"/>
      <c r="N63" s="46" t="str">
        <f t="shared" si="14"/>
        <v/>
      </c>
      <c r="O63" s="45"/>
      <c r="P63" s="46" t="str">
        <f t="shared" si="15"/>
        <v/>
      </c>
      <c r="Q63" s="45"/>
      <c r="R63" s="46" t="str">
        <f t="shared" si="16"/>
        <v/>
      </c>
      <c r="S63" s="45"/>
      <c r="T63" s="46" t="str">
        <f t="shared" si="17"/>
        <v/>
      </c>
      <c r="U63" s="47"/>
      <c r="V63" s="46" t="str">
        <f t="shared" si="18"/>
        <v/>
      </c>
      <c r="W63" s="45"/>
      <c r="X63" s="46" t="str">
        <f t="shared" si="19"/>
        <v/>
      </c>
    </row>
    <row r="64" spans="1:24" x14ac:dyDescent="0.2">
      <c r="A64" s="21">
        <v>54</v>
      </c>
      <c r="B64" s="48">
        <v>46559</v>
      </c>
      <c r="C64" s="49">
        <f t="shared" si="10"/>
        <v>0.12345679012345678</v>
      </c>
      <c r="D64" s="42"/>
      <c r="E64" s="49">
        <f>SUM($C$11:C64)</f>
        <v>6.6666666666666616</v>
      </c>
      <c r="F64" s="49">
        <f>SUM($D$11:D64)</f>
        <v>0</v>
      </c>
      <c r="G64" s="50" t="str">
        <f>IF(COUNT($D$11:D64)=0,"",F64/E64)</f>
        <v/>
      </c>
      <c r="H64" s="51" t="str">
        <f t="shared" si="11"/>
        <v/>
      </c>
      <c r="I64" s="45"/>
      <c r="J64" s="52" t="str">
        <f t="shared" si="12"/>
        <v/>
      </c>
      <c r="K64" s="45"/>
      <c r="L64" s="52" t="str">
        <f t="shared" si="13"/>
        <v/>
      </c>
      <c r="M64" s="45"/>
      <c r="N64" s="52" t="str">
        <f t="shared" si="14"/>
        <v/>
      </c>
      <c r="O64" s="45"/>
      <c r="P64" s="52" t="str">
        <f t="shared" si="15"/>
        <v/>
      </c>
      <c r="Q64" s="45"/>
      <c r="R64" s="52" t="str">
        <f t="shared" si="16"/>
        <v/>
      </c>
      <c r="S64" s="45"/>
      <c r="T64" s="52" t="str">
        <f t="shared" si="17"/>
        <v/>
      </c>
      <c r="U64" s="47"/>
      <c r="V64" s="52" t="str">
        <f t="shared" si="18"/>
        <v/>
      </c>
      <c r="W64" s="45"/>
      <c r="X64" s="52" t="str">
        <f t="shared" si="19"/>
        <v/>
      </c>
    </row>
    <row r="65" spans="1:24" x14ac:dyDescent="0.2">
      <c r="A65" s="14">
        <v>55</v>
      </c>
      <c r="B65" s="40">
        <v>46566</v>
      </c>
      <c r="C65" s="41">
        <f t="shared" si="10"/>
        <v>0.12345679012345678</v>
      </c>
      <c r="D65" s="42"/>
      <c r="E65" s="41">
        <f>SUM($C$11:C65)</f>
        <v>6.7901234567901181</v>
      </c>
      <c r="F65" s="41">
        <f>SUM($D$11:D65)</f>
        <v>0</v>
      </c>
      <c r="G65" s="43" t="str">
        <f>IF(COUNT($D$11:D65)=0,"",F65/E65)</f>
        <v/>
      </c>
      <c r="H65" s="44" t="str">
        <f t="shared" si="11"/>
        <v/>
      </c>
      <c r="I65" s="45"/>
      <c r="J65" s="46" t="str">
        <f t="shared" si="12"/>
        <v/>
      </c>
      <c r="K65" s="45"/>
      <c r="L65" s="46" t="str">
        <f t="shared" si="13"/>
        <v/>
      </c>
      <c r="M65" s="45"/>
      <c r="N65" s="46" t="str">
        <f t="shared" si="14"/>
        <v/>
      </c>
      <c r="O65" s="45"/>
      <c r="P65" s="46" t="str">
        <f t="shared" si="15"/>
        <v/>
      </c>
      <c r="Q65" s="45"/>
      <c r="R65" s="46" t="str">
        <f t="shared" si="16"/>
        <v/>
      </c>
      <c r="S65" s="45"/>
      <c r="T65" s="46" t="str">
        <f t="shared" si="17"/>
        <v/>
      </c>
      <c r="U65" s="47"/>
      <c r="V65" s="46" t="str">
        <f t="shared" si="18"/>
        <v/>
      </c>
      <c r="W65" s="45"/>
      <c r="X65" s="46" t="str">
        <f t="shared" si="19"/>
        <v/>
      </c>
    </row>
    <row r="66" spans="1:24" x14ac:dyDescent="0.2">
      <c r="A66" s="21">
        <v>56</v>
      </c>
      <c r="B66" s="48">
        <v>46573</v>
      </c>
      <c r="C66" s="49">
        <f t="shared" si="10"/>
        <v>0.12345679012345678</v>
      </c>
      <c r="D66" s="42"/>
      <c r="E66" s="49">
        <f>SUM($C$11:C66)</f>
        <v>6.9135802469135745</v>
      </c>
      <c r="F66" s="49">
        <f>SUM($D$11:D66)</f>
        <v>0</v>
      </c>
      <c r="G66" s="50" t="str">
        <f>IF(COUNT($D$11:D66)=0,"",F66/E66)</f>
        <v/>
      </c>
      <c r="H66" s="51" t="str">
        <f t="shared" si="11"/>
        <v/>
      </c>
      <c r="I66" s="45"/>
      <c r="J66" s="52" t="str">
        <f t="shared" si="12"/>
        <v/>
      </c>
      <c r="K66" s="45"/>
      <c r="L66" s="52" t="str">
        <f t="shared" si="13"/>
        <v/>
      </c>
      <c r="M66" s="45"/>
      <c r="N66" s="52" t="str">
        <f t="shared" si="14"/>
        <v/>
      </c>
      <c r="O66" s="45"/>
      <c r="P66" s="52" t="str">
        <f t="shared" si="15"/>
        <v/>
      </c>
      <c r="Q66" s="45"/>
      <c r="R66" s="52" t="str">
        <f t="shared" si="16"/>
        <v/>
      </c>
      <c r="S66" s="45"/>
      <c r="T66" s="52" t="str">
        <f t="shared" si="17"/>
        <v/>
      </c>
      <c r="U66" s="47"/>
      <c r="V66" s="52" t="str">
        <f t="shared" si="18"/>
        <v/>
      </c>
      <c r="W66" s="45"/>
      <c r="X66" s="52" t="str">
        <f t="shared" si="19"/>
        <v/>
      </c>
    </row>
    <row r="67" spans="1:24" x14ac:dyDescent="0.2">
      <c r="A67" s="14">
        <v>57</v>
      </c>
      <c r="B67" s="40">
        <v>46580</v>
      </c>
      <c r="C67" s="41">
        <f t="shared" si="10"/>
        <v>0.12345679012345678</v>
      </c>
      <c r="D67" s="42"/>
      <c r="E67" s="41">
        <f>SUM($C$11:C67)</f>
        <v>7.037037037037031</v>
      </c>
      <c r="F67" s="41">
        <f>SUM($D$11:D67)</f>
        <v>0</v>
      </c>
      <c r="G67" s="43" t="str">
        <f>IF(COUNT($D$11:D67)=0,"",F67/E67)</f>
        <v/>
      </c>
      <c r="H67" s="44" t="str">
        <f t="shared" si="11"/>
        <v/>
      </c>
      <c r="I67" s="45"/>
      <c r="J67" s="46" t="str">
        <f t="shared" si="12"/>
        <v/>
      </c>
      <c r="K67" s="45"/>
      <c r="L67" s="46" t="str">
        <f t="shared" si="13"/>
        <v/>
      </c>
      <c r="M67" s="45"/>
      <c r="N67" s="46" t="str">
        <f t="shared" si="14"/>
        <v/>
      </c>
      <c r="O67" s="45"/>
      <c r="P67" s="46" t="str">
        <f t="shared" si="15"/>
        <v/>
      </c>
      <c r="Q67" s="45"/>
      <c r="R67" s="46" t="str">
        <f t="shared" si="16"/>
        <v/>
      </c>
      <c r="S67" s="45"/>
      <c r="T67" s="46" t="str">
        <f t="shared" si="17"/>
        <v/>
      </c>
      <c r="U67" s="47"/>
      <c r="V67" s="46" t="str">
        <f t="shared" si="18"/>
        <v/>
      </c>
      <c r="W67" s="45"/>
      <c r="X67" s="46" t="str">
        <f t="shared" si="19"/>
        <v/>
      </c>
    </row>
    <row r="68" spans="1:24" x14ac:dyDescent="0.2">
      <c r="A68" s="21">
        <v>58</v>
      </c>
      <c r="B68" s="48">
        <v>46587</v>
      </c>
      <c r="C68" s="49">
        <f t="shared" si="10"/>
        <v>0.12345679012345678</v>
      </c>
      <c r="D68" s="42"/>
      <c r="E68" s="49">
        <f>SUM($C$11:C68)</f>
        <v>7.1604938271604874</v>
      </c>
      <c r="F68" s="49">
        <f>SUM($D$11:D68)</f>
        <v>0</v>
      </c>
      <c r="G68" s="50" t="str">
        <f>IF(COUNT($D$11:D68)=0,"",F68/E68)</f>
        <v/>
      </c>
      <c r="H68" s="51" t="str">
        <f t="shared" si="11"/>
        <v/>
      </c>
      <c r="I68" s="45"/>
      <c r="J68" s="52" t="str">
        <f t="shared" si="12"/>
        <v/>
      </c>
      <c r="K68" s="45"/>
      <c r="L68" s="52" t="str">
        <f t="shared" si="13"/>
        <v/>
      </c>
      <c r="M68" s="45"/>
      <c r="N68" s="52" t="str">
        <f t="shared" si="14"/>
        <v/>
      </c>
      <c r="O68" s="45"/>
      <c r="P68" s="52" t="str">
        <f t="shared" si="15"/>
        <v/>
      </c>
      <c r="Q68" s="45"/>
      <c r="R68" s="52" t="str">
        <f t="shared" si="16"/>
        <v/>
      </c>
      <c r="S68" s="45"/>
      <c r="T68" s="52" t="str">
        <f t="shared" si="17"/>
        <v/>
      </c>
      <c r="U68" s="47"/>
      <c r="V68" s="52" t="str">
        <f t="shared" si="18"/>
        <v/>
      </c>
      <c r="W68" s="45"/>
      <c r="X68" s="52" t="str">
        <f t="shared" si="19"/>
        <v/>
      </c>
    </row>
    <row r="69" spans="1:24" x14ac:dyDescent="0.2">
      <c r="A69" s="14">
        <v>59</v>
      </c>
      <c r="B69" s="40">
        <v>46594</v>
      </c>
      <c r="C69" s="41">
        <f t="shared" si="10"/>
        <v>0.12345679012345678</v>
      </c>
      <c r="D69" s="42"/>
      <c r="E69" s="41">
        <f>SUM($C$11:C69)</f>
        <v>7.2839506172839439</v>
      </c>
      <c r="F69" s="41">
        <f>SUM($D$11:D69)</f>
        <v>0</v>
      </c>
      <c r="G69" s="43" t="str">
        <f>IF(COUNT($D$11:D69)=0,"",F69/E69)</f>
        <v/>
      </c>
      <c r="H69" s="44" t="str">
        <f t="shared" si="11"/>
        <v/>
      </c>
      <c r="I69" s="45"/>
      <c r="J69" s="46" t="str">
        <f t="shared" si="12"/>
        <v/>
      </c>
      <c r="K69" s="45"/>
      <c r="L69" s="46" t="str">
        <f t="shared" si="13"/>
        <v/>
      </c>
      <c r="M69" s="45"/>
      <c r="N69" s="46" t="str">
        <f t="shared" si="14"/>
        <v/>
      </c>
      <c r="O69" s="45"/>
      <c r="P69" s="46" t="str">
        <f t="shared" si="15"/>
        <v/>
      </c>
      <c r="Q69" s="45"/>
      <c r="R69" s="46" t="str">
        <f t="shared" si="16"/>
        <v/>
      </c>
      <c r="S69" s="45"/>
      <c r="T69" s="46" t="str">
        <f t="shared" si="17"/>
        <v/>
      </c>
      <c r="U69" s="47"/>
      <c r="V69" s="46" t="str">
        <f t="shared" si="18"/>
        <v/>
      </c>
      <c r="W69" s="45"/>
      <c r="X69" s="46" t="str">
        <f t="shared" si="19"/>
        <v/>
      </c>
    </row>
    <row r="70" spans="1:24" x14ac:dyDescent="0.2">
      <c r="A70" s="21">
        <v>60</v>
      </c>
      <c r="B70" s="48">
        <v>46601</v>
      </c>
      <c r="C70" s="49">
        <f t="shared" si="10"/>
        <v>0.12345679012345678</v>
      </c>
      <c r="D70" s="42"/>
      <c r="E70" s="49">
        <f>SUM($C$11:C70)</f>
        <v>7.4074074074074003</v>
      </c>
      <c r="F70" s="49">
        <f>SUM($D$11:D70)</f>
        <v>0</v>
      </c>
      <c r="G70" s="50" t="str">
        <f>IF(COUNT($D$11:D70)=0,"",F70/E70)</f>
        <v/>
      </c>
      <c r="H70" s="51" t="str">
        <f t="shared" si="11"/>
        <v/>
      </c>
      <c r="I70" s="45"/>
      <c r="J70" s="52" t="str">
        <f t="shared" si="12"/>
        <v/>
      </c>
      <c r="K70" s="45"/>
      <c r="L70" s="52" t="str">
        <f t="shared" si="13"/>
        <v/>
      </c>
      <c r="M70" s="45"/>
      <c r="N70" s="52" t="str">
        <f t="shared" si="14"/>
        <v/>
      </c>
      <c r="O70" s="45"/>
      <c r="P70" s="52" t="str">
        <f t="shared" si="15"/>
        <v/>
      </c>
      <c r="Q70" s="45"/>
      <c r="R70" s="52" t="str">
        <f t="shared" si="16"/>
        <v/>
      </c>
      <c r="S70" s="45"/>
      <c r="T70" s="52" t="str">
        <f t="shared" si="17"/>
        <v/>
      </c>
      <c r="U70" s="47"/>
      <c r="V70" s="52" t="str">
        <f t="shared" si="18"/>
        <v/>
      </c>
      <c r="W70" s="45"/>
      <c r="X70" s="52" t="str">
        <f t="shared" si="19"/>
        <v/>
      </c>
    </row>
    <row r="71" spans="1:24" x14ac:dyDescent="0.2">
      <c r="A71" s="14">
        <v>61</v>
      </c>
      <c r="B71" s="40">
        <v>46608</v>
      </c>
      <c r="C71" s="41">
        <f t="shared" si="10"/>
        <v>0.12345679012345678</v>
      </c>
      <c r="D71" s="42"/>
      <c r="E71" s="41">
        <f>SUM($C$11:C71)</f>
        <v>7.5308641975308568</v>
      </c>
      <c r="F71" s="41">
        <f>SUM($D$11:D71)</f>
        <v>0</v>
      </c>
      <c r="G71" s="43" t="str">
        <f>IF(COUNT($D$11:D71)=0,"",F71/E71)</f>
        <v/>
      </c>
      <c r="H71" s="44" t="str">
        <f t="shared" si="11"/>
        <v/>
      </c>
      <c r="I71" s="45"/>
      <c r="J71" s="46" t="str">
        <f t="shared" si="12"/>
        <v/>
      </c>
      <c r="K71" s="45"/>
      <c r="L71" s="46" t="str">
        <f t="shared" si="13"/>
        <v/>
      </c>
      <c r="M71" s="45"/>
      <c r="N71" s="46" t="str">
        <f t="shared" si="14"/>
        <v/>
      </c>
      <c r="O71" s="45"/>
      <c r="P71" s="46" t="str">
        <f t="shared" si="15"/>
        <v/>
      </c>
      <c r="Q71" s="45"/>
      <c r="R71" s="46" t="str">
        <f t="shared" si="16"/>
        <v/>
      </c>
      <c r="S71" s="45"/>
      <c r="T71" s="46" t="str">
        <f t="shared" si="17"/>
        <v/>
      </c>
      <c r="U71" s="47"/>
      <c r="V71" s="46" t="str">
        <f t="shared" si="18"/>
        <v/>
      </c>
      <c r="W71" s="45"/>
      <c r="X71" s="46" t="str">
        <f t="shared" si="19"/>
        <v/>
      </c>
    </row>
    <row r="72" spans="1:24" x14ac:dyDescent="0.2">
      <c r="A72" s="21">
        <v>62</v>
      </c>
      <c r="B72" s="48">
        <v>46615</v>
      </c>
      <c r="C72" s="49">
        <f t="shared" si="10"/>
        <v>0.12345679012345678</v>
      </c>
      <c r="D72" s="42"/>
      <c r="E72" s="49">
        <f>SUM($C$11:C72)</f>
        <v>7.6543209876543132</v>
      </c>
      <c r="F72" s="49">
        <f>SUM($D$11:D72)</f>
        <v>0</v>
      </c>
      <c r="G72" s="50" t="str">
        <f>IF(COUNT($D$11:D72)=0,"",F72/E72)</f>
        <v/>
      </c>
      <c r="H72" s="51" t="str">
        <f t="shared" si="11"/>
        <v/>
      </c>
      <c r="I72" s="45"/>
      <c r="J72" s="52" t="str">
        <f t="shared" si="12"/>
        <v/>
      </c>
      <c r="K72" s="45"/>
      <c r="L72" s="52" t="str">
        <f t="shared" si="13"/>
        <v/>
      </c>
      <c r="M72" s="45"/>
      <c r="N72" s="52" t="str">
        <f t="shared" si="14"/>
        <v/>
      </c>
      <c r="O72" s="45"/>
      <c r="P72" s="52" t="str">
        <f t="shared" si="15"/>
        <v/>
      </c>
      <c r="Q72" s="45"/>
      <c r="R72" s="52" t="str">
        <f t="shared" si="16"/>
        <v/>
      </c>
      <c r="S72" s="45"/>
      <c r="T72" s="52" t="str">
        <f t="shared" si="17"/>
        <v/>
      </c>
      <c r="U72" s="47"/>
      <c r="V72" s="52" t="str">
        <f t="shared" si="18"/>
        <v/>
      </c>
      <c r="W72" s="45"/>
      <c r="X72" s="52" t="str">
        <f t="shared" si="19"/>
        <v/>
      </c>
    </row>
    <row r="73" spans="1:24" x14ac:dyDescent="0.2">
      <c r="A73" s="14">
        <v>63</v>
      </c>
      <c r="B73" s="40">
        <v>46622</v>
      </c>
      <c r="C73" s="41">
        <f t="shared" si="10"/>
        <v>0.12345679012345678</v>
      </c>
      <c r="D73" s="42"/>
      <c r="E73" s="41">
        <f>SUM($C$11:C73)</f>
        <v>7.7777777777777697</v>
      </c>
      <c r="F73" s="41">
        <f>SUM($D$11:D73)</f>
        <v>0</v>
      </c>
      <c r="G73" s="43" t="str">
        <f>IF(COUNT($D$11:D73)=0,"",F73/E73)</f>
        <v/>
      </c>
      <c r="H73" s="44" t="str">
        <f t="shared" si="11"/>
        <v/>
      </c>
      <c r="I73" s="45"/>
      <c r="J73" s="46" t="str">
        <f t="shared" si="12"/>
        <v/>
      </c>
      <c r="K73" s="45"/>
      <c r="L73" s="46" t="str">
        <f t="shared" si="13"/>
        <v/>
      </c>
      <c r="M73" s="45"/>
      <c r="N73" s="46" t="str">
        <f t="shared" si="14"/>
        <v/>
      </c>
      <c r="O73" s="45"/>
      <c r="P73" s="46" t="str">
        <f t="shared" si="15"/>
        <v/>
      </c>
      <c r="Q73" s="45"/>
      <c r="R73" s="46" t="str">
        <f t="shared" si="16"/>
        <v/>
      </c>
      <c r="S73" s="45"/>
      <c r="T73" s="46" t="str">
        <f t="shared" si="17"/>
        <v/>
      </c>
      <c r="U73" s="47"/>
      <c r="V73" s="46" t="str">
        <f t="shared" si="18"/>
        <v/>
      </c>
      <c r="W73" s="45"/>
      <c r="X73" s="46" t="str">
        <f t="shared" si="19"/>
        <v/>
      </c>
    </row>
    <row r="74" spans="1:24" x14ac:dyDescent="0.2">
      <c r="A74" s="21">
        <v>64</v>
      </c>
      <c r="B74" s="48">
        <v>46629</v>
      </c>
      <c r="C74" s="49">
        <f t="shared" si="10"/>
        <v>0.12345679012345678</v>
      </c>
      <c r="D74" s="42"/>
      <c r="E74" s="49">
        <f>SUM($C$11:C74)</f>
        <v>7.9012345679012261</v>
      </c>
      <c r="F74" s="49">
        <f>SUM($D$11:D74)</f>
        <v>0</v>
      </c>
      <c r="G74" s="50" t="str">
        <f>IF(COUNT($D$11:D74)=0,"",F74/E74)</f>
        <v/>
      </c>
      <c r="H74" s="51" t="str">
        <f t="shared" si="11"/>
        <v/>
      </c>
      <c r="I74" s="45"/>
      <c r="J74" s="52" t="str">
        <f t="shared" si="12"/>
        <v/>
      </c>
      <c r="K74" s="45"/>
      <c r="L74" s="52" t="str">
        <f t="shared" si="13"/>
        <v/>
      </c>
      <c r="M74" s="45"/>
      <c r="N74" s="52" t="str">
        <f t="shared" si="14"/>
        <v/>
      </c>
      <c r="O74" s="45"/>
      <c r="P74" s="52" t="str">
        <f t="shared" si="15"/>
        <v/>
      </c>
      <c r="Q74" s="45"/>
      <c r="R74" s="52" t="str">
        <f t="shared" si="16"/>
        <v/>
      </c>
      <c r="S74" s="45"/>
      <c r="T74" s="52" t="str">
        <f t="shared" si="17"/>
        <v/>
      </c>
      <c r="U74" s="47"/>
      <c r="V74" s="52" t="str">
        <f t="shared" si="18"/>
        <v/>
      </c>
      <c r="W74" s="45"/>
      <c r="X74" s="52" t="str">
        <f t="shared" si="19"/>
        <v/>
      </c>
    </row>
    <row r="75" spans="1:24" x14ac:dyDescent="0.2">
      <c r="A75" s="14">
        <v>65</v>
      </c>
      <c r="B75" s="40">
        <v>46636</v>
      </c>
      <c r="C75" s="41">
        <f t="shared" ref="C75:C91" si="20">$B$5/$B$8</f>
        <v>0.12345679012345678</v>
      </c>
      <c r="D75" s="42"/>
      <c r="E75" s="41">
        <f>SUM($C$11:C75)</f>
        <v>8.0246913580246826</v>
      </c>
      <c r="F75" s="41">
        <f>SUM($D$11:D75)</f>
        <v>0</v>
      </c>
      <c r="G75" s="43" t="str">
        <f>IF(COUNT($D$11:D75)=0,"",F75/E75)</f>
        <v/>
      </c>
      <c r="H75" s="44" t="str">
        <f t="shared" ref="H75:H106" si="21">IF(G75="","",IF(G75&gt;=0.95,"En meta",IF(G75&gt;=0.8,"Riesgo","Atrasado")))</f>
        <v/>
      </c>
      <c r="I75" s="45"/>
      <c r="J75" s="46" t="str">
        <f t="shared" ref="J75:J106" si="22">IF(I75="","",IF($I$9="","",IF($I$9=0,"",I75/$I$9)))</f>
        <v/>
      </c>
      <c r="K75" s="45"/>
      <c r="L75" s="46" t="str">
        <f t="shared" ref="L75:L106" si="23">IF(K75="","",IF($K$9="","",IF($K$9=0,"",K75/$K$9)))</f>
        <v/>
      </c>
      <c r="M75" s="45"/>
      <c r="N75" s="46" t="str">
        <f t="shared" ref="N75:N106" si="24">IF(M75="","",IF($M$9="","",IF($M$9=0,"",M75/$M$9)))</f>
        <v/>
      </c>
      <c r="O75" s="45"/>
      <c r="P75" s="46" t="str">
        <f t="shared" ref="P75:P106" si="25">IF(O75="","",IF($O$9="","",IF($O$9=0,"",O75/$O$9)))</f>
        <v/>
      </c>
      <c r="Q75" s="45"/>
      <c r="R75" s="46" t="str">
        <f t="shared" ref="R75:R106" si="26">IF(Q75="","",IF($Q$9="","",IF($Q$9=0,"",Q75/$Q$9)))</f>
        <v/>
      </c>
      <c r="S75" s="45"/>
      <c r="T75" s="46" t="str">
        <f t="shared" ref="T75:T106" si="27">IF(S75="","",IF($S$9="","",IF($S$9=0,"",S75/$S$9)))</f>
        <v/>
      </c>
      <c r="U75" s="47"/>
      <c r="V75" s="46" t="str">
        <f t="shared" ref="V75:V106" si="28">IF(U75="","",IF($U$9="","",IF($U$9=0,"",U75/$U$9)))</f>
        <v/>
      </c>
      <c r="W75" s="45"/>
      <c r="X75" s="46" t="str">
        <f t="shared" ref="X75:X106" si="29">IF(W75="","",IF($W$9="","",IF($W$9=0,"",W75/$W$9)))</f>
        <v/>
      </c>
    </row>
    <row r="76" spans="1:24" x14ac:dyDescent="0.2">
      <c r="A76" s="21">
        <v>66</v>
      </c>
      <c r="B76" s="48">
        <v>46643</v>
      </c>
      <c r="C76" s="49">
        <f t="shared" si="20"/>
        <v>0.12345679012345678</v>
      </c>
      <c r="D76" s="42"/>
      <c r="E76" s="49">
        <f>SUM($C$11:C76)</f>
        <v>8.1481481481481399</v>
      </c>
      <c r="F76" s="49">
        <f>SUM($D$11:D76)</f>
        <v>0</v>
      </c>
      <c r="G76" s="50" t="str">
        <f>IF(COUNT($D$11:D76)=0,"",F76/E76)</f>
        <v/>
      </c>
      <c r="H76" s="51" t="str">
        <f t="shared" si="21"/>
        <v/>
      </c>
      <c r="I76" s="45"/>
      <c r="J76" s="52" t="str">
        <f t="shared" si="22"/>
        <v/>
      </c>
      <c r="K76" s="45"/>
      <c r="L76" s="52" t="str">
        <f t="shared" si="23"/>
        <v/>
      </c>
      <c r="M76" s="45"/>
      <c r="N76" s="52" t="str">
        <f t="shared" si="24"/>
        <v/>
      </c>
      <c r="O76" s="45"/>
      <c r="P76" s="52" t="str">
        <f t="shared" si="25"/>
        <v/>
      </c>
      <c r="Q76" s="45"/>
      <c r="R76" s="52" t="str">
        <f t="shared" si="26"/>
        <v/>
      </c>
      <c r="S76" s="45"/>
      <c r="T76" s="52" t="str">
        <f t="shared" si="27"/>
        <v/>
      </c>
      <c r="U76" s="47"/>
      <c r="V76" s="52" t="str">
        <f t="shared" si="28"/>
        <v/>
      </c>
      <c r="W76" s="45"/>
      <c r="X76" s="52" t="str">
        <f t="shared" si="29"/>
        <v/>
      </c>
    </row>
    <row r="77" spans="1:24" x14ac:dyDescent="0.2">
      <c r="A77" s="14">
        <v>67</v>
      </c>
      <c r="B77" s="40">
        <v>46650</v>
      </c>
      <c r="C77" s="41">
        <f t="shared" si="20"/>
        <v>0.12345679012345678</v>
      </c>
      <c r="D77" s="42"/>
      <c r="E77" s="41">
        <f>SUM($C$11:C77)</f>
        <v>8.2716049382715973</v>
      </c>
      <c r="F77" s="41">
        <f>SUM($D$11:D77)</f>
        <v>0</v>
      </c>
      <c r="G77" s="43" t="str">
        <f>IF(COUNT($D$11:D77)=0,"",F77/E77)</f>
        <v/>
      </c>
      <c r="H77" s="44" t="str">
        <f t="shared" si="21"/>
        <v/>
      </c>
      <c r="I77" s="45"/>
      <c r="J77" s="46" t="str">
        <f t="shared" si="22"/>
        <v/>
      </c>
      <c r="K77" s="45"/>
      <c r="L77" s="46" t="str">
        <f t="shared" si="23"/>
        <v/>
      </c>
      <c r="M77" s="45"/>
      <c r="N77" s="46" t="str">
        <f t="shared" si="24"/>
        <v/>
      </c>
      <c r="O77" s="45"/>
      <c r="P77" s="46" t="str">
        <f t="shared" si="25"/>
        <v/>
      </c>
      <c r="Q77" s="45"/>
      <c r="R77" s="46" t="str">
        <f t="shared" si="26"/>
        <v/>
      </c>
      <c r="S77" s="45"/>
      <c r="T77" s="46" t="str">
        <f t="shared" si="27"/>
        <v/>
      </c>
      <c r="U77" s="47"/>
      <c r="V77" s="46" t="str">
        <f t="shared" si="28"/>
        <v/>
      </c>
      <c r="W77" s="45"/>
      <c r="X77" s="46" t="str">
        <f t="shared" si="29"/>
        <v/>
      </c>
    </row>
    <row r="78" spans="1:24" x14ac:dyDescent="0.2">
      <c r="A78" s="21">
        <v>68</v>
      </c>
      <c r="B78" s="48">
        <v>46657</v>
      </c>
      <c r="C78" s="49">
        <f t="shared" si="20"/>
        <v>0.12345679012345678</v>
      </c>
      <c r="D78" s="42"/>
      <c r="E78" s="49">
        <f>SUM($C$11:C78)</f>
        <v>8.3950617283950546</v>
      </c>
      <c r="F78" s="49">
        <f>SUM($D$11:D78)</f>
        <v>0</v>
      </c>
      <c r="G78" s="50" t="str">
        <f>IF(COUNT($D$11:D78)=0,"",F78/E78)</f>
        <v/>
      </c>
      <c r="H78" s="51" t="str">
        <f t="shared" si="21"/>
        <v/>
      </c>
      <c r="I78" s="45"/>
      <c r="J78" s="52" t="str">
        <f t="shared" si="22"/>
        <v/>
      </c>
      <c r="K78" s="45"/>
      <c r="L78" s="52" t="str">
        <f t="shared" si="23"/>
        <v/>
      </c>
      <c r="M78" s="45"/>
      <c r="N78" s="52" t="str">
        <f t="shared" si="24"/>
        <v/>
      </c>
      <c r="O78" s="45"/>
      <c r="P78" s="52" t="str">
        <f t="shared" si="25"/>
        <v/>
      </c>
      <c r="Q78" s="45"/>
      <c r="R78" s="52" t="str">
        <f t="shared" si="26"/>
        <v/>
      </c>
      <c r="S78" s="45"/>
      <c r="T78" s="52" t="str">
        <f t="shared" si="27"/>
        <v/>
      </c>
      <c r="U78" s="47"/>
      <c r="V78" s="52" t="str">
        <f t="shared" si="28"/>
        <v/>
      </c>
      <c r="W78" s="45"/>
      <c r="X78" s="52" t="str">
        <f t="shared" si="29"/>
        <v/>
      </c>
    </row>
    <row r="79" spans="1:24" x14ac:dyDescent="0.2">
      <c r="A79" s="14">
        <v>69</v>
      </c>
      <c r="B79" s="40">
        <v>46664</v>
      </c>
      <c r="C79" s="41">
        <f t="shared" si="20"/>
        <v>0.12345679012345678</v>
      </c>
      <c r="D79" s="42"/>
      <c r="E79" s="41">
        <f>SUM($C$11:C79)</f>
        <v>8.5185185185185119</v>
      </c>
      <c r="F79" s="41">
        <f>SUM($D$11:D79)</f>
        <v>0</v>
      </c>
      <c r="G79" s="43" t="str">
        <f>IF(COUNT($D$11:D79)=0,"",F79/E79)</f>
        <v/>
      </c>
      <c r="H79" s="44" t="str">
        <f t="shared" si="21"/>
        <v/>
      </c>
      <c r="I79" s="45"/>
      <c r="J79" s="46" t="str">
        <f t="shared" si="22"/>
        <v/>
      </c>
      <c r="K79" s="45"/>
      <c r="L79" s="46" t="str">
        <f t="shared" si="23"/>
        <v/>
      </c>
      <c r="M79" s="45"/>
      <c r="N79" s="46" t="str">
        <f t="shared" si="24"/>
        <v/>
      </c>
      <c r="O79" s="45"/>
      <c r="P79" s="46" t="str">
        <f t="shared" si="25"/>
        <v/>
      </c>
      <c r="Q79" s="45"/>
      <c r="R79" s="46" t="str">
        <f t="shared" si="26"/>
        <v/>
      </c>
      <c r="S79" s="45"/>
      <c r="T79" s="46" t="str">
        <f t="shared" si="27"/>
        <v/>
      </c>
      <c r="U79" s="47"/>
      <c r="V79" s="46" t="str">
        <f t="shared" si="28"/>
        <v/>
      </c>
      <c r="W79" s="45"/>
      <c r="X79" s="46" t="str">
        <f t="shared" si="29"/>
        <v/>
      </c>
    </row>
    <row r="80" spans="1:24" x14ac:dyDescent="0.2">
      <c r="A80" s="21">
        <v>70</v>
      </c>
      <c r="B80" s="48">
        <v>46671</v>
      </c>
      <c r="C80" s="49">
        <f t="shared" si="20"/>
        <v>0.12345679012345678</v>
      </c>
      <c r="D80" s="42"/>
      <c r="E80" s="49">
        <f>SUM($C$11:C80)</f>
        <v>8.6419753086419693</v>
      </c>
      <c r="F80" s="49">
        <f>SUM($D$11:D80)</f>
        <v>0</v>
      </c>
      <c r="G80" s="50" t="str">
        <f>IF(COUNT($D$11:D80)=0,"",F80/E80)</f>
        <v/>
      </c>
      <c r="H80" s="51" t="str">
        <f t="shared" si="21"/>
        <v/>
      </c>
      <c r="I80" s="45"/>
      <c r="J80" s="52" t="str">
        <f t="shared" si="22"/>
        <v/>
      </c>
      <c r="K80" s="45"/>
      <c r="L80" s="52" t="str">
        <f t="shared" si="23"/>
        <v/>
      </c>
      <c r="M80" s="45"/>
      <c r="N80" s="52" t="str">
        <f t="shared" si="24"/>
        <v/>
      </c>
      <c r="O80" s="45"/>
      <c r="P80" s="52" t="str">
        <f t="shared" si="25"/>
        <v/>
      </c>
      <c r="Q80" s="45"/>
      <c r="R80" s="52" t="str">
        <f t="shared" si="26"/>
        <v/>
      </c>
      <c r="S80" s="45"/>
      <c r="T80" s="52" t="str">
        <f t="shared" si="27"/>
        <v/>
      </c>
      <c r="U80" s="47"/>
      <c r="V80" s="52" t="str">
        <f t="shared" si="28"/>
        <v/>
      </c>
      <c r="W80" s="45"/>
      <c r="X80" s="52" t="str">
        <f t="shared" si="29"/>
        <v/>
      </c>
    </row>
    <row r="81" spans="1:24" x14ac:dyDescent="0.2">
      <c r="A81" s="14">
        <v>71</v>
      </c>
      <c r="B81" s="40">
        <v>46678</v>
      </c>
      <c r="C81" s="41">
        <f t="shared" si="20"/>
        <v>0.12345679012345678</v>
      </c>
      <c r="D81" s="42"/>
      <c r="E81" s="41">
        <f>SUM($C$11:C81)</f>
        <v>8.7654320987654266</v>
      </c>
      <c r="F81" s="41">
        <f>SUM($D$11:D81)</f>
        <v>0</v>
      </c>
      <c r="G81" s="43" t="str">
        <f>IF(COUNT($D$11:D81)=0,"",F81/E81)</f>
        <v/>
      </c>
      <c r="H81" s="44" t="str">
        <f t="shared" si="21"/>
        <v/>
      </c>
      <c r="I81" s="45"/>
      <c r="J81" s="46" t="str">
        <f t="shared" si="22"/>
        <v/>
      </c>
      <c r="K81" s="45"/>
      <c r="L81" s="46" t="str">
        <f t="shared" si="23"/>
        <v/>
      </c>
      <c r="M81" s="45"/>
      <c r="N81" s="46" t="str">
        <f t="shared" si="24"/>
        <v/>
      </c>
      <c r="O81" s="45"/>
      <c r="P81" s="46" t="str">
        <f t="shared" si="25"/>
        <v/>
      </c>
      <c r="Q81" s="45"/>
      <c r="R81" s="46" t="str">
        <f t="shared" si="26"/>
        <v/>
      </c>
      <c r="S81" s="45"/>
      <c r="T81" s="46" t="str">
        <f t="shared" si="27"/>
        <v/>
      </c>
      <c r="U81" s="47"/>
      <c r="V81" s="46" t="str">
        <f t="shared" si="28"/>
        <v/>
      </c>
      <c r="W81" s="45"/>
      <c r="X81" s="46" t="str">
        <f t="shared" si="29"/>
        <v/>
      </c>
    </row>
    <row r="82" spans="1:24" x14ac:dyDescent="0.2">
      <c r="A82" s="21">
        <v>72</v>
      </c>
      <c r="B82" s="48">
        <v>46685</v>
      </c>
      <c r="C82" s="49">
        <f t="shared" si="20"/>
        <v>0.12345679012345678</v>
      </c>
      <c r="D82" s="42"/>
      <c r="E82" s="49">
        <f>SUM($C$11:C82)</f>
        <v>8.888888888888884</v>
      </c>
      <c r="F82" s="49">
        <f>SUM($D$11:D82)</f>
        <v>0</v>
      </c>
      <c r="G82" s="50" t="str">
        <f>IF(COUNT($D$11:D82)=0,"",F82/E82)</f>
        <v/>
      </c>
      <c r="H82" s="51" t="str">
        <f t="shared" si="21"/>
        <v/>
      </c>
      <c r="I82" s="45"/>
      <c r="J82" s="52" t="str">
        <f t="shared" si="22"/>
        <v/>
      </c>
      <c r="K82" s="45"/>
      <c r="L82" s="52" t="str">
        <f t="shared" si="23"/>
        <v/>
      </c>
      <c r="M82" s="45"/>
      <c r="N82" s="52" t="str">
        <f t="shared" si="24"/>
        <v/>
      </c>
      <c r="O82" s="45"/>
      <c r="P82" s="52" t="str">
        <f t="shared" si="25"/>
        <v/>
      </c>
      <c r="Q82" s="45"/>
      <c r="R82" s="52" t="str">
        <f t="shared" si="26"/>
        <v/>
      </c>
      <c r="S82" s="45"/>
      <c r="T82" s="52" t="str">
        <f t="shared" si="27"/>
        <v/>
      </c>
      <c r="U82" s="47"/>
      <c r="V82" s="52" t="str">
        <f t="shared" si="28"/>
        <v/>
      </c>
      <c r="W82" s="45"/>
      <c r="X82" s="52" t="str">
        <f t="shared" si="29"/>
        <v/>
      </c>
    </row>
    <row r="83" spans="1:24" x14ac:dyDescent="0.2">
      <c r="A83" s="14">
        <v>73</v>
      </c>
      <c r="B83" s="40">
        <v>46692</v>
      </c>
      <c r="C83" s="41">
        <f t="shared" si="20"/>
        <v>0.12345679012345678</v>
      </c>
      <c r="D83" s="42"/>
      <c r="E83" s="41">
        <f>SUM($C$11:C83)</f>
        <v>9.0123456790123413</v>
      </c>
      <c r="F83" s="41">
        <f>SUM($D$11:D83)</f>
        <v>0</v>
      </c>
      <c r="G83" s="43" t="str">
        <f>IF(COUNT($D$11:D83)=0,"",F83/E83)</f>
        <v/>
      </c>
      <c r="H83" s="44" t="str">
        <f t="shared" si="21"/>
        <v/>
      </c>
      <c r="I83" s="45"/>
      <c r="J83" s="46" t="str">
        <f t="shared" si="22"/>
        <v/>
      </c>
      <c r="K83" s="45"/>
      <c r="L83" s="46" t="str">
        <f t="shared" si="23"/>
        <v/>
      </c>
      <c r="M83" s="45"/>
      <c r="N83" s="46" t="str">
        <f t="shared" si="24"/>
        <v/>
      </c>
      <c r="O83" s="45"/>
      <c r="P83" s="46" t="str">
        <f t="shared" si="25"/>
        <v/>
      </c>
      <c r="Q83" s="45"/>
      <c r="R83" s="46" t="str">
        <f t="shared" si="26"/>
        <v/>
      </c>
      <c r="S83" s="45"/>
      <c r="T83" s="46" t="str">
        <f t="shared" si="27"/>
        <v/>
      </c>
      <c r="U83" s="47"/>
      <c r="V83" s="46" t="str">
        <f t="shared" si="28"/>
        <v/>
      </c>
      <c r="W83" s="45"/>
      <c r="X83" s="46" t="str">
        <f t="shared" si="29"/>
        <v/>
      </c>
    </row>
    <row r="84" spans="1:24" x14ac:dyDescent="0.2">
      <c r="A84" s="21">
        <v>74</v>
      </c>
      <c r="B84" s="48">
        <v>46699</v>
      </c>
      <c r="C84" s="49">
        <f t="shared" si="20"/>
        <v>0.12345679012345678</v>
      </c>
      <c r="D84" s="42"/>
      <c r="E84" s="49">
        <f>SUM($C$11:C84)</f>
        <v>9.1358024691357986</v>
      </c>
      <c r="F84" s="49">
        <f>SUM($D$11:D84)</f>
        <v>0</v>
      </c>
      <c r="G84" s="50" t="str">
        <f>IF(COUNT($D$11:D84)=0,"",F84/E84)</f>
        <v/>
      </c>
      <c r="H84" s="51" t="str">
        <f t="shared" si="21"/>
        <v/>
      </c>
      <c r="I84" s="45"/>
      <c r="J84" s="52" t="str">
        <f t="shared" si="22"/>
        <v/>
      </c>
      <c r="K84" s="45"/>
      <c r="L84" s="52" t="str">
        <f t="shared" si="23"/>
        <v/>
      </c>
      <c r="M84" s="45"/>
      <c r="N84" s="52" t="str">
        <f t="shared" si="24"/>
        <v/>
      </c>
      <c r="O84" s="45"/>
      <c r="P84" s="52" t="str">
        <f t="shared" si="25"/>
        <v/>
      </c>
      <c r="Q84" s="45"/>
      <c r="R84" s="52" t="str">
        <f t="shared" si="26"/>
        <v/>
      </c>
      <c r="S84" s="45"/>
      <c r="T84" s="52" t="str">
        <f t="shared" si="27"/>
        <v/>
      </c>
      <c r="U84" s="47"/>
      <c r="V84" s="52" t="str">
        <f t="shared" si="28"/>
        <v/>
      </c>
      <c r="W84" s="45"/>
      <c r="X84" s="52" t="str">
        <f t="shared" si="29"/>
        <v/>
      </c>
    </row>
    <row r="85" spans="1:24" x14ac:dyDescent="0.2">
      <c r="A85" s="14">
        <v>75</v>
      </c>
      <c r="B85" s="40">
        <v>46706</v>
      </c>
      <c r="C85" s="41">
        <f t="shared" si="20"/>
        <v>0.12345679012345678</v>
      </c>
      <c r="D85" s="42"/>
      <c r="E85" s="41">
        <f>SUM($C$11:C85)</f>
        <v>9.259259259259256</v>
      </c>
      <c r="F85" s="41">
        <f>SUM($D$11:D85)</f>
        <v>0</v>
      </c>
      <c r="G85" s="43" t="str">
        <f>IF(COUNT($D$11:D85)=0,"",F85/E85)</f>
        <v/>
      </c>
      <c r="H85" s="44" t="str">
        <f t="shared" si="21"/>
        <v/>
      </c>
      <c r="I85" s="45"/>
      <c r="J85" s="46" t="str">
        <f t="shared" si="22"/>
        <v/>
      </c>
      <c r="K85" s="45"/>
      <c r="L85" s="46" t="str">
        <f t="shared" si="23"/>
        <v/>
      </c>
      <c r="M85" s="45"/>
      <c r="N85" s="46" t="str">
        <f t="shared" si="24"/>
        <v/>
      </c>
      <c r="O85" s="45"/>
      <c r="P85" s="46" t="str">
        <f t="shared" si="25"/>
        <v/>
      </c>
      <c r="Q85" s="45"/>
      <c r="R85" s="46" t="str">
        <f t="shared" si="26"/>
        <v/>
      </c>
      <c r="S85" s="45"/>
      <c r="T85" s="46" t="str">
        <f t="shared" si="27"/>
        <v/>
      </c>
      <c r="U85" s="47"/>
      <c r="V85" s="46" t="str">
        <f t="shared" si="28"/>
        <v/>
      </c>
      <c r="W85" s="45"/>
      <c r="X85" s="46" t="str">
        <f t="shared" si="29"/>
        <v/>
      </c>
    </row>
    <row r="86" spans="1:24" x14ac:dyDescent="0.2">
      <c r="A86" s="21">
        <v>76</v>
      </c>
      <c r="B86" s="48">
        <v>46713</v>
      </c>
      <c r="C86" s="49">
        <f t="shared" si="20"/>
        <v>0.12345679012345678</v>
      </c>
      <c r="D86" s="42"/>
      <c r="E86" s="49">
        <f>SUM($C$11:C86)</f>
        <v>9.3827160493827133</v>
      </c>
      <c r="F86" s="49">
        <f>SUM($D$11:D86)</f>
        <v>0</v>
      </c>
      <c r="G86" s="50" t="str">
        <f>IF(COUNT($D$11:D86)=0,"",F86/E86)</f>
        <v/>
      </c>
      <c r="H86" s="51" t="str">
        <f t="shared" si="21"/>
        <v/>
      </c>
      <c r="I86" s="45"/>
      <c r="J86" s="52" t="str">
        <f t="shared" si="22"/>
        <v/>
      </c>
      <c r="K86" s="45"/>
      <c r="L86" s="52" t="str">
        <f t="shared" si="23"/>
        <v/>
      </c>
      <c r="M86" s="45"/>
      <c r="N86" s="52" t="str">
        <f t="shared" si="24"/>
        <v/>
      </c>
      <c r="O86" s="45"/>
      <c r="P86" s="52" t="str">
        <f t="shared" si="25"/>
        <v/>
      </c>
      <c r="Q86" s="45"/>
      <c r="R86" s="52" t="str">
        <f t="shared" si="26"/>
        <v/>
      </c>
      <c r="S86" s="45"/>
      <c r="T86" s="52" t="str">
        <f t="shared" si="27"/>
        <v/>
      </c>
      <c r="U86" s="47"/>
      <c r="V86" s="52" t="str">
        <f t="shared" si="28"/>
        <v/>
      </c>
      <c r="W86" s="45"/>
      <c r="X86" s="52" t="str">
        <f t="shared" si="29"/>
        <v/>
      </c>
    </row>
    <row r="87" spans="1:24" x14ac:dyDescent="0.2">
      <c r="A87" s="14">
        <v>77</v>
      </c>
      <c r="B87" s="40">
        <v>46720</v>
      </c>
      <c r="C87" s="41">
        <f t="shared" si="20"/>
        <v>0.12345679012345678</v>
      </c>
      <c r="D87" s="42"/>
      <c r="E87" s="41">
        <f>SUM($C$11:C87)</f>
        <v>9.5061728395061706</v>
      </c>
      <c r="F87" s="41">
        <f>SUM($D$11:D87)</f>
        <v>0</v>
      </c>
      <c r="G87" s="43" t="str">
        <f>IF(COUNT($D$11:D87)=0,"",F87/E87)</f>
        <v/>
      </c>
      <c r="H87" s="44" t="str">
        <f t="shared" si="21"/>
        <v/>
      </c>
      <c r="I87" s="45"/>
      <c r="J87" s="46" t="str">
        <f t="shared" si="22"/>
        <v/>
      </c>
      <c r="K87" s="45"/>
      <c r="L87" s="46" t="str">
        <f t="shared" si="23"/>
        <v/>
      </c>
      <c r="M87" s="45"/>
      <c r="N87" s="46" t="str">
        <f t="shared" si="24"/>
        <v/>
      </c>
      <c r="O87" s="45"/>
      <c r="P87" s="46" t="str">
        <f t="shared" si="25"/>
        <v/>
      </c>
      <c r="Q87" s="45"/>
      <c r="R87" s="46" t="str">
        <f t="shared" si="26"/>
        <v/>
      </c>
      <c r="S87" s="45"/>
      <c r="T87" s="46" t="str">
        <f t="shared" si="27"/>
        <v/>
      </c>
      <c r="U87" s="47"/>
      <c r="V87" s="46" t="str">
        <f t="shared" si="28"/>
        <v/>
      </c>
      <c r="W87" s="45"/>
      <c r="X87" s="46" t="str">
        <f t="shared" si="29"/>
        <v/>
      </c>
    </row>
    <row r="88" spans="1:24" x14ac:dyDescent="0.2">
      <c r="A88" s="21">
        <v>78</v>
      </c>
      <c r="B88" s="48">
        <v>46727</v>
      </c>
      <c r="C88" s="49">
        <f t="shared" si="20"/>
        <v>0.12345679012345678</v>
      </c>
      <c r="D88" s="42"/>
      <c r="E88" s="49">
        <f>SUM($C$11:C88)</f>
        <v>9.629629629629628</v>
      </c>
      <c r="F88" s="49">
        <f>SUM($D$11:D88)</f>
        <v>0</v>
      </c>
      <c r="G88" s="50" t="str">
        <f>IF(COUNT($D$11:D88)=0,"",F88/E88)</f>
        <v/>
      </c>
      <c r="H88" s="51" t="str">
        <f t="shared" si="21"/>
        <v/>
      </c>
      <c r="I88" s="45"/>
      <c r="J88" s="52" t="str">
        <f t="shared" si="22"/>
        <v/>
      </c>
      <c r="K88" s="45"/>
      <c r="L88" s="52" t="str">
        <f t="shared" si="23"/>
        <v/>
      </c>
      <c r="M88" s="45"/>
      <c r="N88" s="52" t="str">
        <f t="shared" si="24"/>
        <v/>
      </c>
      <c r="O88" s="45"/>
      <c r="P88" s="52" t="str">
        <f t="shared" si="25"/>
        <v/>
      </c>
      <c r="Q88" s="45"/>
      <c r="R88" s="52" t="str">
        <f t="shared" si="26"/>
        <v/>
      </c>
      <c r="S88" s="45"/>
      <c r="T88" s="52" t="str">
        <f t="shared" si="27"/>
        <v/>
      </c>
      <c r="U88" s="47"/>
      <c r="V88" s="52" t="str">
        <f t="shared" si="28"/>
        <v/>
      </c>
      <c r="W88" s="45"/>
      <c r="X88" s="52" t="str">
        <f t="shared" si="29"/>
        <v/>
      </c>
    </row>
    <row r="89" spans="1:24" x14ac:dyDescent="0.2">
      <c r="A89" s="14">
        <v>79</v>
      </c>
      <c r="B89" s="40">
        <v>46734</v>
      </c>
      <c r="C89" s="41">
        <f t="shared" si="20"/>
        <v>0.12345679012345678</v>
      </c>
      <c r="D89" s="42"/>
      <c r="E89" s="41">
        <f>SUM($C$11:C89)</f>
        <v>9.7530864197530853</v>
      </c>
      <c r="F89" s="41">
        <f>SUM($D$11:D89)</f>
        <v>0</v>
      </c>
      <c r="G89" s="43" t="str">
        <f>IF(COUNT($D$11:D89)=0,"",F89/E89)</f>
        <v/>
      </c>
      <c r="H89" s="44" t="str">
        <f t="shared" si="21"/>
        <v/>
      </c>
      <c r="I89" s="45"/>
      <c r="J89" s="46" t="str">
        <f t="shared" si="22"/>
        <v/>
      </c>
      <c r="K89" s="45"/>
      <c r="L89" s="46" t="str">
        <f t="shared" si="23"/>
        <v/>
      </c>
      <c r="M89" s="45"/>
      <c r="N89" s="46" t="str">
        <f t="shared" si="24"/>
        <v/>
      </c>
      <c r="O89" s="45"/>
      <c r="P89" s="46" t="str">
        <f t="shared" si="25"/>
        <v/>
      </c>
      <c r="Q89" s="45"/>
      <c r="R89" s="46" t="str">
        <f t="shared" si="26"/>
        <v/>
      </c>
      <c r="S89" s="45"/>
      <c r="T89" s="46" t="str">
        <f t="shared" si="27"/>
        <v/>
      </c>
      <c r="U89" s="47"/>
      <c r="V89" s="46" t="str">
        <f t="shared" si="28"/>
        <v/>
      </c>
      <c r="W89" s="45"/>
      <c r="X89" s="46" t="str">
        <f t="shared" si="29"/>
        <v/>
      </c>
    </row>
    <row r="90" spans="1:24" x14ac:dyDescent="0.2">
      <c r="A90" s="21">
        <v>80</v>
      </c>
      <c r="B90" s="48">
        <v>46741</v>
      </c>
      <c r="C90" s="49">
        <f t="shared" si="20"/>
        <v>0.12345679012345678</v>
      </c>
      <c r="D90" s="42"/>
      <c r="E90" s="49">
        <f>SUM($C$11:C90)</f>
        <v>9.8765432098765427</v>
      </c>
      <c r="F90" s="49">
        <f>SUM($D$11:D90)</f>
        <v>0</v>
      </c>
      <c r="G90" s="50" t="str">
        <f>IF(COUNT($D$11:D90)=0,"",F90/E90)</f>
        <v/>
      </c>
      <c r="H90" s="51" t="str">
        <f t="shared" si="21"/>
        <v/>
      </c>
      <c r="I90" s="45"/>
      <c r="J90" s="52" t="str">
        <f t="shared" si="22"/>
        <v/>
      </c>
      <c r="K90" s="45"/>
      <c r="L90" s="52" t="str">
        <f t="shared" si="23"/>
        <v/>
      </c>
      <c r="M90" s="45"/>
      <c r="N90" s="52" t="str">
        <f t="shared" si="24"/>
        <v/>
      </c>
      <c r="O90" s="45"/>
      <c r="P90" s="52" t="str">
        <f t="shared" si="25"/>
        <v/>
      </c>
      <c r="Q90" s="45"/>
      <c r="R90" s="52" t="str">
        <f t="shared" si="26"/>
        <v/>
      </c>
      <c r="S90" s="45"/>
      <c r="T90" s="52" t="str">
        <f t="shared" si="27"/>
        <v/>
      </c>
      <c r="U90" s="47"/>
      <c r="V90" s="52" t="str">
        <f t="shared" si="28"/>
        <v/>
      </c>
      <c r="W90" s="45"/>
      <c r="X90" s="52" t="str">
        <f t="shared" si="29"/>
        <v/>
      </c>
    </row>
    <row r="91" spans="1:24" x14ac:dyDescent="0.2">
      <c r="A91" s="14">
        <v>81</v>
      </c>
      <c r="B91" s="40">
        <v>46748</v>
      </c>
      <c r="C91" s="41">
        <f t="shared" si="20"/>
        <v>0.12345679012345678</v>
      </c>
      <c r="D91" s="42"/>
      <c r="E91" s="41">
        <f>SUM($C$11:C91)</f>
        <v>10</v>
      </c>
      <c r="F91" s="41">
        <f>SUM($D$11:D91)</f>
        <v>0</v>
      </c>
      <c r="G91" s="43" t="str">
        <f>IF(COUNT($D$11:D91)=0,"",F91/E91)</f>
        <v/>
      </c>
      <c r="H91" s="44" t="str">
        <f t="shared" si="21"/>
        <v/>
      </c>
      <c r="I91" s="45"/>
      <c r="J91" s="46" t="str">
        <f t="shared" si="22"/>
        <v/>
      </c>
      <c r="K91" s="45"/>
      <c r="L91" s="46" t="str">
        <f t="shared" si="23"/>
        <v/>
      </c>
      <c r="M91" s="45"/>
      <c r="N91" s="46" t="str">
        <f t="shared" si="24"/>
        <v/>
      </c>
      <c r="O91" s="45"/>
      <c r="P91" s="46" t="str">
        <f t="shared" si="25"/>
        <v/>
      </c>
      <c r="Q91" s="45"/>
      <c r="R91" s="46" t="str">
        <f t="shared" si="26"/>
        <v/>
      </c>
      <c r="S91" s="45"/>
      <c r="T91" s="46" t="str">
        <f t="shared" si="27"/>
        <v/>
      </c>
      <c r="U91" s="47"/>
      <c r="V91" s="46" t="str">
        <f t="shared" si="28"/>
        <v/>
      </c>
      <c r="W91" s="45"/>
      <c r="X91" s="46" t="str">
        <f t="shared" si="29"/>
        <v/>
      </c>
    </row>
  </sheetData>
  <mergeCells count="17">
    <mergeCell ref="A1:X1"/>
    <mergeCell ref="I8:J8"/>
    <mergeCell ref="O9:P9"/>
    <mergeCell ref="I9:J9"/>
    <mergeCell ref="W9:X9"/>
    <mergeCell ref="Q8:R8"/>
    <mergeCell ref="M8:N8"/>
    <mergeCell ref="U8:V8"/>
    <mergeCell ref="S8:T8"/>
    <mergeCell ref="W8:X8"/>
    <mergeCell ref="U9:V9"/>
    <mergeCell ref="K8:L8"/>
    <mergeCell ref="S9:T9"/>
    <mergeCell ref="O8:P8"/>
    <mergeCell ref="K9:L9"/>
    <mergeCell ref="M9:N9"/>
    <mergeCell ref="Q9:R9"/>
  </mergeCells>
  <conditionalFormatting sqref="H11:H91">
    <cfRule type="containsText" dxfId="22" priority="1" operator="containsText" text="En meta">
      <formula>NOT(ISERROR(SEARCH("En meta",H11)))</formula>
    </cfRule>
    <cfRule type="containsText" dxfId="21" priority="2" operator="containsText" text="Riesgo">
      <formula>NOT(ISERROR(SEARCH("Riesgo",H11)))</formula>
    </cfRule>
    <cfRule type="containsText" dxfId="20" priority="3" operator="containsText" text="Atrasado">
      <formula>NOT(ISERROR(SEARCH("Atrasado",H11)))</formula>
    </cfRule>
  </conditionalFormatting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X91"/>
  <sheetViews>
    <sheetView showGridLines="0" workbookViewId="0">
      <pane xSplit="2" ySplit="10" topLeftCell="C11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5" customWidth="1"/>
    <col min="2" max="2" width="11" customWidth="1"/>
    <col min="3" max="3" width="12" customWidth="1"/>
    <col min="4" max="4" width="11" customWidth="1"/>
    <col min="5" max="6" width="12" customWidth="1"/>
    <col min="7" max="7" width="13" customWidth="1"/>
    <col min="8" max="9" width="11" customWidth="1"/>
    <col min="10" max="10" width="7" customWidth="1"/>
    <col min="11" max="11" width="11" customWidth="1"/>
    <col min="12" max="12" width="7" customWidth="1"/>
    <col min="13" max="13" width="11" customWidth="1"/>
    <col min="14" max="14" width="7" customWidth="1"/>
    <col min="15" max="15" width="11" customWidth="1"/>
    <col min="16" max="16" width="7" customWidth="1"/>
    <col min="17" max="17" width="11" customWidth="1"/>
    <col min="18" max="18" width="7" customWidth="1"/>
    <col min="19" max="19" width="11" customWidth="1"/>
    <col min="20" max="20" width="7" customWidth="1"/>
    <col min="21" max="21" width="11" customWidth="1"/>
    <col min="22" max="22" width="7" customWidth="1"/>
    <col min="23" max="23" width="11" customWidth="1"/>
    <col min="24" max="24" width="7" customWidth="1"/>
  </cols>
  <sheetData>
    <row r="1" spans="1:24" ht="18" x14ac:dyDescent="0.2">
      <c r="A1" s="79" t="s">
        <v>94</v>
      </c>
      <c r="B1" s="73"/>
      <c r="C1" s="73"/>
      <c r="D1" s="73"/>
      <c r="E1" s="73"/>
      <c r="F1" s="73"/>
      <c r="G1" s="73"/>
      <c r="H1" s="73"/>
      <c r="I1" s="73"/>
      <c r="J1" s="73"/>
      <c r="K1" s="73"/>
      <c r="L1" s="73"/>
      <c r="M1" s="73"/>
      <c r="N1" s="73"/>
      <c r="O1" s="73"/>
      <c r="P1" s="73"/>
      <c r="Q1" s="73"/>
      <c r="R1" s="73"/>
      <c r="S1" s="73"/>
      <c r="T1" s="73"/>
      <c r="U1" s="73"/>
      <c r="V1" s="73"/>
      <c r="W1" s="73"/>
      <c r="X1" s="73"/>
    </row>
    <row r="2" spans="1:24" x14ac:dyDescent="0.2">
      <c r="A2" s="1" t="s">
        <v>46</v>
      </c>
      <c r="B2" s="32" t="s">
        <v>95</v>
      </c>
    </row>
    <row r="3" spans="1:24" x14ac:dyDescent="0.2">
      <c r="A3" s="1" t="s">
        <v>48</v>
      </c>
      <c r="B3" s="32" t="s">
        <v>96</v>
      </c>
    </row>
    <row r="4" spans="1:24" x14ac:dyDescent="0.2">
      <c r="A4" s="1" t="s">
        <v>50</v>
      </c>
      <c r="B4" s="33" t="s">
        <v>51</v>
      </c>
      <c r="D4" s="1" t="s">
        <v>52</v>
      </c>
      <c r="E4" s="32" t="s">
        <v>28</v>
      </c>
    </row>
    <row r="5" spans="1:24" x14ac:dyDescent="0.2">
      <c r="A5" s="1" t="s">
        <v>53</v>
      </c>
      <c r="B5" s="55">
        <v>1</v>
      </c>
      <c r="D5" s="1" t="s">
        <v>54</v>
      </c>
      <c r="E5" s="35">
        <v>46188</v>
      </c>
      <c r="G5" s="1" t="s">
        <v>55</v>
      </c>
      <c r="H5" s="35">
        <v>46748</v>
      </c>
    </row>
    <row r="6" spans="1:24" x14ac:dyDescent="0.2">
      <c r="A6" s="1" t="s">
        <v>56</v>
      </c>
      <c r="B6" s="32" t="s">
        <v>57</v>
      </c>
    </row>
    <row r="8" spans="1:24" ht="42" customHeight="1" x14ac:dyDescent="0.2">
      <c r="A8" s="1" t="s">
        <v>58</v>
      </c>
      <c r="B8" s="36">
        <f>COUNT(A11:A91)</f>
        <v>81</v>
      </c>
      <c r="H8" s="37" t="s">
        <v>59</v>
      </c>
      <c r="I8" s="75" t="s">
        <v>97</v>
      </c>
      <c r="J8" s="76"/>
      <c r="K8" s="75" t="s">
        <v>98</v>
      </c>
      <c r="L8" s="76"/>
      <c r="M8" s="75" t="s">
        <v>99</v>
      </c>
      <c r="N8" s="76"/>
      <c r="O8" s="75" t="s">
        <v>100</v>
      </c>
      <c r="P8" s="76"/>
      <c r="Q8" s="75" t="s">
        <v>101</v>
      </c>
      <c r="R8" s="76"/>
      <c r="S8" s="75" t="s">
        <v>102</v>
      </c>
      <c r="T8" s="76"/>
      <c r="U8" s="75" t="s">
        <v>67</v>
      </c>
      <c r="V8" s="76"/>
      <c r="W8" s="75" t="s">
        <v>67</v>
      </c>
      <c r="X8" s="76"/>
    </row>
    <row r="9" spans="1:24" x14ac:dyDescent="0.2">
      <c r="A9" s="38" t="s">
        <v>68</v>
      </c>
      <c r="H9" s="37" t="s">
        <v>69</v>
      </c>
      <c r="I9" s="77">
        <v>1</v>
      </c>
      <c r="J9" s="76"/>
      <c r="K9" s="78">
        <v>1</v>
      </c>
      <c r="L9" s="76"/>
      <c r="M9" s="77">
        <v>1</v>
      </c>
      <c r="N9" s="76"/>
      <c r="O9" s="77">
        <v>1</v>
      </c>
      <c r="P9" s="76"/>
      <c r="Q9" s="78">
        <v>5</v>
      </c>
      <c r="R9" s="76"/>
      <c r="S9" s="77">
        <v>1</v>
      </c>
      <c r="T9" s="76"/>
      <c r="U9" s="78"/>
      <c r="V9" s="76"/>
      <c r="W9" s="78"/>
      <c r="X9" s="76"/>
    </row>
    <row r="10" spans="1:24" x14ac:dyDescent="0.2">
      <c r="A10" s="3" t="s">
        <v>11</v>
      </c>
      <c r="B10" s="3" t="s">
        <v>70</v>
      </c>
      <c r="C10" s="3" t="s">
        <v>15</v>
      </c>
      <c r="D10" s="3" t="s">
        <v>72</v>
      </c>
      <c r="E10" s="3"/>
      <c r="F10" s="3"/>
      <c r="G10" s="3" t="s">
        <v>103</v>
      </c>
      <c r="H10" s="3" t="s">
        <v>9</v>
      </c>
      <c r="I10" s="39" t="s">
        <v>72</v>
      </c>
      <c r="J10" s="39" t="s">
        <v>73</v>
      </c>
      <c r="K10" s="39" t="s">
        <v>72</v>
      </c>
      <c r="L10" s="39" t="s">
        <v>73</v>
      </c>
      <c r="M10" s="39" t="s">
        <v>72</v>
      </c>
      <c r="N10" s="39" t="s">
        <v>73</v>
      </c>
      <c r="O10" s="39" t="s">
        <v>72</v>
      </c>
      <c r="P10" s="39" t="s">
        <v>73</v>
      </c>
      <c r="Q10" s="39" t="s">
        <v>72</v>
      </c>
      <c r="R10" s="39" t="s">
        <v>73</v>
      </c>
      <c r="S10" s="39" t="s">
        <v>72</v>
      </c>
      <c r="T10" s="39" t="s">
        <v>73</v>
      </c>
      <c r="U10" s="39" t="s">
        <v>72</v>
      </c>
      <c r="V10" s="39" t="s">
        <v>73</v>
      </c>
      <c r="W10" s="39" t="s">
        <v>72</v>
      </c>
      <c r="X10" s="39" t="s">
        <v>73</v>
      </c>
    </row>
    <row r="11" spans="1:24" x14ac:dyDescent="0.2">
      <c r="A11" s="14">
        <v>1</v>
      </c>
      <c r="B11" s="40">
        <v>46188</v>
      </c>
      <c r="C11" s="56">
        <f t="shared" ref="C11:C42" si="0">$B$5</f>
        <v>1</v>
      </c>
      <c r="D11" s="42"/>
      <c r="E11" s="14"/>
      <c r="F11" s="14"/>
      <c r="G11" s="43" t="str">
        <f t="shared" ref="G11:G42" si="1">IF(D11="","",D11-C11)</f>
        <v/>
      </c>
      <c r="H11" s="44" t="str">
        <f t="shared" ref="H11:H42" si="2">IF(D11="","",IF(D11&gt;=C11,"En meta",IF(D11&gt;=C11-0.05,"Riesgo","Atrasado")))</f>
        <v/>
      </c>
      <c r="I11" s="47"/>
      <c r="J11" s="46" t="str">
        <f t="shared" ref="J11:J42" si="3">IF(I11="","",IF($I$9="","",IF($I$9=0,"",I11/$I$9)))</f>
        <v/>
      </c>
      <c r="K11" s="45"/>
      <c r="L11" s="46" t="str">
        <f t="shared" ref="L11:L42" si="4">IF(K11="","",IF($K$9="","",IF($K$9=0,"",K11/$K$9)))</f>
        <v/>
      </c>
      <c r="M11" s="47"/>
      <c r="N11" s="46" t="str">
        <f t="shared" ref="N11:N42" si="5">IF(M11="","",IF($M$9="","",IF($M$9=0,"",M11/$M$9)))</f>
        <v/>
      </c>
      <c r="O11" s="47"/>
      <c r="P11" s="46" t="str">
        <f t="shared" ref="P11:P42" si="6">IF(O11="","",IF($O$9="","",IF($O$9=0,"",O11/$O$9)))</f>
        <v/>
      </c>
      <c r="Q11" s="45"/>
      <c r="R11" s="46" t="str">
        <f t="shared" ref="R11:R42" si="7">IF(Q11="","",IF($Q$9="","",IF($Q$9=0,"",Q11/$Q$9)))</f>
        <v/>
      </c>
      <c r="S11" s="47"/>
      <c r="T11" s="46" t="str">
        <f t="shared" ref="T11:T42" si="8">IF(S11="","",IF($S$9="","",IF($S$9=0,"",S11/$S$9)))</f>
        <v/>
      </c>
      <c r="U11" s="45"/>
      <c r="V11" s="46" t="str">
        <f t="shared" ref="V11:V42" si="9">IF(U11="","",IF($U$9="","",IF($U$9=0,"",U11/$U$9)))</f>
        <v/>
      </c>
      <c r="W11" s="45"/>
      <c r="X11" s="46" t="str">
        <f t="shared" ref="X11:X42" si="10">IF(W11="","",IF($W$9="","",IF($W$9=0,"",W11/$W$9)))</f>
        <v/>
      </c>
    </row>
    <row r="12" spans="1:24" x14ac:dyDescent="0.2">
      <c r="A12" s="21">
        <v>2</v>
      </c>
      <c r="B12" s="48">
        <v>46195</v>
      </c>
      <c r="C12" s="57">
        <f t="shared" si="0"/>
        <v>1</v>
      </c>
      <c r="D12" s="42"/>
      <c r="E12" s="21"/>
      <c r="F12" s="21"/>
      <c r="G12" s="50" t="str">
        <f t="shared" si="1"/>
        <v/>
      </c>
      <c r="H12" s="51" t="str">
        <f t="shared" si="2"/>
        <v/>
      </c>
      <c r="I12" s="47"/>
      <c r="J12" s="52" t="str">
        <f t="shared" si="3"/>
        <v/>
      </c>
      <c r="K12" s="45"/>
      <c r="L12" s="52" t="str">
        <f t="shared" si="4"/>
        <v/>
      </c>
      <c r="M12" s="47"/>
      <c r="N12" s="52" t="str">
        <f t="shared" si="5"/>
        <v/>
      </c>
      <c r="O12" s="47"/>
      <c r="P12" s="52" t="str">
        <f t="shared" si="6"/>
        <v/>
      </c>
      <c r="Q12" s="45"/>
      <c r="R12" s="52" t="str">
        <f t="shared" si="7"/>
        <v/>
      </c>
      <c r="S12" s="47"/>
      <c r="T12" s="52" t="str">
        <f t="shared" si="8"/>
        <v/>
      </c>
      <c r="U12" s="45"/>
      <c r="V12" s="52" t="str">
        <f t="shared" si="9"/>
        <v/>
      </c>
      <c r="W12" s="45"/>
      <c r="X12" s="52" t="str">
        <f t="shared" si="10"/>
        <v/>
      </c>
    </row>
    <row r="13" spans="1:24" x14ac:dyDescent="0.2">
      <c r="A13" s="14">
        <v>3</v>
      </c>
      <c r="B13" s="40">
        <v>46202</v>
      </c>
      <c r="C13" s="56">
        <f t="shared" si="0"/>
        <v>1</v>
      </c>
      <c r="D13" s="42"/>
      <c r="E13" s="14"/>
      <c r="F13" s="14"/>
      <c r="G13" s="43" t="str">
        <f t="shared" si="1"/>
        <v/>
      </c>
      <c r="H13" s="44" t="str">
        <f t="shared" si="2"/>
        <v/>
      </c>
      <c r="I13" s="47"/>
      <c r="J13" s="46" t="str">
        <f t="shared" si="3"/>
        <v/>
      </c>
      <c r="K13" s="45"/>
      <c r="L13" s="46" t="str">
        <f t="shared" si="4"/>
        <v/>
      </c>
      <c r="M13" s="47"/>
      <c r="N13" s="46" t="str">
        <f t="shared" si="5"/>
        <v/>
      </c>
      <c r="O13" s="47"/>
      <c r="P13" s="46" t="str">
        <f t="shared" si="6"/>
        <v/>
      </c>
      <c r="Q13" s="45"/>
      <c r="R13" s="46" t="str">
        <f t="shared" si="7"/>
        <v/>
      </c>
      <c r="S13" s="47"/>
      <c r="T13" s="46" t="str">
        <f t="shared" si="8"/>
        <v/>
      </c>
      <c r="U13" s="45"/>
      <c r="V13" s="46" t="str">
        <f t="shared" si="9"/>
        <v/>
      </c>
      <c r="W13" s="45"/>
      <c r="X13" s="46" t="str">
        <f t="shared" si="10"/>
        <v/>
      </c>
    </row>
    <row r="14" spans="1:24" x14ac:dyDescent="0.2">
      <c r="A14" s="21">
        <v>4</v>
      </c>
      <c r="B14" s="48">
        <v>46209</v>
      </c>
      <c r="C14" s="57">
        <f t="shared" si="0"/>
        <v>1</v>
      </c>
      <c r="D14" s="42"/>
      <c r="E14" s="21"/>
      <c r="F14" s="21"/>
      <c r="G14" s="50" t="str">
        <f t="shared" si="1"/>
        <v/>
      </c>
      <c r="H14" s="51" t="str">
        <f t="shared" si="2"/>
        <v/>
      </c>
      <c r="I14" s="47"/>
      <c r="J14" s="52" t="str">
        <f t="shared" si="3"/>
        <v/>
      </c>
      <c r="K14" s="45"/>
      <c r="L14" s="52" t="str">
        <f t="shared" si="4"/>
        <v/>
      </c>
      <c r="M14" s="47"/>
      <c r="N14" s="52" t="str">
        <f t="shared" si="5"/>
        <v/>
      </c>
      <c r="O14" s="47"/>
      <c r="P14" s="52" t="str">
        <f t="shared" si="6"/>
        <v/>
      </c>
      <c r="Q14" s="45"/>
      <c r="R14" s="52" t="str">
        <f t="shared" si="7"/>
        <v/>
      </c>
      <c r="S14" s="47"/>
      <c r="T14" s="52" t="str">
        <f t="shared" si="8"/>
        <v/>
      </c>
      <c r="U14" s="45"/>
      <c r="V14" s="52" t="str">
        <f t="shared" si="9"/>
        <v/>
      </c>
      <c r="W14" s="45"/>
      <c r="X14" s="52" t="str">
        <f t="shared" si="10"/>
        <v/>
      </c>
    </row>
    <row r="15" spans="1:24" x14ac:dyDescent="0.2">
      <c r="A15" s="14">
        <v>5</v>
      </c>
      <c r="B15" s="40">
        <v>46216</v>
      </c>
      <c r="C15" s="56">
        <f t="shared" si="0"/>
        <v>1</v>
      </c>
      <c r="D15" s="42"/>
      <c r="E15" s="14"/>
      <c r="F15" s="14"/>
      <c r="G15" s="43" t="str">
        <f t="shared" si="1"/>
        <v/>
      </c>
      <c r="H15" s="44" t="str">
        <f t="shared" si="2"/>
        <v/>
      </c>
      <c r="I15" s="47"/>
      <c r="J15" s="46" t="str">
        <f t="shared" si="3"/>
        <v/>
      </c>
      <c r="K15" s="45"/>
      <c r="L15" s="46" t="str">
        <f t="shared" si="4"/>
        <v/>
      </c>
      <c r="M15" s="47"/>
      <c r="N15" s="46" t="str">
        <f t="shared" si="5"/>
        <v/>
      </c>
      <c r="O15" s="47"/>
      <c r="P15" s="46" t="str">
        <f t="shared" si="6"/>
        <v/>
      </c>
      <c r="Q15" s="45"/>
      <c r="R15" s="46" t="str">
        <f t="shared" si="7"/>
        <v/>
      </c>
      <c r="S15" s="47"/>
      <c r="T15" s="46" t="str">
        <f t="shared" si="8"/>
        <v/>
      </c>
      <c r="U15" s="45"/>
      <c r="V15" s="46" t="str">
        <f t="shared" si="9"/>
        <v/>
      </c>
      <c r="W15" s="45"/>
      <c r="X15" s="46" t="str">
        <f t="shared" si="10"/>
        <v/>
      </c>
    </row>
    <row r="16" spans="1:24" x14ac:dyDescent="0.2">
      <c r="A16" s="21">
        <v>6</v>
      </c>
      <c r="B16" s="48">
        <v>46223</v>
      </c>
      <c r="C16" s="57">
        <f t="shared" si="0"/>
        <v>1</v>
      </c>
      <c r="D16" s="42"/>
      <c r="E16" s="21"/>
      <c r="F16" s="21"/>
      <c r="G16" s="50" t="str">
        <f t="shared" si="1"/>
        <v/>
      </c>
      <c r="H16" s="51" t="str">
        <f t="shared" si="2"/>
        <v/>
      </c>
      <c r="I16" s="47"/>
      <c r="J16" s="52" t="str">
        <f t="shared" si="3"/>
        <v/>
      </c>
      <c r="K16" s="45"/>
      <c r="L16" s="52" t="str">
        <f t="shared" si="4"/>
        <v/>
      </c>
      <c r="M16" s="47"/>
      <c r="N16" s="52" t="str">
        <f t="shared" si="5"/>
        <v/>
      </c>
      <c r="O16" s="47"/>
      <c r="P16" s="52" t="str">
        <f t="shared" si="6"/>
        <v/>
      </c>
      <c r="Q16" s="45"/>
      <c r="R16" s="52" t="str">
        <f t="shared" si="7"/>
        <v/>
      </c>
      <c r="S16" s="47"/>
      <c r="T16" s="52" t="str">
        <f t="shared" si="8"/>
        <v/>
      </c>
      <c r="U16" s="45"/>
      <c r="V16" s="52" t="str">
        <f t="shared" si="9"/>
        <v/>
      </c>
      <c r="W16" s="45"/>
      <c r="X16" s="52" t="str">
        <f t="shared" si="10"/>
        <v/>
      </c>
    </row>
    <row r="17" spans="1:24" x14ac:dyDescent="0.2">
      <c r="A17" s="14">
        <v>7</v>
      </c>
      <c r="B17" s="40">
        <v>46230</v>
      </c>
      <c r="C17" s="56">
        <f t="shared" si="0"/>
        <v>1</v>
      </c>
      <c r="D17" s="42"/>
      <c r="E17" s="14"/>
      <c r="F17" s="14"/>
      <c r="G17" s="43" t="str">
        <f t="shared" si="1"/>
        <v/>
      </c>
      <c r="H17" s="44" t="str">
        <f t="shared" si="2"/>
        <v/>
      </c>
      <c r="I17" s="47"/>
      <c r="J17" s="46" t="str">
        <f t="shared" si="3"/>
        <v/>
      </c>
      <c r="K17" s="45"/>
      <c r="L17" s="46" t="str">
        <f t="shared" si="4"/>
        <v/>
      </c>
      <c r="M17" s="47"/>
      <c r="N17" s="46" t="str">
        <f t="shared" si="5"/>
        <v/>
      </c>
      <c r="O17" s="47"/>
      <c r="P17" s="46" t="str">
        <f t="shared" si="6"/>
        <v/>
      </c>
      <c r="Q17" s="45"/>
      <c r="R17" s="46" t="str">
        <f t="shared" si="7"/>
        <v/>
      </c>
      <c r="S17" s="47"/>
      <c r="T17" s="46" t="str">
        <f t="shared" si="8"/>
        <v/>
      </c>
      <c r="U17" s="45"/>
      <c r="V17" s="46" t="str">
        <f t="shared" si="9"/>
        <v/>
      </c>
      <c r="W17" s="45"/>
      <c r="X17" s="46" t="str">
        <f t="shared" si="10"/>
        <v/>
      </c>
    </row>
    <row r="18" spans="1:24" x14ac:dyDescent="0.2">
      <c r="A18" s="21">
        <v>8</v>
      </c>
      <c r="B18" s="48">
        <v>46237</v>
      </c>
      <c r="C18" s="57">
        <f t="shared" si="0"/>
        <v>1</v>
      </c>
      <c r="D18" s="42"/>
      <c r="E18" s="21"/>
      <c r="F18" s="21"/>
      <c r="G18" s="50" t="str">
        <f t="shared" si="1"/>
        <v/>
      </c>
      <c r="H18" s="51" t="str">
        <f t="shared" si="2"/>
        <v/>
      </c>
      <c r="I18" s="47"/>
      <c r="J18" s="52" t="str">
        <f t="shared" si="3"/>
        <v/>
      </c>
      <c r="K18" s="45"/>
      <c r="L18" s="52" t="str">
        <f t="shared" si="4"/>
        <v/>
      </c>
      <c r="M18" s="47"/>
      <c r="N18" s="52" t="str">
        <f t="shared" si="5"/>
        <v/>
      </c>
      <c r="O18" s="47"/>
      <c r="P18" s="52" t="str">
        <f t="shared" si="6"/>
        <v/>
      </c>
      <c r="Q18" s="45"/>
      <c r="R18" s="52" t="str">
        <f t="shared" si="7"/>
        <v/>
      </c>
      <c r="S18" s="47"/>
      <c r="T18" s="52" t="str">
        <f t="shared" si="8"/>
        <v/>
      </c>
      <c r="U18" s="45"/>
      <c r="V18" s="52" t="str">
        <f t="shared" si="9"/>
        <v/>
      </c>
      <c r="W18" s="45"/>
      <c r="X18" s="52" t="str">
        <f t="shared" si="10"/>
        <v/>
      </c>
    </row>
    <row r="19" spans="1:24" x14ac:dyDescent="0.2">
      <c r="A19" s="14">
        <v>9</v>
      </c>
      <c r="B19" s="40">
        <v>46244</v>
      </c>
      <c r="C19" s="56">
        <f t="shared" si="0"/>
        <v>1</v>
      </c>
      <c r="D19" s="42"/>
      <c r="E19" s="14"/>
      <c r="F19" s="14"/>
      <c r="G19" s="43" t="str">
        <f t="shared" si="1"/>
        <v/>
      </c>
      <c r="H19" s="44" t="str">
        <f t="shared" si="2"/>
        <v/>
      </c>
      <c r="I19" s="47"/>
      <c r="J19" s="46" t="str">
        <f t="shared" si="3"/>
        <v/>
      </c>
      <c r="K19" s="45"/>
      <c r="L19" s="46" t="str">
        <f t="shared" si="4"/>
        <v/>
      </c>
      <c r="M19" s="47"/>
      <c r="N19" s="46" t="str">
        <f t="shared" si="5"/>
        <v/>
      </c>
      <c r="O19" s="47"/>
      <c r="P19" s="46" t="str">
        <f t="shared" si="6"/>
        <v/>
      </c>
      <c r="Q19" s="45"/>
      <c r="R19" s="46" t="str">
        <f t="shared" si="7"/>
        <v/>
      </c>
      <c r="S19" s="47"/>
      <c r="T19" s="46" t="str">
        <f t="shared" si="8"/>
        <v/>
      </c>
      <c r="U19" s="45"/>
      <c r="V19" s="46" t="str">
        <f t="shared" si="9"/>
        <v/>
      </c>
      <c r="W19" s="45"/>
      <c r="X19" s="46" t="str">
        <f t="shared" si="10"/>
        <v/>
      </c>
    </row>
    <row r="20" spans="1:24" x14ac:dyDescent="0.2">
      <c r="A20" s="21">
        <v>10</v>
      </c>
      <c r="B20" s="48">
        <v>46251</v>
      </c>
      <c r="C20" s="57">
        <f t="shared" si="0"/>
        <v>1</v>
      </c>
      <c r="D20" s="42"/>
      <c r="E20" s="21"/>
      <c r="F20" s="21"/>
      <c r="G20" s="50" t="str">
        <f t="shared" si="1"/>
        <v/>
      </c>
      <c r="H20" s="51" t="str">
        <f t="shared" si="2"/>
        <v/>
      </c>
      <c r="I20" s="47"/>
      <c r="J20" s="52" t="str">
        <f t="shared" si="3"/>
        <v/>
      </c>
      <c r="K20" s="45"/>
      <c r="L20" s="52" t="str">
        <f t="shared" si="4"/>
        <v/>
      </c>
      <c r="M20" s="47"/>
      <c r="N20" s="52" t="str">
        <f t="shared" si="5"/>
        <v/>
      </c>
      <c r="O20" s="47"/>
      <c r="P20" s="52" t="str">
        <f t="shared" si="6"/>
        <v/>
      </c>
      <c r="Q20" s="45"/>
      <c r="R20" s="52" t="str">
        <f t="shared" si="7"/>
        <v/>
      </c>
      <c r="S20" s="47"/>
      <c r="T20" s="52" t="str">
        <f t="shared" si="8"/>
        <v/>
      </c>
      <c r="U20" s="45"/>
      <c r="V20" s="52" t="str">
        <f t="shared" si="9"/>
        <v/>
      </c>
      <c r="W20" s="45"/>
      <c r="X20" s="52" t="str">
        <f t="shared" si="10"/>
        <v/>
      </c>
    </row>
    <row r="21" spans="1:24" x14ac:dyDescent="0.2">
      <c r="A21" s="14">
        <v>11</v>
      </c>
      <c r="B21" s="40">
        <v>46258</v>
      </c>
      <c r="C21" s="56">
        <f t="shared" si="0"/>
        <v>1</v>
      </c>
      <c r="D21" s="42"/>
      <c r="E21" s="14"/>
      <c r="F21" s="14"/>
      <c r="G21" s="43" t="str">
        <f t="shared" si="1"/>
        <v/>
      </c>
      <c r="H21" s="44" t="str">
        <f t="shared" si="2"/>
        <v/>
      </c>
      <c r="I21" s="47"/>
      <c r="J21" s="46" t="str">
        <f t="shared" si="3"/>
        <v/>
      </c>
      <c r="K21" s="45"/>
      <c r="L21" s="46" t="str">
        <f t="shared" si="4"/>
        <v/>
      </c>
      <c r="M21" s="47"/>
      <c r="N21" s="46" t="str">
        <f t="shared" si="5"/>
        <v/>
      </c>
      <c r="O21" s="47"/>
      <c r="P21" s="46" t="str">
        <f t="shared" si="6"/>
        <v/>
      </c>
      <c r="Q21" s="45"/>
      <c r="R21" s="46" t="str">
        <f t="shared" si="7"/>
        <v/>
      </c>
      <c r="S21" s="47"/>
      <c r="T21" s="46" t="str">
        <f t="shared" si="8"/>
        <v/>
      </c>
      <c r="U21" s="45"/>
      <c r="V21" s="46" t="str">
        <f t="shared" si="9"/>
        <v/>
      </c>
      <c r="W21" s="45"/>
      <c r="X21" s="46" t="str">
        <f t="shared" si="10"/>
        <v/>
      </c>
    </row>
    <row r="22" spans="1:24" x14ac:dyDescent="0.2">
      <c r="A22" s="21">
        <v>12</v>
      </c>
      <c r="B22" s="48">
        <v>46265</v>
      </c>
      <c r="C22" s="57">
        <f t="shared" si="0"/>
        <v>1</v>
      </c>
      <c r="D22" s="42"/>
      <c r="E22" s="21"/>
      <c r="F22" s="21"/>
      <c r="G22" s="50" t="str">
        <f t="shared" si="1"/>
        <v/>
      </c>
      <c r="H22" s="51" t="str">
        <f t="shared" si="2"/>
        <v/>
      </c>
      <c r="I22" s="47"/>
      <c r="J22" s="52" t="str">
        <f t="shared" si="3"/>
        <v/>
      </c>
      <c r="K22" s="45"/>
      <c r="L22" s="52" t="str">
        <f t="shared" si="4"/>
        <v/>
      </c>
      <c r="M22" s="47"/>
      <c r="N22" s="52" t="str">
        <f t="shared" si="5"/>
        <v/>
      </c>
      <c r="O22" s="47"/>
      <c r="P22" s="52" t="str">
        <f t="shared" si="6"/>
        <v/>
      </c>
      <c r="Q22" s="45"/>
      <c r="R22" s="52" t="str">
        <f t="shared" si="7"/>
        <v/>
      </c>
      <c r="S22" s="47"/>
      <c r="T22" s="52" t="str">
        <f t="shared" si="8"/>
        <v/>
      </c>
      <c r="U22" s="45"/>
      <c r="V22" s="52" t="str">
        <f t="shared" si="9"/>
        <v/>
      </c>
      <c r="W22" s="45"/>
      <c r="X22" s="52" t="str">
        <f t="shared" si="10"/>
        <v/>
      </c>
    </row>
    <row r="23" spans="1:24" x14ac:dyDescent="0.2">
      <c r="A23" s="14">
        <v>13</v>
      </c>
      <c r="B23" s="40">
        <v>46272</v>
      </c>
      <c r="C23" s="56">
        <f t="shared" si="0"/>
        <v>1</v>
      </c>
      <c r="D23" s="42"/>
      <c r="E23" s="14"/>
      <c r="F23" s="14"/>
      <c r="G23" s="43" t="str">
        <f t="shared" si="1"/>
        <v/>
      </c>
      <c r="H23" s="44" t="str">
        <f t="shared" si="2"/>
        <v/>
      </c>
      <c r="I23" s="47"/>
      <c r="J23" s="46" t="str">
        <f t="shared" si="3"/>
        <v/>
      </c>
      <c r="K23" s="45"/>
      <c r="L23" s="46" t="str">
        <f t="shared" si="4"/>
        <v/>
      </c>
      <c r="M23" s="47"/>
      <c r="N23" s="46" t="str">
        <f t="shared" si="5"/>
        <v/>
      </c>
      <c r="O23" s="47"/>
      <c r="P23" s="46" t="str">
        <f t="shared" si="6"/>
        <v/>
      </c>
      <c r="Q23" s="45"/>
      <c r="R23" s="46" t="str">
        <f t="shared" si="7"/>
        <v/>
      </c>
      <c r="S23" s="47"/>
      <c r="T23" s="46" t="str">
        <f t="shared" si="8"/>
        <v/>
      </c>
      <c r="U23" s="45"/>
      <c r="V23" s="46" t="str">
        <f t="shared" si="9"/>
        <v/>
      </c>
      <c r="W23" s="45"/>
      <c r="X23" s="46" t="str">
        <f t="shared" si="10"/>
        <v/>
      </c>
    </row>
    <row r="24" spans="1:24" x14ac:dyDescent="0.2">
      <c r="A24" s="21">
        <v>14</v>
      </c>
      <c r="B24" s="48">
        <v>46279</v>
      </c>
      <c r="C24" s="57">
        <f t="shared" si="0"/>
        <v>1</v>
      </c>
      <c r="D24" s="42"/>
      <c r="E24" s="21"/>
      <c r="F24" s="21"/>
      <c r="G24" s="50" t="str">
        <f t="shared" si="1"/>
        <v/>
      </c>
      <c r="H24" s="51" t="str">
        <f t="shared" si="2"/>
        <v/>
      </c>
      <c r="I24" s="47"/>
      <c r="J24" s="52" t="str">
        <f t="shared" si="3"/>
        <v/>
      </c>
      <c r="K24" s="45"/>
      <c r="L24" s="52" t="str">
        <f t="shared" si="4"/>
        <v/>
      </c>
      <c r="M24" s="47"/>
      <c r="N24" s="52" t="str">
        <f t="shared" si="5"/>
        <v/>
      </c>
      <c r="O24" s="47"/>
      <c r="P24" s="52" t="str">
        <f t="shared" si="6"/>
        <v/>
      </c>
      <c r="Q24" s="45"/>
      <c r="R24" s="52" t="str">
        <f t="shared" si="7"/>
        <v/>
      </c>
      <c r="S24" s="47"/>
      <c r="T24" s="52" t="str">
        <f t="shared" si="8"/>
        <v/>
      </c>
      <c r="U24" s="45"/>
      <c r="V24" s="52" t="str">
        <f t="shared" si="9"/>
        <v/>
      </c>
      <c r="W24" s="45"/>
      <c r="X24" s="52" t="str">
        <f t="shared" si="10"/>
        <v/>
      </c>
    </row>
    <row r="25" spans="1:24" x14ac:dyDescent="0.2">
      <c r="A25" s="14">
        <v>15</v>
      </c>
      <c r="B25" s="40">
        <v>46286</v>
      </c>
      <c r="C25" s="56">
        <f t="shared" si="0"/>
        <v>1</v>
      </c>
      <c r="D25" s="42"/>
      <c r="E25" s="14"/>
      <c r="F25" s="14"/>
      <c r="G25" s="43" t="str">
        <f t="shared" si="1"/>
        <v/>
      </c>
      <c r="H25" s="44" t="str">
        <f t="shared" si="2"/>
        <v/>
      </c>
      <c r="I25" s="47"/>
      <c r="J25" s="46" t="str">
        <f t="shared" si="3"/>
        <v/>
      </c>
      <c r="K25" s="45"/>
      <c r="L25" s="46" t="str">
        <f t="shared" si="4"/>
        <v/>
      </c>
      <c r="M25" s="47"/>
      <c r="N25" s="46" t="str">
        <f t="shared" si="5"/>
        <v/>
      </c>
      <c r="O25" s="47"/>
      <c r="P25" s="46" t="str">
        <f t="shared" si="6"/>
        <v/>
      </c>
      <c r="Q25" s="45"/>
      <c r="R25" s="46" t="str">
        <f t="shared" si="7"/>
        <v/>
      </c>
      <c r="S25" s="47"/>
      <c r="T25" s="46" t="str">
        <f t="shared" si="8"/>
        <v/>
      </c>
      <c r="U25" s="45"/>
      <c r="V25" s="46" t="str">
        <f t="shared" si="9"/>
        <v/>
      </c>
      <c r="W25" s="45"/>
      <c r="X25" s="46" t="str">
        <f t="shared" si="10"/>
        <v/>
      </c>
    </row>
    <row r="26" spans="1:24" x14ac:dyDescent="0.2">
      <c r="A26" s="21">
        <v>16</v>
      </c>
      <c r="B26" s="48">
        <v>46293</v>
      </c>
      <c r="C26" s="57">
        <f t="shared" si="0"/>
        <v>1</v>
      </c>
      <c r="D26" s="42"/>
      <c r="E26" s="21"/>
      <c r="F26" s="21"/>
      <c r="G26" s="50" t="str">
        <f t="shared" si="1"/>
        <v/>
      </c>
      <c r="H26" s="51" t="str">
        <f t="shared" si="2"/>
        <v/>
      </c>
      <c r="I26" s="47"/>
      <c r="J26" s="52" t="str">
        <f t="shared" si="3"/>
        <v/>
      </c>
      <c r="K26" s="45"/>
      <c r="L26" s="52" t="str">
        <f t="shared" si="4"/>
        <v/>
      </c>
      <c r="M26" s="47"/>
      <c r="N26" s="52" t="str">
        <f t="shared" si="5"/>
        <v/>
      </c>
      <c r="O26" s="47"/>
      <c r="P26" s="52" t="str">
        <f t="shared" si="6"/>
        <v/>
      </c>
      <c r="Q26" s="45"/>
      <c r="R26" s="52" t="str">
        <f t="shared" si="7"/>
        <v/>
      </c>
      <c r="S26" s="47"/>
      <c r="T26" s="52" t="str">
        <f t="shared" si="8"/>
        <v/>
      </c>
      <c r="U26" s="45"/>
      <c r="V26" s="52" t="str">
        <f t="shared" si="9"/>
        <v/>
      </c>
      <c r="W26" s="45"/>
      <c r="X26" s="52" t="str">
        <f t="shared" si="10"/>
        <v/>
      </c>
    </row>
    <row r="27" spans="1:24" x14ac:dyDescent="0.2">
      <c r="A27" s="14">
        <v>17</v>
      </c>
      <c r="B27" s="40">
        <v>46300</v>
      </c>
      <c r="C27" s="56">
        <f t="shared" si="0"/>
        <v>1</v>
      </c>
      <c r="D27" s="42"/>
      <c r="E27" s="14"/>
      <c r="F27" s="14"/>
      <c r="G27" s="43" t="str">
        <f t="shared" si="1"/>
        <v/>
      </c>
      <c r="H27" s="44" t="str">
        <f t="shared" si="2"/>
        <v/>
      </c>
      <c r="I27" s="47"/>
      <c r="J27" s="46" t="str">
        <f t="shared" si="3"/>
        <v/>
      </c>
      <c r="K27" s="45"/>
      <c r="L27" s="46" t="str">
        <f t="shared" si="4"/>
        <v/>
      </c>
      <c r="M27" s="47"/>
      <c r="N27" s="46" t="str">
        <f t="shared" si="5"/>
        <v/>
      </c>
      <c r="O27" s="47"/>
      <c r="P27" s="46" t="str">
        <f t="shared" si="6"/>
        <v/>
      </c>
      <c r="Q27" s="45"/>
      <c r="R27" s="46" t="str">
        <f t="shared" si="7"/>
        <v/>
      </c>
      <c r="S27" s="47"/>
      <c r="T27" s="46" t="str">
        <f t="shared" si="8"/>
        <v/>
      </c>
      <c r="U27" s="45"/>
      <c r="V27" s="46" t="str">
        <f t="shared" si="9"/>
        <v/>
      </c>
      <c r="W27" s="45"/>
      <c r="X27" s="46" t="str">
        <f t="shared" si="10"/>
        <v/>
      </c>
    </row>
    <row r="28" spans="1:24" x14ac:dyDescent="0.2">
      <c r="A28" s="21">
        <v>18</v>
      </c>
      <c r="B28" s="48">
        <v>46307</v>
      </c>
      <c r="C28" s="57">
        <f t="shared" si="0"/>
        <v>1</v>
      </c>
      <c r="D28" s="42"/>
      <c r="E28" s="21"/>
      <c r="F28" s="21"/>
      <c r="G28" s="50" t="str">
        <f t="shared" si="1"/>
        <v/>
      </c>
      <c r="H28" s="51" t="str">
        <f t="shared" si="2"/>
        <v/>
      </c>
      <c r="I28" s="47"/>
      <c r="J28" s="52" t="str">
        <f t="shared" si="3"/>
        <v/>
      </c>
      <c r="K28" s="45"/>
      <c r="L28" s="52" t="str">
        <f t="shared" si="4"/>
        <v/>
      </c>
      <c r="M28" s="47"/>
      <c r="N28" s="52" t="str">
        <f t="shared" si="5"/>
        <v/>
      </c>
      <c r="O28" s="47"/>
      <c r="P28" s="52" t="str">
        <f t="shared" si="6"/>
        <v/>
      </c>
      <c r="Q28" s="45"/>
      <c r="R28" s="52" t="str">
        <f t="shared" si="7"/>
        <v/>
      </c>
      <c r="S28" s="47"/>
      <c r="T28" s="52" t="str">
        <f t="shared" si="8"/>
        <v/>
      </c>
      <c r="U28" s="45"/>
      <c r="V28" s="52" t="str">
        <f t="shared" si="9"/>
        <v/>
      </c>
      <c r="W28" s="45"/>
      <c r="X28" s="52" t="str">
        <f t="shared" si="10"/>
        <v/>
      </c>
    </row>
    <row r="29" spans="1:24" x14ac:dyDescent="0.2">
      <c r="A29" s="14">
        <v>19</v>
      </c>
      <c r="B29" s="40">
        <v>46314</v>
      </c>
      <c r="C29" s="56">
        <f t="shared" si="0"/>
        <v>1</v>
      </c>
      <c r="D29" s="42"/>
      <c r="E29" s="14"/>
      <c r="F29" s="14"/>
      <c r="G29" s="43" t="str">
        <f t="shared" si="1"/>
        <v/>
      </c>
      <c r="H29" s="44" t="str">
        <f t="shared" si="2"/>
        <v/>
      </c>
      <c r="I29" s="47"/>
      <c r="J29" s="46" t="str">
        <f t="shared" si="3"/>
        <v/>
      </c>
      <c r="K29" s="45"/>
      <c r="L29" s="46" t="str">
        <f t="shared" si="4"/>
        <v/>
      </c>
      <c r="M29" s="47"/>
      <c r="N29" s="46" t="str">
        <f t="shared" si="5"/>
        <v/>
      </c>
      <c r="O29" s="47"/>
      <c r="P29" s="46" t="str">
        <f t="shared" si="6"/>
        <v/>
      </c>
      <c r="Q29" s="45"/>
      <c r="R29" s="46" t="str">
        <f t="shared" si="7"/>
        <v/>
      </c>
      <c r="S29" s="47"/>
      <c r="T29" s="46" t="str">
        <f t="shared" si="8"/>
        <v/>
      </c>
      <c r="U29" s="45"/>
      <c r="V29" s="46" t="str">
        <f t="shared" si="9"/>
        <v/>
      </c>
      <c r="W29" s="45"/>
      <c r="X29" s="46" t="str">
        <f t="shared" si="10"/>
        <v/>
      </c>
    </row>
    <row r="30" spans="1:24" x14ac:dyDescent="0.2">
      <c r="A30" s="21">
        <v>20</v>
      </c>
      <c r="B30" s="48">
        <v>46321</v>
      </c>
      <c r="C30" s="57">
        <f t="shared" si="0"/>
        <v>1</v>
      </c>
      <c r="D30" s="42"/>
      <c r="E30" s="21"/>
      <c r="F30" s="21"/>
      <c r="G30" s="50" t="str">
        <f t="shared" si="1"/>
        <v/>
      </c>
      <c r="H30" s="51" t="str">
        <f t="shared" si="2"/>
        <v/>
      </c>
      <c r="I30" s="47"/>
      <c r="J30" s="52" t="str">
        <f t="shared" si="3"/>
        <v/>
      </c>
      <c r="K30" s="45"/>
      <c r="L30" s="52" t="str">
        <f t="shared" si="4"/>
        <v/>
      </c>
      <c r="M30" s="47"/>
      <c r="N30" s="52" t="str">
        <f t="shared" si="5"/>
        <v/>
      </c>
      <c r="O30" s="47"/>
      <c r="P30" s="52" t="str">
        <f t="shared" si="6"/>
        <v/>
      </c>
      <c r="Q30" s="45"/>
      <c r="R30" s="52" t="str">
        <f t="shared" si="7"/>
        <v/>
      </c>
      <c r="S30" s="47"/>
      <c r="T30" s="52" t="str">
        <f t="shared" si="8"/>
        <v/>
      </c>
      <c r="U30" s="45"/>
      <c r="V30" s="52" t="str">
        <f t="shared" si="9"/>
        <v/>
      </c>
      <c r="W30" s="45"/>
      <c r="X30" s="52" t="str">
        <f t="shared" si="10"/>
        <v/>
      </c>
    </row>
    <row r="31" spans="1:24" x14ac:dyDescent="0.2">
      <c r="A31" s="14">
        <v>21</v>
      </c>
      <c r="B31" s="40">
        <v>46328</v>
      </c>
      <c r="C31" s="56">
        <f t="shared" si="0"/>
        <v>1</v>
      </c>
      <c r="D31" s="42"/>
      <c r="E31" s="14"/>
      <c r="F31" s="14"/>
      <c r="G31" s="43" t="str">
        <f t="shared" si="1"/>
        <v/>
      </c>
      <c r="H31" s="44" t="str">
        <f t="shared" si="2"/>
        <v/>
      </c>
      <c r="I31" s="47"/>
      <c r="J31" s="46" t="str">
        <f t="shared" si="3"/>
        <v/>
      </c>
      <c r="K31" s="45"/>
      <c r="L31" s="46" t="str">
        <f t="shared" si="4"/>
        <v/>
      </c>
      <c r="M31" s="47"/>
      <c r="N31" s="46" t="str">
        <f t="shared" si="5"/>
        <v/>
      </c>
      <c r="O31" s="47"/>
      <c r="P31" s="46" t="str">
        <f t="shared" si="6"/>
        <v/>
      </c>
      <c r="Q31" s="45"/>
      <c r="R31" s="46" t="str">
        <f t="shared" si="7"/>
        <v/>
      </c>
      <c r="S31" s="47"/>
      <c r="T31" s="46" t="str">
        <f t="shared" si="8"/>
        <v/>
      </c>
      <c r="U31" s="45"/>
      <c r="V31" s="46" t="str">
        <f t="shared" si="9"/>
        <v/>
      </c>
      <c r="W31" s="45"/>
      <c r="X31" s="46" t="str">
        <f t="shared" si="10"/>
        <v/>
      </c>
    </row>
    <row r="32" spans="1:24" x14ac:dyDescent="0.2">
      <c r="A32" s="21">
        <v>22</v>
      </c>
      <c r="B32" s="48">
        <v>46335</v>
      </c>
      <c r="C32" s="57">
        <f t="shared" si="0"/>
        <v>1</v>
      </c>
      <c r="D32" s="42"/>
      <c r="E32" s="21"/>
      <c r="F32" s="21"/>
      <c r="G32" s="50" t="str">
        <f t="shared" si="1"/>
        <v/>
      </c>
      <c r="H32" s="51" t="str">
        <f t="shared" si="2"/>
        <v/>
      </c>
      <c r="I32" s="47"/>
      <c r="J32" s="52" t="str">
        <f t="shared" si="3"/>
        <v/>
      </c>
      <c r="K32" s="45"/>
      <c r="L32" s="52" t="str">
        <f t="shared" si="4"/>
        <v/>
      </c>
      <c r="M32" s="47"/>
      <c r="N32" s="52" t="str">
        <f t="shared" si="5"/>
        <v/>
      </c>
      <c r="O32" s="47"/>
      <c r="P32" s="52" t="str">
        <f t="shared" si="6"/>
        <v/>
      </c>
      <c r="Q32" s="45"/>
      <c r="R32" s="52" t="str">
        <f t="shared" si="7"/>
        <v/>
      </c>
      <c r="S32" s="47"/>
      <c r="T32" s="52" t="str">
        <f t="shared" si="8"/>
        <v/>
      </c>
      <c r="U32" s="45"/>
      <c r="V32" s="52" t="str">
        <f t="shared" si="9"/>
        <v/>
      </c>
      <c r="W32" s="45"/>
      <c r="X32" s="52" t="str">
        <f t="shared" si="10"/>
        <v/>
      </c>
    </row>
    <row r="33" spans="1:24" x14ac:dyDescent="0.2">
      <c r="A33" s="14">
        <v>23</v>
      </c>
      <c r="B33" s="40">
        <v>46342</v>
      </c>
      <c r="C33" s="56">
        <f t="shared" si="0"/>
        <v>1</v>
      </c>
      <c r="D33" s="42"/>
      <c r="E33" s="14"/>
      <c r="F33" s="14"/>
      <c r="G33" s="43" t="str">
        <f t="shared" si="1"/>
        <v/>
      </c>
      <c r="H33" s="44" t="str">
        <f t="shared" si="2"/>
        <v/>
      </c>
      <c r="I33" s="47"/>
      <c r="J33" s="46" t="str">
        <f t="shared" si="3"/>
        <v/>
      </c>
      <c r="K33" s="45"/>
      <c r="L33" s="46" t="str">
        <f t="shared" si="4"/>
        <v/>
      </c>
      <c r="M33" s="47"/>
      <c r="N33" s="46" t="str">
        <f t="shared" si="5"/>
        <v/>
      </c>
      <c r="O33" s="47"/>
      <c r="P33" s="46" t="str">
        <f t="shared" si="6"/>
        <v/>
      </c>
      <c r="Q33" s="45"/>
      <c r="R33" s="46" t="str">
        <f t="shared" si="7"/>
        <v/>
      </c>
      <c r="S33" s="47"/>
      <c r="T33" s="46" t="str">
        <f t="shared" si="8"/>
        <v/>
      </c>
      <c r="U33" s="45"/>
      <c r="V33" s="46" t="str">
        <f t="shared" si="9"/>
        <v/>
      </c>
      <c r="W33" s="45"/>
      <c r="X33" s="46" t="str">
        <f t="shared" si="10"/>
        <v/>
      </c>
    </row>
    <row r="34" spans="1:24" x14ac:dyDescent="0.2">
      <c r="A34" s="21">
        <v>24</v>
      </c>
      <c r="B34" s="48">
        <v>46349</v>
      </c>
      <c r="C34" s="57">
        <f t="shared" si="0"/>
        <v>1</v>
      </c>
      <c r="D34" s="42"/>
      <c r="E34" s="21"/>
      <c r="F34" s="21"/>
      <c r="G34" s="50" t="str">
        <f t="shared" si="1"/>
        <v/>
      </c>
      <c r="H34" s="51" t="str">
        <f t="shared" si="2"/>
        <v/>
      </c>
      <c r="I34" s="47"/>
      <c r="J34" s="52" t="str">
        <f t="shared" si="3"/>
        <v/>
      </c>
      <c r="K34" s="45"/>
      <c r="L34" s="52" t="str">
        <f t="shared" si="4"/>
        <v/>
      </c>
      <c r="M34" s="47"/>
      <c r="N34" s="52" t="str">
        <f t="shared" si="5"/>
        <v/>
      </c>
      <c r="O34" s="47"/>
      <c r="P34" s="52" t="str">
        <f t="shared" si="6"/>
        <v/>
      </c>
      <c r="Q34" s="45"/>
      <c r="R34" s="52" t="str">
        <f t="shared" si="7"/>
        <v/>
      </c>
      <c r="S34" s="47"/>
      <c r="T34" s="52" t="str">
        <f t="shared" si="8"/>
        <v/>
      </c>
      <c r="U34" s="45"/>
      <c r="V34" s="52" t="str">
        <f t="shared" si="9"/>
        <v/>
      </c>
      <c r="W34" s="45"/>
      <c r="X34" s="52" t="str">
        <f t="shared" si="10"/>
        <v/>
      </c>
    </row>
    <row r="35" spans="1:24" x14ac:dyDescent="0.2">
      <c r="A35" s="14">
        <v>25</v>
      </c>
      <c r="B35" s="40">
        <v>46356</v>
      </c>
      <c r="C35" s="56">
        <f t="shared" si="0"/>
        <v>1</v>
      </c>
      <c r="D35" s="42"/>
      <c r="E35" s="14"/>
      <c r="F35" s="14"/>
      <c r="G35" s="43" t="str">
        <f t="shared" si="1"/>
        <v/>
      </c>
      <c r="H35" s="44" t="str">
        <f t="shared" si="2"/>
        <v/>
      </c>
      <c r="I35" s="47"/>
      <c r="J35" s="46" t="str">
        <f t="shared" si="3"/>
        <v/>
      </c>
      <c r="K35" s="45"/>
      <c r="L35" s="46" t="str">
        <f t="shared" si="4"/>
        <v/>
      </c>
      <c r="M35" s="47"/>
      <c r="N35" s="46" t="str">
        <f t="shared" si="5"/>
        <v/>
      </c>
      <c r="O35" s="47"/>
      <c r="P35" s="46" t="str">
        <f t="shared" si="6"/>
        <v/>
      </c>
      <c r="Q35" s="45"/>
      <c r="R35" s="46" t="str">
        <f t="shared" si="7"/>
        <v/>
      </c>
      <c r="S35" s="47"/>
      <c r="T35" s="46" t="str">
        <f t="shared" si="8"/>
        <v/>
      </c>
      <c r="U35" s="45"/>
      <c r="V35" s="46" t="str">
        <f t="shared" si="9"/>
        <v/>
      </c>
      <c r="W35" s="45"/>
      <c r="X35" s="46" t="str">
        <f t="shared" si="10"/>
        <v/>
      </c>
    </row>
    <row r="36" spans="1:24" x14ac:dyDescent="0.2">
      <c r="A36" s="21">
        <v>26</v>
      </c>
      <c r="B36" s="48">
        <v>46363</v>
      </c>
      <c r="C36" s="57">
        <f t="shared" si="0"/>
        <v>1</v>
      </c>
      <c r="D36" s="42"/>
      <c r="E36" s="21"/>
      <c r="F36" s="21"/>
      <c r="G36" s="50" t="str">
        <f t="shared" si="1"/>
        <v/>
      </c>
      <c r="H36" s="51" t="str">
        <f t="shared" si="2"/>
        <v/>
      </c>
      <c r="I36" s="47"/>
      <c r="J36" s="52" t="str">
        <f t="shared" si="3"/>
        <v/>
      </c>
      <c r="K36" s="45"/>
      <c r="L36" s="52" t="str">
        <f t="shared" si="4"/>
        <v/>
      </c>
      <c r="M36" s="47"/>
      <c r="N36" s="52" t="str">
        <f t="shared" si="5"/>
        <v/>
      </c>
      <c r="O36" s="47"/>
      <c r="P36" s="52" t="str">
        <f t="shared" si="6"/>
        <v/>
      </c>
      <c r="Q36" s="45"/>
      <c r="R36" s="52" t="str">
        <f t="shared" si="7"/>
        <v/>
      </c>
      <c r="S36" s="47"/>
      <c r="T36" s="52" t="str">
        <f t="shared" si="8"/>
        <v/>
      </c>
      <c r="U36" s="45"/>
      <c r="V36" s="52" t="str">
        <f t="shared" si="9"/>
        <v/>
      </c>
      <c r="W36" s="45"/>
      <c r="X36" s="52" t="str">
        <f t="shared" si="10"/>
        <v/>
      </c>
    </row>
    <row r="37" spans="1:24" x14ac:dyDescent="0.2">
      <c r="A37" s="14">
        <v>27</v>
      </c>
      <c r="B37" s="40">
        <v>46370</v>
      </c>
      <c r="C37" s="56">
        <f t="shared" si="0"/>
        <v>1</v>
      </c>
      <c r="D37" s="42"/>
      <c r="E37" s="14"/>
      <c r="F37" s="14"/>
      <c r="G37" s="43" t="str">
        <f t="shared" si="1"/>
        <v/>
      </c>
      <c r="H37" s="44" t="str">
        <f t="shared" si="2"/>
        <v/>
      </c>
      <c r="I37" s="47"/>
      <c r="J37" s="46" t="str">
        <f t="shared" si="3"/>
        <v/>
      </c>
      <c r="K37" s="45"/>
      <c r="L37" s="46" t="str">
        <f t="shared" si="4"/>
        <v/>
      </c>
      <c r="M37" s="47"/>
      <c r="N37" s="46" t="str">
        <f t="shared" si="5"/>
        <v/>
      </c>
      <c r="O37" s="47"/>
      <c r="P37" s="46" t="str">
        <f t="shared" si="6"/>
        <v/>
      </c>
      <c r="Q37" s="45"/>
      <c r="R37" s="46" t="str">
        <f t="shared" si="7"/>
        <v/>
      </c>
      <c r="S37" s="47"/>
      <c r="T37" s="46" t="str">
        <f t="shared" si="8"/>
        <v/>
      </c>
      <c r="U37" s="45"/>
      <c r="V37" s="46" t="str">
        <f t="shared" si="9"/>
        <v/>
      </c>
      <c r="W37" s="45"/>
      <c r="X37" s="46" t="str">
        <f t="shared" si="10"/>
        <v/>
      </c>
    </row>
    <row r="38" spans="1:24" x14ac:dyDescent="0.2">
      <c r="A38" s="21">
        <v>28</v>
      </c>
      <c r="B38" s="48">
        <v>46377</v>
      </c>
      <c r="C38" s="57">
        <f t="shared" si="0"/>
        <v>1</v>
      </c>
      <c r="D38" s="42"/>
      <c r="E38" s="21"/>
      <c r="F38" s="21"/>
      <c r="G38" s="50" t="str">
        <f t="shared" si="1"/>
        <v/>
      </c>
      <c r="H38" s="51" t="str">
        <f t="shared" si="2"/>
        <v/>
      </c>
      <c r="I38" s="47"/>
      <c r="J38" s="52" t="str">
        <f t="shared" si="3"/>
        <v/>
      </c>
      <c r="K38" s="45"/>
      <c r="L38" s="52" t="str">
        <f t="shared" si="4"/>
        <v/>
      </c>
      <c r="M38" s="47"/>
      <c r="N38" s="52" t="str">
        <f t="shared" si="5"/>
        <v/>
      </c>
      <c r="O38" s="47"/>
      <c r="P38" s="52" t="str">
        <f t="shared" si="6"/>
        <v/>
      </c>
      <c r="Q38" s="45"/>
      <c r="R38" s="52" t="str">
        <f t="shared" si="7"/>
        <v/>
      </c>
      <c r="S38" s="47"/>
      <c r="T38" s="52" t="str">
        <f t="shared" si="8"/>
        <v/>
      </c>
      <c r="U38" s="45"/>
      <c r="V38" s="52" t="str">
        <f t="shared" si="9"/>
        <v/>
      </c>
      <c r="W38" s="45"/>
      <c r="X38" s="52" t="str">
        <f t="shared" si="10"/>
        <v/>
      </c>
    </row>
    <row r="39" spans="1:24" x14ac:dyDescent="0.2">
      <c r="A39" s="14">
        <v>29</v>
      </c>
      <c r="B39" s="40">
        <v>46384</v>
      </c>
      <c r="C39" s="56">
        <f t="shared" si="0"/>
        <v>1</v>
      </c>
      <c r="D39" s="42"/>
      <c r="E39" s="14"/>
      <c r="F39" s="14"/>
      <c r="G39" s="43" t="str">
        <f t="shared" si="1"/>
        <v/>
      </c>
      <c r="H39" s="44" t="str">
        <f t="shared" si="2"/>
        <v/>
      </c>
      <c r="I39" s="47"/>
      <c r="J39" s="46" t="str">
        <f t="shared" si="3"/>
        <v/>
      </c>
      <c r="K39" s="45"/>
      <c r="L39" s="46" t="str">
        <f t="shared" si="4"/>
        <v/>
      </c>
      <c r="M39" s="47"/>
      <c r="N39" s="46" t="str">
        <f t="shared" si="5"/>
        <v/>
      </c>
      <c r="O39" s="47"/>
      <c r="P39" s="46" t="str">
        <f t="shared" si="6"/>
        <v/>
      </c>
      <c r="Q39" s="45"/>
      <c r="R39" s="46" t="str">
        <f t="shared" si="7"/>
        <v/>
      </c>
      <c r="S39" s="47"/>
      <c r="T39" s="46" t="str">
        <f t="shared" si="8"/>
        <v/>
      </c>
      <c r="U39" s="45"/>
      <c r="V39" s="46" t="str">
        <f t="shared" si="9"/>
        <v/>
      </c>
      <c r="W39" s="45"/>
      <c r="X39" s="46" t="str">
        <f t="shared" si="10"/>
        <v/>
      </c>
    </row>
    <row r="40" spans="1:24" x14ac:dyDescent="0.2">
      <c r="A40" s="21">
        <v>30</v>
      </c>
      <c r="B40" s="48">
        <v>46391</v>
      </c>
      <c r="C40" s="57">
        <f t="shared" si="0"/>
        <v>1</v>
      </c>
      <c r="D40" s="42"/>
      <c r="E40" s="21"/>
      <c r="F40" s="21"/>
      <c r="G40" s="50" t="str">
        <f t="shared" si="1"/>
        <v/>
      </c>
      <c r="H40" s="51" t="str">
        <f t="shared" si="2"/>
        <v/>
      </c>
      <c r="I40" s="47"/>
      <c r="J40" s="52" t="str">
        <f t="shared" si="3"/>
        <v/>
      </c>
      <c r="K40" s="45"/>
      <c r="L40" s="52" t="str">
        <f t="shared" si="4"/>
        <v/>
      </c>
      <c r="M40" s="47"/>
      <c r="N40" s="52" t="str">
        <f t="shared" si="5"/>
        <v/>
      </c>
      <c r="O40" s="47"/>
      <c r="P40" s="52" t="str">
        <f t="shared" si="6"/>
        <v/>
      </c>
      <c r="Q40" s="45"/>
      <c r="R40" s="52" t="str">
        <f t="shared" si="7"/>
        <v/>
      </c>
      <c r="S40" s="47"/>
      <c r="T40" s="52" t="str">
        <f t="shared" si="8"/>
        <v/>
      </c>
      <c r="U40" s="45"/>
      <c r="V40" s="52" t="str">
        <f t="shared" si="9"/>
        <v/>
      </c>
      <c r="W40" s="45"/>
      <c r="X40" s="52" t="str">
        <f t="shared" si="10"/>
        <v/>
      </c>
    </row>
    <row r="41" spans="1:24" x14ac:dyDescent="0.2">
      <c r="A41" s="14">
        <v>31</v>
      </c>
      <c r="B41" s="40">
        <v>46398</v>
      </c>
      <c r="C41" s="56">
        <f t="shared" si="0"/>
        <v>1</v>
      </c>
      <c r="D41" s="42"/>
      <c r="E41" s="14"/>
      <c r="F41" s="14"/>
      <c r="G41" s="43" t="str">
        <f t="shared" si="1"/>
        <v/>
      </c>
      <c r="H41" s="44" t="str">
        <f t="shared" si="2"/>
        <v/>
      </c>
      <c r="I41" s="47"/>
      <c r="J41" s="46" t="str">
        <f t="shared" si="3"/>
        <v/>
      </c>
      <c r="K41" s="45"/>
      <c r="L41" s="46" t="str">
        <f t="shared" si="4"/>
        <v/>
      </c>
      <c r="M41" s="47"/>
      <c r="N41" s="46" t="str">
        <f t="shared" si="5"/>
        <v/>
      </c>
      <c r="O41" s="47"/>
      <c r="P41" s="46" t="str">
        <f t="shared" si="6"/>
        <v/>
      </c>
      <c r="Q41" s="45"/>
      <c r="R41" s="46" t="str">
        <f t="shared" si="7"/>
        <v/>
      </c>
      <c r="S41" s="47"/>
      <c r="T41" s="46" t="str">
        <f t="shared" si="8"/>
        <v/>
      </c>
      <c r="U41" s="45"/>
      <c r="V41" s="46" t="str">
        <f t="shared" si="9"/>
        <v/>
      </c>
      <c r="W41" s="45"/>
      <c r="X41" s="46" t="str">
        <f t="shared" si="10"/>
        <v/>
      </c>
    </row>
    <row r="42" spans="1:24" x14ac:dyDescent="0.2">
      <c r="A42" s="21">
        <v>32</v>
      </c>
      <c r="B42" s="48">
        <v>46405</v>
      </c>
      <c r="C42" s="57">
        <f t="shared" si="0"/>
        <v>1</v>
      </c>
      <c r="D42" s="42"/>
      <c r="E42" s="21"/>
      <c r="F42" s="21"/>
      <c r="G42" s="50" t="str">
        <f t="shared" si="1"/>
        <v/>
      </c>
      <c r="H42" s="51" t="str">
        <f t="shared" si="2"/>
        <v/>
      </c>
      <c r="I42" s="47"/>
      <c r="J42" s="52" t="str">
        <f t="shared" si="3"/>
        <v/>
      </c>
      <c r="K42" s="45"/>
      <c r="L42" s="52" t="str">
        <f t="shared" si="4"/>
        <v/>
      </c>
      <c r="M42" s="47"/>
      <c r="N42" s="52" t="str">
        <f t="shared" si="5"/>
        <v/>
      </c>
      <c r="O42" s="47"/>
      <c r="P42" s="52" t="str">
        <f t="shared" si="6"/>
        <v/>
      </c>
      <c r="Q42" s="45"/>
      <c r="R42" s="52" t="str">
        <f t="shared" si="7"/>
        <v/>
      </c>
      <c r="S42" s="47"/>
      <c r="T42" s="52" t="str">
        <f t="shared" si="8"/>
        <v/>
      </c>
      <c r="U42" s="45"/>
      <c r="V42" s="52" t="str">
        <f t="shared" si="9"/>
        <v/>
      </c>
      <c r="W42" s="45"/>
      <c r="X42" s="52" t="str">
        <f t="shared" si="10"/>
        <v/>
      </c>
    </row>
    <row r="43" spans="1:24" x14ac:dyDescent="0.2">
      <c r="A43" s="14">
        <v>33</v>
      </c>
      <c r="B43" s="40">
        <v>46412</v>
      </c>
      <c r="C43" s="56">
        <f t="shared" ref="C43:C74" si="11">$B$5</f>
        <v>1</v>
      </c>
      <c r="D43" s="42"/>
      <c r="E43" s="14"/>
      <c r="F43" s="14"/>
      <c r="G43" s="43" t="str">
        <f t="shared" ref="G43:G74" si="12">IF(D43="","",D43-C43)</f>
        <v/>
      </c>
      <c r="H43" s="44" t="str">
        <f t="shared" ref="H43:H74" si="13">IF(D43="","",IF(D43&gt;=C43,"En meta",IF(D43&gt;=C43-0.05,"Riesgo","Atrasado")))</f>
        <v/>
      </c>
      <c r="I43" s="47"/>
      <c r="J43" s="46" t="str">
        <f t="shared" ref="J43:J74" si="14">IF(I43="","",IF($I$9="","",IF($I$9=0,"",I43/$I$9)))</f>
        <v/>
      </c>
      <c r="K43" s="45"/>
      <c r="L43" s="46" t="str">
        <f t="shared" ref="L43:L74" si="15">IF(K43="","",IF($K$9="","",IF($K$9=0,"",K43/$K$9)))</f>
        <v/>
      </c>
      <c r="M43" s="47"/>
      <c r="N43" s="46" t="str">
        <f t="shared" ref="N43:N74" si="16">IF(M43="","",IF($M$9="","",IF($M$9=0,"",M43/$M$9)))</f>
        <v/>
      </c>
      <c r="O43" s="47"/>
      <c r="P43" s="46" t="str">
        <f t="shared" ref="P43:P74" si="17">IF(O43="","",IF($O$9="","",IF($O$9=0,"",O43/$O$9)))</f>
        <v/>
      </c>
      <c r="Q43" s="45"/>
      <c r="R43" s="46" t="str">
        <f t="shared" ref="R43:R74" si="18">IF(Q43="","",IF($Q$9="","",IF($Q$9=0,"",Q43/$Q$9)))</f>
        <v/>
      </c>
      <c r="S43" s="47"/>
      <c r="T43" s="46" t="str">
        <f t="shared" ref="T43:T74" si="19">IF(S43="","",IF($S$9="","",IF($S$9=0,"",S43/$S$9)))</f>
        <v/>
      </c>
      <c r="U43" s="45"/>
      <c r="V43" s="46" t="str">
        <f t="shared" ref="V43:V74" si="20">IF(U43="","",IF($U$9="","",IF($U$9=0,"",U43/$U$9)))</f>
        <v/>
      </c>
      <c r="W43" s="45"/>
      <c r="X43" s="46" t="str">
        <f t="shared" ref="X43:X74" si="21">IF(W43="","",IF($W$9="","",IF($W$9=0,"",W43/$W$9)))</f>
        <v/>
      </c>
    </row>
    <row r="44" spans="1:24" x14ac:dyDescent="0.2">
      <c r="A44" s="21">
        <v>34</v>
      </c>
      <c r="B44" s="48">
        <v>46419</v>
      </c>
      <c r="C44" s="57">
        <f t="shared" si="11"/>
        <v>1</v>
      </c>
      <c r="D44" s="42"/>
      <c r="E44" s="21"/>
      <c r="F44" s="21"/>
      <c r="G44" s="50" t="str">
        <f t="shared" si="12"/>
        <v/>
      </c>
      <c r="H44" s="51" t="str">
        <f t="shared" si="13"/>
        <v/>
      </c>
      <c r="I44" s="47"/>
      <c r="J44" s="52" t="str">
        <f t="shared" si="14"/>
        <v/>
      </c>
      <c r="K44" s="45"/>
      <c r="L44" s="52" t="str">
        <f t="shared" si="15"/>
        <v/>
      </c>
      <c r="M44" s="47"/>
      <c r="N44" s="52" t="str">
        <f t="shared" si="16"/>
        <v/>
      </c>
      <c r="O44" s="47"/>
      <c r="P44" s="52" t="str">
        <f t="shared" si="17"/>
        <v/>
      </c>
      <c r="Q44" s="45"/>
      <c r="R44" s="52" t="str">
        <f t="shared" si="18"/>
        <v/>
      </c>
      <c r="S44" s="47"/>
      <c r="T44" s="52" t="str">
        <f t="shared" si="19"/>
        <v/>
      </c>
      <c r="U44" s="45"/>
      <c r="V44" s="52" t="str">
        <f t="shared" si="20"/>
        <v/>
      </c>
      <c r="W44" s="45"/>
      <c r="X44" s="52" t="str">
        <f t="shared" si="21"/>
        <v/>
      </c>
    </row>
    <row r="45" spans="1:24" x14ac:dyDescent="0.2">
      <c r="A45" s="14">
        <v>35</v>
      </c>
      <c r="B45" s="40">
        <v>46426</v>
      </c>
      <c r="C45" s="56">
        <f t="shared" si="11"/>
        <v>1</v>
      </c>
      <c r="D45" s="42"/>
      <c r="E45" s="14"/>
      <c r="F45" s="14"/>
      <c r="G45" s="43" t="str">
        <f t="shared" si="12"/>
        <v/>
      </c>
      <c r="H45" s="44" t="str">
        <f t="shared" si="13"/>
        <v/>
      </c>
      <c r="I45" s="47"/>
      <c r="J45" s="46" t="str">
        <f t="shared" si="14"/>
        <v/>
      </c>
      <c r="K45" s="45"/>
      <c r="L45" s="46" t="str">
        <f t="shared" si="15"/>
        <v/>
      </c>
      <c r="M45" s="47"/>
      <c r="N45" s="46" t="str">
        <f t="shared" si="16"/>
        <v/>
      </c>
      <c r="O45" s="47"/>
      <c r="P45" s="46" t="str">
        <f t="shared" si="17"/>
        <v/>
      </c>
      <c r="Q45" s="45"/>
      <c r="R45" s="46" t="str">
        <f t="shared" si="18"/>
        <v/>
      </c>
      <c r="S45" s="47"/>
      <c r="T45" s="46" t="str">
        <f t="shared" si="19"/>
        <v/>
      </c>
      <c r="U45" s="45"/>
      <c r="V45" s="46" t="str">
        <f t="shared" si="20"/>
        <v/>
      </c>
      <c r="W45" s="45"/>
      <c r="X45" s="46" t="str">
        <f t="shared" si="21"/>
        <v/>
      </c>
    </row>
    <row r="46" spans="1:24" x14ac:dyDescent="0.2">
      <c r="A46" s="21">
        <v>36</v>
      </c>
      <c r="B46" s="48">
        <v>46433</v>
      </c>
      <c r="C46" s="57">
        <f t="shared" si="11"/>
        <v>1</v>
      </c>
      <c r="D46" s="42"/>
      <c r="E46" s="21"/>
      <c r="F46" s="21"/>
      <c r="G46" s="50" t="str">
        <f t="shared" si="12"/>
        <v/>
      </c>
      <c r="H46" s="51" t="str">
        <f t="shared" si="13"/>
        <v/>
      </c>
      <c r="I46" s="47"/>
      <c r="J46" s="52" t="str">
        <f t="shared" si="14"/>
        <v/>
      </c>
      <c r="K46" s="45"/>
      <c r="L46" s="52" t="str">
        <f t="shared" si="15"/>
        <v/>
      </c>
      <c r="M46" s="47"/>
      <c r="N46" s="52" t="str">
        <f t="shared" si="16"/>
        <v/>
      </c>
      <c r="O46" s="47"/>
      <c r="P46" s="52" t="str">
        <f t="shared" si="17"/>
        <v/>
      </c>
      <c r="Q46" s="45"/>
      <c r="R46" s="52" t="str">
        <f t="shared" si="18"/>
        <v/>
      </c>
      <c r="S46" s="47"/>
      <c r="T46" s="52" t="str">
        <f t="shared" si="19"/>
        <v/>
      </c>
      <c r="U46" s="45"/>
      <c r="V46" s="52" t="str">
        <f t="shared" si="20"/>
        <v/>
      </c>
      <c r="W46" s="45"/>
      <c r="X46" s="52" t="str">
        <f t="shared" si="21"/>
        <v/>
      </c>
    </row>
    <row r="47" spans="1:24" x14ac:dyDescent="0.2">
      <c r="A47" s="14">
        <v>37</v>
      </c>
      <c r="B47" s="40">
        <v>46440</v>
      </c>
      <c r="C47" s="56">
        <f t="shared" si="11"/>
        <v>1</v>
      </c>
      <c r="D47" s="42"/>
      <c r="E47" s="14"/>
      <c r="F47" s="14"/>
      <c r="G47" s="43" t="str">
        <f t="shared" si="12"/>
        <v/>
      </c>
      <c r="H47" s="44" t="str">
        <f t="shared" si="13"/>
        <v/>
      </c>
      <c r="I47" s="47"/>
      <c r="J47" s="46" t="str">
        <f t="shared" si="14"/>
        <v/>
      </c>
      <c r="K47" s="45"/>
      <c r="L47" s="46" t="str">
        <f t="shared" si="15"/>
        <v/>
      </c>
      <c r="M47" s="47"/>
      <c r="N47" s="46" t="str">
        <f t="shared" si="16"/>
        <v/>
      </c>
      <c r="O47" s="47"/>
      <c r="P47" s="46" t="str">
        <f t="shared" si="17"/>
        <v/>
      </c>
      <c r="Q47" s="45"/>
      <c r="R47" s="46" t="str">
        <f t="shared" si="18"/>
        <v/>
      </c>
      <c r="S47" s="47"/>
      <c r="T47" s="46" t="str">
        <f t="shared" si="19"/>
        <v/>
      </c>
      <c r="U47" s="45"/>
      <c r="V47" s="46" t="str">
        <f t="shared" si="20"/>
        <v/>
      </c>
      <c r="W47" s="45"/>
      <c r="X47" s="46" t="str">
        <f t="shared" si="21"/>
        <v/>
      </c>
    </row>
    <row r="48" spans="1:24" x14ac:dyDescent="0.2">
      <c r="A48" s="21">
        <v>38</v>
      </c>
      <c r="B48" s="48">
        <v>46447</v>
      </c>
      <c r="C48" s="57">
        <f t="shared" si="11"/>
        <v>1</v>
      </c>
      <c r="D48" s="42"/>
      <c r="E48" s="21"/>
      <c r="F48" s="21"/>
      <c r="G48" s="50" t="str">
        <f t="shared" si="12"/>
        <v/>
      </c>
      <c r="H48" s="51" t="str">
        <f t="shared" si="13"/>
        <v/>
      </c>
      <c r="I48" s="47"/>
      <c r="J48" s="52" t="str">
        <f t="shared" si="14"/>
        <v/>
      </c>
      <c r="K48" s="45"/>
      <c r="L48" s="52" t="str">
        <f t="shared" si="15"/>
        <v/>
      </c>
      <c r="M48" s="47"/>
      <c r="N48" s="52" t="str">
        <f t="shared" si="16"/>
        <v/>
      </c>
      <c r="O48" s="47"/>
      <c r="P48" s="52" t="str">
        <f t="shared" si="17"/>
        <v/>
      </c>
      <c r="Q48" s="45"/>
      <c r="R48" s="52" t="str">
        <f t="shared" si="18"/>
        <v/>
      </c>
      <c r="S48" s="47"/>
      <c r="T48" s="52" t="str">
        <f t="shared" si="19"/>
        <v/>
      </c>
      <c r="U48" s="45"/>
      <c r="V48" s="52" t="str">
        <f t="shared" si="20"/>
        <v/>
      </c>
      <c r="W48" s="45"/>
      <c r="X48" s="52" t="str">
        <f t="shared" si="21"/>
        <v/>
      </c>
    </row>
    <row r="49" spans="1:24" x14ac:dyDescent="0.2">
      <c r="A49" s="14">
        <v>39</v>
      </c>
      <c r="B49" s="40">
        <v>46454</v>
      </c>
      <c r="C49" s="56">
        <f t="shared" si="11"/>
        <v>1</v>
      </c>
      <c r="D49" s="42"/>
      <c r="E49" s="14"/>
      <c r="F49" s="14"/>
      <c r="G49" s="43" t="str">
        <f t="shared" si="12"/>
        <v/>
      </c>
      <c r="H49" s="44" t="str">
        <f t="shared" si="13"/>
        <v/>
      </c>
      <c r="I49" s="47"/>
      <c r="J49" s="46" t="str">
        <f t="shared" si="14"/>
        <v/>
      </c>
      <c r="K49" s="45"/>
      <c r="L49" s="46" t="str">
        <f t="shared" si="15"/>
        <v/>
      </c>
      <c r="M49" s="47"/>
      <c r="N49" s="46" t="str">
        <f t="shared" si="16"/>
        <v/>
      </c>
      <c r="O49" s="47"/>
      <c r="P49" s="46" t="str">
        <f t="shared" si="17"/>
        <v/>
      </c>
      <c r="Q49" s="45"/>
      <c r="R49" s="46" t="str">
        <f t="shared" si="18"/>
        <v/>
      </c>
      <c r="S49" s="47"/>
      <c r="T49" s="46" t="str">
        <f t="shared" si="19"/>
        <v/>
      </c>
      <c r="U49" s="45"/>
      <c r="V49" s="46" t="str">
        <f t="shared" si="20"/>
        <v/>
      </c>
      <c r="W49" s="45"/>
      <c r="X49" s="46" t="str">
        <f t="shared" si="21"/>
        <v/>
      </c>
    </row>
    <row r="50" spans="1:24" x14ac:dyDescent="0.2">
      <c r="A50" s="21">
        <v>40</v>
      </c>
      <c r="B50" s="48">
        <v>46461</v>
      </c>
      <c r="C50" s="57">
        <f t="shared" si="11"/>
        <v>1</v>
      </c>
      <c r="D50" s="42"/>
      <c r="E50" s="21"/>
      <c r="F50" s="21"/>
      <c r="G50" s="50" t="str">
        <f t="shared" si="12"/>
        <v/>
      </c>
      <c r="H50" s="51" t="str">
        <f t="shared" si="13"/>
        <v/>
      </c>
      <c r="I50" s="47"/>
      <c r="J50" s="52" t="str">
        <f t="shared" si="14"/>
        <v/>
      </c>
      <c r="K50" s="45"/>
      <c r="L50" s="52" t="str">
        <f t="shared" si="15"/>
        <v/>
      </c>
      <c r="M50" s="47"/>
      <c r="N50" s="52" t="str">
        <f t="shared" si="16"/>
        <v/>
      </c>
      <c r="O50" s="47"/>
      <c r="P50" s="52" t="str">
        <f t="shared" si="17"/>
        <v/>
      </c>
      <c r="Q50" s="45"/>
      <c r="R50" s="52" t="str">
        <f t="shared" si="18"/>
        <v/>
      </c>
      <c r="S50" s="47"/>
      <c r="T50" s="52" t="str">
        <f t="shared" si="19"/>
        <v/>
      </c>
      <c r="U50" s="45"/>
      <c r="V50" s="52" t="str">
        <f t="shared" si="20"/>
        <v/>
      </c>
      <c r="W50" s="45"/>
      <c r="X50" s="52" t="str">
        <f t="shared" si="21"/>
        <v/>
      </c>
    </row>
    <row r="51" spans="1:24" x14ac:dyDescent="0.2">
      <c r="A51" s="14">
        <v>41</v>
      </c>
      <c r="B51" s="40">
        <v>46468</v>
      </c>
      <c r="C51" s="56">
        <f t="shared" si="11"/>
        <v>1</v>
      </c>
      <c r="D51" s="42"/>
      <c r="E51" s="14"/>
      <c r="F51" s="14"/>
      <c r="G51" s="43" t="str">
        <f t="shared" si="12"/>
        <v/>
      </c>
      <c r="H51" s="44" t="str">
        <f t="shared" si="13"/>
        <v/>
      </c>
      <c r="I51" s="47"/>
      <c r="J51" s="46" t="str">
        <f t="shared" si="14"/>
        <v/>
      </c>
      <c r="K51" s="45"/>
      <c r="L51" s="46" t="str">
        <f t="shared" si="15"/>
        <v/>
      </c>
      <c r="M51" s="47"/>
      <c r="N51" s="46" t="str">
        <f t="shared" si="16"/>
        <v/>
      </c>
      <c r="O51" s="47"/>
      <c r="P51" s="46" t="str">
        <f t="shared" si="17"/>
        <v/>
      </c>
      <c r="Q51" s="45"/>
      <c r="R51" s="46" t="str">
        <f t="shared" si="18"/>
        <v/>
      </c>
      <c r="S51" s="47"/>
      <c r="T51" s="46" t="str">
        <f t="shared" si="19"/>
        <v/>
      </c>
      <c r="U51" s="45"/>
      <c r="V51" s="46" t="str">
        <f t="shared" si="20"/>
        <v/>
      </c>
      <c r="W51" s="45"/>
      <c r="X51" s="46" t="str">
        <f t="shared" si="21"/>
        <v/>
      </c>
    </row>
    <row r="52" spans="1:24" x14ac:dyDescent="0.2">
      <c r="A52" s="21">
        <v>42</v>
      </c>
      <c r="B52" s="48">
        <v>46475</v>
      </c>
      <c r="C52" s="57">
        <f t="shared" si="11"/>
        <v>1</v>
      </c>
      <c r="D52" s="42"/>
      <c r="E52" s="21"/>
      <c r="F52" s="21"/>
      <c r="G52" s="50" t="str">
        <f t="shared" si="12"/>
        <v/>
      </c>
      <c r="H52" s="51" t="str">
        <f t="shared" si="13"/>
        <v/>
      </c>
      <c r="I52" s="47"/>
      <c r="J52" s="52" t="str">
        <f t="shared" si="14"/>
        <v/>
      </c>
      <c r="K52" s="45"/>
      <c r="L52" s="52" t="str">
        <f t="shared" si="15"/>
        <v/>
      </c>
      <c r="M52" s="47"/>
      <c r="N52" s="52" t="str">
        <f t="shared" si="16"/>
        <v/>
      </c>
      <c r="O52" s="47"/>
      <c r="P52" s="52" t="str">
        <f t="shared" si="17"/>
        <v/>
      </c>
      <c r="Q52" s="45"/>
      <c r="R52" s="52" t="str">
        <f t="shared" si="18"/>
        <v/>
      </c>
      <c r="S52" s="47"/>
      <c r="T52" s="52" t="str">
        <f t="shared" si="19"/>
        <v/>
      </c>
      <c r="U52" s="45"/>
      <c r="V52" s="52" t="str">
        <f t="shared" si="20"/>
        <v/>
      </c>
      <c r="W52" s="45"/>
      <c r="X52" s="52" t="str">
        <f t="shared" si="21"/>
        <v/>
      </c>
    </row>
    <row r="53" spans="1:24" x14ac:dyDescent="0.2">
      <c r="A53" s="14">
        <v>43</v>
      </c>
      <c r="B53" s="40">
        <v>46482</v>
      </c>
      <c r="C53" s="56">
        <f t="shared" si="11"/>
        <v>1</v>
      </c>
      <c r="D53" s="42"/>
      <c r="E53" s="14"/>
      <c r="F53" s="14"/>
      <c r="G53" s="43" t="str">
        <f t="shared" si="12"/>
        <v/>
      </c>
      <c r="H53" s="44" t="str">
        <f t="shared" si="13"/>
        <v/>
      </c>
      <c r="I53" s="47"/>
      <c r="J53" s="46" t="str">
        <f t="shared" si="14"/>
        <v/>
      </c>
      <c r="K53" s="45"/>
      <c r="L53" s="46" t="str">
        <f t="shared" si="15"/>
        <v/>
      </c>
      <c r="M53" s="47"/>
      <c r="N53" s="46" t="str">
        <f t="shared" si="16"/>
        <v/>
      </c>
      <c r="O53" s="47"/>
      <c r="P53" s="46" t="str">
        <f t="shared" si="17"/>
        <v/>
      </c>
      <c r="Q53" s="45"/>
      <c r="R53" s="46" t="str">
        <f t="shared" si="18"/>
        <v/>
      </c>
      <c r="S53" s="47"/>
      <c r="T53" s="46" t="str">
        <f t="shared" si="19"/>
        <v/>
      </c>
      <c r="U53" s="45"/>
      <c r="V53" s="46" t="str">
        <f t="shared" si="20"/>
        <v/>
      </c>
      <c r="W53" s="45"/>
      <c r="X53" s="46" t="str">
        <f t="shared" si="21"/>
        <v/>
      </c>
    </row>
    <row r="54" spans="1:24" x14ac:dyDescent="0.2">
      <c r="A54" s="21">
        <v>44</v>
      </c>
      <c r="B54" s="48">
        <v>46489</v>
      </c>
      <c r="C54" s="57">
        <f t="shared" si="11"/>
        <v>1</v>
      </c>
      <c r="D54" s="42"/>
      <c r="E54" s="21"/>
      <c r="F54" s="21"/>
      <c r="G54" s="50" t="str">
        <f t="shared" si="12"/>
        <v/>
      </c>
      <c r="H54" s="51" t="str">
        <f t="shared" si="13"/>
        <v/>
      </c>
      <c r="I54" s="47"/>
      <c r="J54" s="52" t="str">
        <f t="shared" si="14"/>
        <v/>
      </c>
      <c r="K54" s="45"/>
      <c r="L54" s="52" t="str">
        <f t="shared" si="15"/>
        <v/>
      </c>
      <c r="M54" s="47"/>
      <c r="N54" s="52" t="str">
        <f t="shared" si="16"/>
        <v/>
      </c>
      <c r="O54" s="47"/>
      <c r="P54" s="52" t="str">
        <f t="shared" si="17"/>
        <v/>
      </c>
      <c r="Q54" s="45"/>
      <c r="R54" s="52" t="str">
        <f t="shared" si="18"/>
        <v/>
      </c>
      <c r="S54" s="47"/>
      <c r="T54" s="52" t="str">
        <f t="shared" si="19"/>
        <v/>
      </c>
      <c r="U54" s="45"/>
      <c r="V54" s="52" t="str">
        <f t="shared" si="20"/>
        <v/>
      </c>
      <c r="W54" s="45"/>
      <c r="X54" s="52" t="str">
        <f t="shared" si="21"/>
        <v/>
      </c>
    </row>
    <row r="55" spans="1:24" x14ac:dyDescent="0.2">
      <c r="A55" s="14">
        <v>45</v>
      </c>
      <c r="B55" s="40">
        <v>46496</v>
      </c>
      <c r="C55" s="56">
        <f t="shared" si="11"/>
        <v>1</v>
      </c>
      <c r="D55" s="42"/>
      <c r="E55" s="14"/>
      <c r="F55" s="14"/>
      <c r="G55" s="43" t="str">
        <f t="shared" si="12"/>
        <v/>
      </c>
      <c r="H55" s="44" t="str">
        <f t="shared" si="13"/>
        <v/>
      </c>
      <c r="I55" s="47"/>
      <c r="J55" s="46" t="str">
        <f t="shared" si="14"/>
        <v/>
      </c>
      <c r="K55" s="45"/>
      <c r="L55" s="46" t="str">
        <f t="shared" si="15"/>
        <v/>
      </c>
      <c r="M55" s="47"/>
      <c r="N55" s="46" t="str">
        <f t="shared" si="16"/>
        <v/>
      </c>
      <c r="O55" s="47"/>
      <c r="P55" s="46" t="str">
        <f t="shared" si="17"/>
        <v/>
      </c>
      <c r="Q55" s="45"/>
      <c r="R55" s="46" t="str">
        <f t="shared" si="18"/>
        <v/>
      </c>
      <c r="S55" s="47"/>
      <c r="T55" s="46" t="str">
        <f t="shared" si="19"/>
        <v/>
      </c>
      <c r="U55" s="45"/>
      <c r="V55" s="46" t="str">
        <f t="shared" si="20"/>
        <v/>
      </c>
      <c r="W55" s="45"/>
      <c r="X55" s="46" t="str">
        <f t="shared" si="21"/>
        <v/>
      </c>
    </row>
    <row r="56" spans="1:24" x14ac:dyDescent="0.2">
      <c r="A56" s="21">
        <v>46</v>
      </c>
      <c r="B56" s="48">
        <v>46503</v>
      </c>
      <c r="C56" s="57">
        <f t="shared" si="11"/>
        <v>1</v>
      </c>
      <c r="D56" s="42"/>
      <c r="E56" s="21"/>
      <c r="F56" s="21"/>
      <c r="G56" s="50" t="str">
        <f t="shared" si="12"/>
        <v/>
      </c>
      <c r="H56" s="51" t="str">
        <f t="shared" si="13"/>
        <v/>
      </c>
      <c r="I56" s="47"/>
      <c r="J56" s="52" t="str">
        <f t="shared" si="14"/>
        <v/>
      </c>
      <c r="K56" s="45"/>
      <c r="L56" s="52" t="str">
        <f t="shared" si="15"/>
        <v/>
      </c>
      <c r="M56" s="47"/>
      <c r="N56" s="52" t="str">
        <f t="shared" si="16"/>
        <v/>
      </c>
      <c r="O56" s="47"/>
      <c r="P56" s="52" t="str">
        <f t="shared" si="17"/>
        <v/>
      </c>
      <c r="Q56" s="45"/>
      <c r="R56" s="52" t="str">
        <f t="shared" si="18"/>
        <v/>
      </c>
      <c r="S56" s="47"/>
      <c r="T56" s="52" t="str">
        <f t="shared" si="19"/>
        <v/>
      </c>
      <c r="U56" s="45"/>
      <c r="V56" s="52" t="str">
        <f t="shared" si="20"/>
        <v/>
      </c>
      <c r="W56" s="45"/>
      <c r="X56" s="52" t="str">
        <f t="shared" si="21"/>
        <v/>
      </c>
    </row>
    <row r="57" spans="1:24" x14ac:dyDescent="0.2">
      <c r="A57" s="14">
        <v>47</v>
      </c>
      <c r="B57" s="40">
        <v>46510</v>
      </c>
      <c r="C57" s="56">
        <f t="shared" si="11"/>
        <v>1</v>
      </c>
      <c r="D57" s="42"/>
      <c r="E57" s="14"/>
      <c r="F57" s="14"/>
      <c r="G57" s="43" t="str">
        <f t="shared" si="12"/>
        <v/>
      </c>
      <c r="H57" s="44" t="str">
        <f t="shared" si="13"/>
        <v/>
      </c>
      <c r="I57" s="47"/>
      <c r="J57" s="46" t="str">
        <f t="shared" si="14"/>
        <v/>
      </c>
      <c r="K57" s="45"/>
      <c r="L57" s="46" t="str">
        <f t="shared" si="15"/>
        <v/>
      </c>
      <c r="M57" s="47"/>
      <c r="N57" s="46" t="str">
        <f t="shared" si="16"/>
        <v/>
      </c>
      <c r="O57" s="47"/>
      <c r="P57" s="46" t="str">
        <f t="shared" si="17"/>
        <v/>
      </c>
      <c r="Q57" s="45"/>
      <c r="R57" s="46" t="str">
        <f t="shared" si="18"/>
        <v/>
      </c>
      <c r="S57" s="47"/>
      <c r="T57" s="46" t="str">
        <f t="shared" si="19"/>
        <v/>
      </c>
      <c r="U57" s="45"/>
      <c r="V57" s="46" t="str">
        <f t="shared" si="20"/>
        <v/>
      </c>
      <c r="W57" s="45"/>
      <c r="X57" s="46" t="str">
        <f t="shared" si="21"/>
        <v/>
      </c>
    </row>
    <row r="58" spans="1:24" x14ac:dyDescent="0.2">
      <c r="A58" s="21">
        <v>48</v>
      </c>
      <c r="B58" s="48">
        <v>46517</v>
      </c>
      <c r="C58" s="57">
        <f t="shared" si="11"/>
        <v>1</v>
      </c>
      <c r="D58" s="42"/>
      <c r="E58" s="21"/>
      <c r="F58" s="21"/>
      <c r="G58" s="50" t="str">
        <f t="shared" si="12"/>
        <v/>
      </c>
      <c r="H58" s="51" t="str">
        <f t="shared" si="13"/>
        <v/>
      </c>
      <c r="I58" s="47"/>
      <c r="J58" s="52" t="str">
        <f t="shared" si="14"/>
        <v/>
      </c>
      <c r="K58" s="45"/>
      <c r="L58" s="52" t="str">
        <f t="shared" si="15"/>
        <v/>
      </c>
      <c r="M58" s="47"/>
      <c r="N58" s="52" t="str">
        <f t="shared" si="16"/>
        <v/>
      </c>
      <c r="O58" s="47"/>
      <c r="P58" s="52" t="str">
        <f t="shared" si="17"/>
        <v/>
      </c>
      <c r="Q58" s="45"/>
      <c r="R58" s="52" t="str">
        <f t="shared" si="18"/>
        <v/>
      </c>
      <c r="S58" s="47"/>
      <c r="T58" s="52" t="str">
        <f t="shared" si="19"/>
        <v/>
      </c>
      <c r="U58" s="45"/>
      <c r="V58" s="52" t="str">
        <f t="shared" si="20"/>
        <v/>
      </c>
      <c r="W58" s="45"/>
      <c r="X58" s="52" t="str">
        <f t="shared" si="21"/>
        <v/>
      </c>
    </row>
    <row r="59" spans="1:24" x14ac:dyDescent="0.2">
      <c r="A59" s="14">
        <v>49</v>
      </c>
      <c r="B59" s="40">
        <v>46524</v>
      </c>
      <c r="C59" s="56">
        <f t="shared" si="11"/>
        <v>1</v>
      </c>
      <c r="D59" s="42"/>
      <c r="E59" s="14"/>
      <c r="F59" s="14"/>
      <c r="G59" s="43" t="str">
        <f t="shared" si="12"/>
        <v/>
      </c>
      <c r="H59" s="44" t="str">
        <f t="shared" si="13"/>
        <v/>
      </c>
      <c r="I59" s="47"/>
      <c r="J59" s="46" t="str">
        <f t="shared" si="14"/>
        <v/>
      </c>
      <c r="K59" s="45"/>
      <c r="L59" s="46" t="str">
        <f t="shared" si="15"/>
        <v/>
      </c>
      <c r="M59" s="47"/>
      <c r="N59" s="46" t="str">
        <f t="shared" si="16"/>
        <v/>
      </c>
      <c r="O59" s="47"/>
      <c r="P59" s="46" t="str">
        <f t="shared" si="17"/>
        <v/>
      </c>
      <c r="Q59" s="45"/>
      <c r="R59" s="46" t="str">
        <f t="shared" si="18"/>
        <v/>
      </c>
      <c r="S59" s="47"/>
      <c r="T59" s="46" t="str">
        <f t="shared" si="19"/>
        <v/>
      </c>
      <c r="U59" s="45"/>
      <c r="V59" s="46" t="str">
        <f t="shared" si="20"/>
        <v/>
      </c>
      <c r="W59" s="45"/>
      <c r="X59" s="46" t="str">
        <f t="shared" si="21"/>
        <v/>
      </c>
    </row>
    <row r="60" spans="1:24" x14ac:dyDescent="0.2">
      <c r="A60" s="21">
        <v>50</v>
      </c>
      <c r="B60" s="48">
        <v>46531</v>
      </c>
      <c r="C60" s="57">
        <f t="shared" si="11"/>
        <v>1</v>
      </c>
      <c r="D60" s="42"/>
      <c r="E60" s="21"/>
      <c r="F60" s="21"/>
      <c r="G60" s="50" t="str">
        <f t="shared" si="12"/>
        <v/>
      </c>
      <c r="H60" s="51" t="str">
        <f t="shared" si="13"/>
        <v/>
      </c>
      <c r="I60" s="47"/>
      <c r="J60" s="52" t="str">
        <f t="shared" si="14"/>
        <v/>
      </c>
      <c r="K60" s="45"/>
      <c r="L60" s="52" t="str">
        <f t="shared" si="15"/>
        <v/>
      </c>
      <c r="M60" s="47"/>
      <c r="N60" s="52" t="str">
        <f t="shared" si="16"/>
        <v/>
      </c>
      <c r="O60" s="47"/>
      <c r="P60" s="52" t="str">
        <f t="shared" si="17"/>
        <v/>
      </c>
      <c r="Q60" s="45"/>
      <c r="R60" s="52" t="str">
        <f t="shared" si="18"/>
        <v/>
      </c>
      <c r="S60" s="47"/>
      <c r="T60" s="52" t="str">
        <f t="shared" si="19"/>
        <v/>
      </c>
      <c r="U60" s="45"/>
      <c r="V60" s="52" t="str">
        <f t="shared" si="20"/>
        <v/>
      </c>
      <c r="W60" s="45"/>
      <c r="X60" s="52" t="str">
        <f t="shared" si="21"/>
        <v/>
      </c>
    </row>
    <row r="61" spans="1:24" x14ac:dyDescent="0.2">
      <c r="A61" s="14">
        <v>51</v>
      </c>
      <c r="B61" s="40">
        <v>46538</v>
      </c>
      <c r="C61" s="56">
        <f t="shared" si="11"/>
        <v>1</v>
      </c>
      <c r="D61" s="42"/>
      <c r="E61" s="14"/>
      <c r="F61" s="14"/>
      <c r="G61" s="43" t="str">
        <f t="shared" si="12"/>
        <v/>
      </c>
      <c r="H61" s="44" t="str">
        <f t="shared" si="13"/>
        <v/>
      </c>
      <c r="I61" s="47"/>
      <c r="J61" s="46" t="str">
        <f t="shared" si="14"/>
        <v/>
      </c>
      <c r="K61" s="45"/>
      <c r="L61" s="46" t="str">
        <f t="shared" si="15"/>
        <v/>
      </c>
      <c r="M61" s="47"/>
      <c r="N61" s="46" t="str">
        <f t="shared" si="16"/>
        <v/>
      </c>
      <c r="O61" s="47"/>
      <c r="P61" s="46" t="str">
        <f t="shared" si="17"/>
        <v/>
      </c>
      <c r="Q61" s="45"/>
      <c r="R61" s="46" t="str">
        <f t="shared" si="18"/>
        <v/>
      </c>
      <c r="S61" s="47"/>
      <c r="T61" s="46" t="str">
        <f t="shared" si="19"/>
        <v/>
      </c>
      <c r="U61" s="45"/>
      <c r="V61" s="46" t="str">
        <f t="shared" si="20"/>
        <v/>
      </c>
      <c r="W61" s="45"/>
      <c r="X61" s="46" t="str">
        <f t="shared" si="21"/>
        <v/>
      </c>
    </row>
    <row r="62" spans="1:24" x14ac:dyDescent="0.2">
      <c r="A62" s="21">
        <v>52</v>
      </c>
      <c r="B62" s="48">
        <v>46545</v>
      </c>
      <c r="C62" s="57">
        <f t="shared" si="11"/>
        <v>1</v>
      </c>
      <c r="D62" s="42"/>
      <c r="E62" s="21"/>
      <c r="F62" s="21"/>
      <c r="G62" s="50" t="str">
        <f t="shared" si="12"/>
        <v/>
      </c>
      <c r="H62" s="51" t="str">
        <f t="shared" si="13"/>
        <v/>
      </c>
      <c r="I62" s="47"/>
      <c r="J62" s="52" t="str">
        <f t="shared" si="14"/>
        <v/>
      </c>
      <c r="K62" s="45"/>
      <c r="L62" s="52" t="str">
        <f t="shared" si="15"/>
        <v/>
      </c>
      <c r="M62" s="47"/>
      <c r="N62" s="52" t="str">
        <f t="shared" si="16"/>
        <v/>
      </c>
      <c r="O62" s="47"/>
      <c r="P62" s="52" t="str">
        <f t="shared" si="17"/>
        <v/>
      </c>
      <c r="Q62" s="45"/>
      <c r="R62" s="52" t="str">
        <f t="shared" si="18"/>
        <v/>
      </c>
      <c r="S62" s="47"/>
      <c r="T62" s="52" t="str">
        <f t="shared" si="19"/>
        <v/>
      </c>
      <c r="U62" s="45"/>
      <c r="V62" s="52" t="str">
        <f t="shared" si="20"/>
        <v/>
      </c>
      <c r="W62" s="45"/>
      <c r="X62" s="52" t="str">
        <f t="shared" si="21"/>
        <v/>
      </c>
    </row>
    <row r="63" spans="1:24" x14ac:dyDescent="0.2">
      <c r="A63" s="14">
        <v>53</v>
      </c>
      <c r="B63" s="40">
        <v>46552</v>
      </c>
      <c r="C63" s="56">
        <f t="shared" si="11"/>
        <v>1</v>
      </c>
      <c r="D63" s="42"/>
      <c r="E63" s="14"/>
      <c r="F63" s="14"/>
      <c r="G63" s="43" t="str">
        <f t="shared" si="12"/>
        <v/>
      </c>
      <c r="H63" s="44" t="str">
        <f t="shared" si="13"/>
        <v/>
      </c>
      <c r="I63" s="47"/>
      <c r="J63" s="46" t="str">
        <f t="shared" si="14"/>
        <v/>
      </c>
      <c r="K63" s="45"/>
      <c r="L63" s="46" t="str">
        <f t="shared" si="15"/>
        <v/>
      </c>
      <c r="M63" s="47"/>
      <c r="N63" s="46" t="str">
        <f t="shared" si="16"/>
        <v/>
      </c>
      <c r="O63" s="47"/>
      <c r="P63" s="46" t="str">
        <f t="shared" si="17"/>
        <v/>
      </c>
      <c r="Q63" s="45"/>
      <c r="R63" s="46" t="str">
        <f t="shared" si="18"/>
        <v/>
      </c>
      <c r="S63" s="47"/>
      <c r="T63" s="46" t="str">
        <f t="shared" si="19"/>
        <v/>
      </c>
      <c r="U63" s="45"/>
      <c r="V63" s="46" t="str">
        <f t="shared" si="20"/>
        <v/>
      </c>
      <c r="W63" s="45"/>
      <c r="X63" s="46" t="str">
        <f t="shared" si="21"/>
        <v/>
      </c>
    </row>
    <row r="64" spans="1:24" x14ac:dyDescent="0.2">
      <c r="A64" s="21">
        <v>54</v>
      </c>
      <c r="B64" s="48">
        <v>46559</v>
      </c>
      <c r="C64" s="57">
        <f t="shared" si="11"/>
        <v>1</v>
      </c>
      <c r="D64" s="42"/>
      <c r="E64" s="21"/>
      <c r="F64" s="21"/>
      <c r="G64" s="50" t="str">
        <f t="shared" si="12"/>
        <v/>
      </c>
      <c r="H64" s="51" t="str">
        <f t="shared" si="13"/>
        <v/>
      </c>
      <c r="I64" s="47"/>
      <c r="J64" s="52" t="str">
        <f t="shared" si="14"/>
        <v/>
      </c>
      <c r="K64" s="45"/>
      <c r="L64" s="52" t="str">
        <f t="shared" si="15"/>
        <v/>
      </c>
      <c r="M64" s="47"/>
      <c r="N64" s="52" t="str">
        <f t="shared" si="16"/>
        <v/>
      </c>
      <c r="O64" s="47"/>
      <c r="P64" s="52" t="str">
        <f t="shared" si="17"/>
        <v/>
      </c>
      <c r="Q64" s="45"/>
      <c r="R64" s="52" t="str">
        <f t="shared" si="18"/>
        <v/>
      </c>
      <c r="S64" s="47"/>
      <c r="T64" s="52" t="str">
        <f t="shared" si="19"/>
        <v/>
      </c>
      <c r="U64" s="45"/>
      <c r="V64" s="52" t="str">
        <f t="shared" si="20"/>
        <v/>
      </c>
      <c r="W64" s="45"/>
      <c r="X64" s="52" t="str">
        <f t="shared" si="21"/>
        <v/>
      </c>
    </row>
    <row r="65" spans="1:24" x14ac:dyDescent="0.2">
      <c r="A65" s="14">
        <v>55</v>
      </c>
      <c r="B65" s="40">
        <v>46566</v>
      </c>
      <c r="C65" s="56">
        <f t="shared" si="11"/>
        <v>1</v>
      </c>
      <c r="D65" s="42"/>
      <c r="E65" s="14"/>
      <c r="F65" s="14"/>
      <c r="G65" s="43" t="str">
        <f t="shared" si="12"/>
        <v/>
      </c>
      <c r="H65" s="44" t="str">
        <f t="shared" si="13"/>
        <v/>
      </c>
      <c r="I65" s="47"/>
      <c r="J65" s="46" t="str">
        <f t="shared" si="14"/>
        <v/>
      </c>
      <c r="K65" s="45"/>
      <c r="L65" s="46" t="str">
        <f t="shared" si="15"/>
        <v/>
      </c>
      <c r="M65" s="47"/>
      <c r="N65" s="46" t="str">
        <f t="shared" si="16"/>
        <v/>
      </c>
      <c r="O65" s="47"/>
      <c r="P65" s="46" t="str">
        <f t="shared" si="17"/>
        <v/>
      </c>
      <c r="Q65" s="45"/>
      <c r="R65" s="46" t="str">
        <f t="shared" si="18"/>
        <v/>
      </c>
      <c r="S65" s="47"/>
      <c r="T65" s="46" t="str">
        <f t="shared" si="19"/>
        <v/>
      </c>
      <c r="U65" s="45"/>
      <c r="V65" s="46" t="str">
        <f t="shared" si="20"/>
        <v/>
      </c>
      <c r="W65" s="45"/>
      <c r="X65" s="46" t="str">
        <f t="shared" si="21"/>
        <v/>
      </c>
    </row>
    <row r="66" spans="1:24" x14ac:dyDescent="0.2">
      <c r="A66" s="21">
        <v>56</v>
      </c>
      <c r="B66" s="48">
        <v>46573</v>
      </c>
      <c r="C66" s="57">
        <f t="shared" si="11"/>
        <v>1</v>
      </c>
      <c r="D66" s="42"/>
      <c r="E66" s="21"/>
      <c r="F66" s="21"/>
      <c r="G66" s="50" t="str">
        <f t="shared" si="12"/>
        <v/>
      </c>
      <c r="H66" s="51" t="str">
        <f t="shared" si="13"/>
        <v/>
      </c>
      <c r="I66" s="47"/>
      <c r="J66" s="52" t="str">
        <f t="shared" si="14"/>
        <v/>
      </c>
      <c r="K66" s="45"/>
      <c r="L66" s="52" t="str">
        <f t="shared" si="15"/>
        <v/>
      </c>
      <c r="M66" s="47"/>
      <c r="N66" s="52" t="str">
        <f t="shared" si="16"/>
        <v/>
      </c>
      <c r="O66" s="47"/>
      <c r="P66" s="52" t="str">
        <f t="shared" si="17"/>
        <v/>
      </c>
      <c r="Q66" s="45"/>
      <c r="R66" s="52" t="str">
        <f t="shared" si="18"/>
        <v/>
      </c>
      <c r="S66" s="47"/>
      <c r="T66" s="52" t="str">
        <f t="shared" si="19"/>
        <v/>
      </c>
      <c r="U66" s="45"/>
      <c r="V66" s="52" t="str">
        <f t="shared" si="20"/>
        <v/>
      </c>
      <c r="W66" s="45"/>
      <c r="X66" s="52" t="str">
        <f t="shared" si="21"/>
        <v/>
      </c>
    </row>
    <row r="67" spans="1:24" x14ac:dyDescent="0.2">
      <c r="A67" s="14">
        <v>57</v>
      </c>
      <c r="B67" s="40">
        <v>46580</v>
      </c>
      <c r="C67" s="56">
        <f t="shared" si="11"/>
        <v>1</v>
      </c>
      <c r="D67" s="42"/>
      <c r="E67" s="14"/>
      <c r="F67" s="14"/>
      <c r="G67" s="43" t="str">
        <f t="shared" si="12"/>
        <v/>
      </c>
      <c r="H67" s="44" t="str">
        <f t="shared" si="13"/>
        <v/>
      </c>
      <c r="I67" s="47"/>
      <c r="J67" s="46" t="str">
        <f t="shared" si="14"/>
        <v/>
      </c>
      <c r="K67" s="45"/>
      <c r="L67" s="46" t="str">
        <f t="shared" si="15"/>
        <v/>
      </c>
      <c r="M67" s="47"/>
      <c r="N67" s="46" t="str">
        <f t="shared" si="16"/>
        <v/>
      </c>
      <c r="O67" s="47"/>
      <c r="P67" s="46" t="str">
        <f t="shared" si="17"/>
        <v/>
      </c>
      <c r="Q67" s="45"/>
      <c r="R67" s="46" t="str">
        <f t="shared" si="18"/>
        <v/>
      </c>
      <c r="S67" s="47"/>
      <c r="T67" s="46" t="str">
        <f t="shared" si="19"/>
        <v/>
      </c>
      <c r="U67" s="45"/>
      <c r="V67" s="46" t="str">
        <f t="shared" si="20"/>
        <v/>
      </c>
      <c r="W67" s="45"/>
      <c r="X67" s="46" t="str">
        <f t="shared" si="21"/>
        <v/>
      </c>
    </row>
    <row r="68" spans="1:24" x14ac:dyDescent="0.2">
      <c r="A68" s="21">
        <v>58</v>
      </c>
      <c r="B68" s="48">
        <v>46587</v>
      </c>
      <c r="C68" s="57">
        <f t="shared" si="11"/>
        <v>1</v>
      </c>
      <c r="D68" s="42"/>
      <c r="E68" s="21"/>
      <c r="F68" s="21"/>
      <c r="G68" s="50" t="str">
        <f t="shared" si="12"/>
        <v/>
      </c>
      <c r="H68" s="51" t="str">
        <f t="shared" si="13"/>
        <v/>
      </c>
      <c r="I68" s="47"/>
      <c r="J68" s="52" t="str">
        <f t="shared" si="14"/>
        <v/>
      </c>
      <c r="K68" s="45"/>
      <c r="L68" s="52" t="str">
        <f t="shared" si="15"/>
        <v/>
      </c>
      <c r="M68" s="47"/>
      <c r="N68" s="52" t="str">
        <f t="shared" si="16"/>
        <v/>
      </c>
      <c r="O68" s="47"/>
      <c r="P68" s="52" t="str">
        <f t="shared" si="17"/>
        <v/>
      </c>
      <c r="Q68" s="45"/>
      <c r="R68" s="52" t="str">
        <f t="shared" si="18"/>
        <v/>
      </c>
      <c r="S68" s="47"/>
      <c r="T68" s="52" t="str">
        <f t="shared" si="19"/>
        <v/>
      </c>
      <c r="U68" s="45"/>
      <c r="V68" s="52" t="str">
        <f t="shared" si="20"/>
        <v/>
      </c>
      <c r="W68" s="45"/>
      <c r="X68" s="52" t="str">
        <f t="shared" si="21"/>
        <v/>
      </c>
    </row>
    <row r="69" spans="1:24" x14ac:dyDescent="0.2">
      <c r="A69" s="14">
        <v>59</v>
      </c>
      <c r="B69" s="40">
        <v>46594</v>
      </c>
      <c r="C69" s="56">
        <f t="shared" si="11"/>
        <v>1</v>
      </c>
      <c r="D69" s="42"/>
      <c r="E69" s="14"/>
      <c r="F69" s="14"/>
      <c r="G69" s="43" t="str">
        <f t="shared" si="12"/>
        <v/>
      </c>
      <c r="H69" s="44" t="str">
        <f t="shared" si="13"/>
        <v/>
      </c>
      <c r="I69" s="47"/>
      <c r="J69" s="46" t="str">
        <f t="shared" si="14"/>
        <v/>
      </c>
      <c r="K69" s="45"/>
      <c r="L69" s="46" t="str">
        <f t="shared" si="15"/>
        <v/>
      </c>
      <c r="M69" s="47"/>
      <c r="N69" s="46" t="str">
        <f t="shared" si="16"/>
        <v/>
      </c>
      <c r="O69" s="47"/>
      <c r="P69" s="46" t="str">
        <f t="shared" si="17"/>
        <v/>
      </c>
      <c r="Q69" s="45"/>
      <c r="R69" s="46" t="str">
        <f t="shared" si="18"/>
        <v/>
      </c>
      <c r="S69" s="47"/>
      <c r="T69" s="46" t="str">
        <f t="shared" si="19"/>
        <v/>
      </c>
      <c r="U69" s="45"/>
      <c r="V69" s="46" t="str">
        <f t="shared" si="20"/>
        <v/>
      </c>
      <c r="W69" s="45"/>
      <c r="X69" s="46" t="str">
        <f t="shared" si="21"/>
        <v/>
      </c>
    </row>
    <row r="70" spans="1:24" x14ac:dyDescent="0.2">
      <c r="A70" s="21">
        <v>60</v>
      </c>
      <c r="B70" s="48">
        <v>46601</v>
      </c>
      <c r="C70" s="57">
        <f t="shared" si="11"/>
        <v>1</v>
      </c>
      <c r="D70" s="42"/>
      <c r="E70" s="21"/>
      <c r="F70" s="21"/>
      <c r="G70" s="50" t="str">
        <f t="shared" si="12"/>
        <v/>
      </c>
      <c r="H70" s="51" t="str">
        <f t="shared" si="13"/>
        <v/>
      </c>
      <c r="I70" s="47"/>
      <c r="J70" s="52" t="str">
        <f t="shared" si="14"/>
        <v/>
      </c>
      <c r="K70" s="45"/>
      <c r="L70" s="52" t="str">
        <f t="shared" si="15"/>
        <v/>
      </c>
      <c r="M70" s="47"/>
      <c r="N70" s="52" t="str">
        <f t="shared" si="16"/>
        <v/>
      </c>
      <c r="O70" s="47"/>
      <c r="P70" s="52" t="str">
        <f t="shared" si="17"/>
        <v/>
      </c>
      <c r="Q70" s="45"/>
      <c r="R70" s="52" t="str">
        <f t="shared" si="18"/>
        <v/>
      </c>
      <c r="S70" s="47"/>
      <c r="T70" s="52" t="str">
        <f t="shared" si="19"/>
        <v/>
      </c>
      <c r="U70" s="45"/>
      <c r="V70" s="52" t="str">
        <f t="shared" si="20"/>
        <v/>
      </c>
      <c r="W70" s="45"/>
      <c r="X70" s="52" t="str">
        <f t="shared" si="21"/>
        <v/>
      </c>
    </row>
    <row r="71" spans="1:24" x14ac:dyDescent="0.2">
      <c r="A71" s="14">
        <v>61</v>
      </c>
      <c r="B71" s="40">
        <v>46608</v>
      </c>
      <c r="C71" s="56">
        <f t="shared" si="11"/>
        <v>1</v>
      </c>
      <c r="D71" s="42"/>
      <c r="E71" s="14"/>
      <c r="F71" s="14"/>
      <c r="G71" s="43" t="str">
        <f t="shared" si="12"/>
        <v/>
      </c>
      <c r="H71" s="44" t="str">
        <f t="shared" si="13"/>
        <v/>
      </c>
      <c r="I71" s="47"/>
      <c r="J71" s="46" t="str">
        <f t="shared" si="14"/>
        <v/>
      </c>
      <c r="K71" s="45"/>
      <c r="L71" s="46" t="str">
        <f t="shared" si="15"/>
        <v/>
      </c>
      <c r="M71" s="47"/>
      <c r="N71" s="46" t="str">
        <f t="shared" si="16"/>
        <v/>
      </c>
      <c r="O71" s="47"/>
      <c r="P71" s="46" t="str">
        <f t="shared" si="17"/>
        <v/>
      </c>
      <c r="Q71" s="45"/>
      <c r="R71" s="46" t="str">
        <f t="shared" si="18"/>
        <v/>
      </c>
      <c r="S71" s="47"/>
      <c r="T71" s="46" t="str">
        <f t="shared" si="19"/>
        <v/>
      </c>
      <c r="U71" s="45"/>
      <c r="V71" s="46" t="str">
        <f t="shared" si="20"/>
        <v/>
      </c>
      <c r="W71" s="45"/>
      <c r="X71" s="46" t="str">
        <f t="shared" si="21"/>
        <v/>
      </c>
    </row>
    <row r="72" spans="1:24" x14ac:dyDescent="0.2">
      <c r="A72" s="21">
        <v>62</v>
      </c>
      <c r="B72" s="48">
        <v>46615</v>
      </c>
      <c r="C72" s="57">
        <f t="shared" si="11"/>
        <v>1</v>
      </c>
      <c r="D72" s="42"/>
      <c r="E72" s="21"/>
      <c r="F72" s="21"/>
      <c r="G72" s="50" t="str">
        <f t="shared" si="12"/>
        <v/>
      </c>
      <c r="H72" s="51" t="str">
        <f t="shared" si="13"/>
        <v/>
      </c>
      <c r="I72" s="47"/>
      <c r="J72" s="52" t="str">
        <f t="shared" si="14"/>
        <v/>
      </c>
      <c r="K72" s="45"/>
      <c r="L72" s="52" t="str">
        <f t="shared" si="15"/>
        <v/>
      </c>
      <c r="M72" s="47"/>
      <c r="N72" s="52" t="str">
        <f t="shared" si="16"/>
        <v/>
      </c>
      <c r="O72" s="47"/>
      <c r="P72" s="52" t="str">
        <f t="shared" si="17"/>
        <v/>
      </c>
      <c r="Q72" s="45"/>
      <c r="R72" s="52" t="str">
        <f t="shared" si="18"/>
        <v/>
      </c>
      <c r="S72" s="47"/>
      <c r="T72" s="52" t="str">
        <f t="shared" si="19"/>
        <v/>
      </c>
      <c r="U72" s="45"/>
      <c r="V72" s="52" t="str">
        <f t="shared" si="20"/>
        <v/>
      </c>
      <c r="W72" s="45"/>
      <c r="X72" s="52" t="str">
        <f t="shared" si="21"/>
        <v/>
      </c>
    </row>
    <row r="73" spans="1:24" x14ac:dyDescent="0.2">
      <c r="A73" s="14">
        <v>63</v>
      </c>
      <c r="B73" s="40">
        <v>46622</v>
      </c>
      <c r="C73" s="56">
        <f t="shared" si="11"/>
        <v>1</v>
      </c>
      <c r="D73" s="42"/>
      <c r="E73" s="14"/>
      <c r="F73" s="14"/>
      <c r="G73" s="43" t="str">
        <f t="shared" si="12"/>
        <v/>
      </c>
      <c r="H73" s="44" t="str">
        <f t="shared" si="13"/>
        <v/>
      </c>
      <c r="I73" s="47"/>
      <c r="J73" s="46" t="str">
        <f t="shared" si="14"/>
        <v/>
      </c>
      <c r="K73" s="45"/>
      <c r="L73" s="46" t="str">
        <f t="shared" si="15"/>
        <v/>
      </c>
      <c r="M73" s="47"/>
      <c r="N73" s="46" t="str">
        <f t="shared" si="16"/>
        <v/>
      </c>
      <c r="O73" s="47"/>
      <c r="P73" s="46" t="str">
        <f t="shared" si="17"/>
        <v/>
      </c>
      <c r="Q73" s="45"/>
      <c r="R73" s="46" t="str">
        <f t="shared" si="18"/>
        <v/>
      </c>
      <c r="S73" s="47"/>
      <c r="T73" s="46" t="str">
        <f t="shared" si="19"/>
        <v/>
      </c>
      <c r="U73" s="45"/>
      <c r="V73" s="46" t="str">
        <f t="shared" si="20"/>
        <v/>
      </c>
      <c r="W73" s="45"/>
      <c r="X73" s="46" t="str">
        <f t="shared" si="21"/>
        <v/>
      </c>
    </row>
    <row r="74" spans="1:24" x14ac:dyDescent="0.2">
      <c r="A74" s="21">
        <v>64</v>
      </c>
      <c r="B74" s="48">
        <v>46629</v>
      </c>
      <c r="C74" s="57">
        <f t="shared" si="11"/>
        <v>1</v>
      </c>
      <c r="D74" s="42"/>
      <c r="E74" s="21"/>
      <c r="F74" s="21"/>
      <c r="G74" s="50" t="str">
        <f t="shared" si="12"/>
        <v/>
      </c>
      <c r="H74" s="51" t="str">
        <f t="shared" si="13"/>
        <v/>
      </c>
      <c r="I74" s="47"/>
      <c r="J74" s="52" t="str">
        <f t="shared" si="14"/>
        <v/>
      </c>
      <c r="K74" s="45"/>
      <c r="L74" s="52" t="str">
        <f t="shared" si="15"/>
        <v/>
      </c>
      <c r="M74" s="47"/>
      <c r="N74" s="52" t="str">
        <f t="shared" si="16"/>
        <v/>
      </c>
      <c r="O74" s="47"/>
      <c r="P74" s="52" t="str">
        <f t="shared" si="17"/>
        <v/>
      </c>
      <c r="Q74" s="45"/>
      <c r="R74" s="52" t="str">
        <f t="shared" si="18"/>
        <v/>
      </c>
      <c r="S74" s="47"/>
      <c r="T74" s="52" t="str">
        <f t="shared" si="19"/>
        <v/>
      </c>
      <c r="U74" s="45"/>
      <c r="V74" s="52" t="str">
        <f t="shared" si="20"/>
        <v/>
      </c>
      <c r="W74" s="45"/>
      <c r="X74" s="52" t="str">
        <f t="shared" si="21"/>
        <v/>
      </c>
    </row>
    <row r="75" spans="1:24" x14ac:dyDescent="0.2">
      <c r="A75" s="14">
        <v>65</v>
      </c>
      <c r="B75" s="40">
        <v>46636</v>
      </c>
      <c r="C75" s="56">
        <f t="shared" ref="C75:C91" si="22">$B$5</f>
        <v>1</v>
      </c>
      <c r="D75" s="42"/>
      <c r="E75" s="14"/>
      <c r="F75" s="14"/>
      <c r="G75" s="43" t="str">
        <f t="shared" ref="G75:G91" si="23">IF(D75="","",D75-C75)</f>
        <v/>
      </c>
      <c r="H75" s="44" t="str">
        <f t="shared" ref="H75:H91" si="24">IF(D75="","",IF(D75&gt;=C75,"En meta",IF(D75&gt;=C75-0.05,"Riesgo","Atrasado")))</f>
        <v/>
      </c>
      <c r="I75" s="47"/>
      <c r="J75" s="46" t="str">
        <f t="shared" ref="J75:J106" si="25">IF(I75="","",IF($I$9="","",IF($I$9=0,"",I75/$I$9)))</f>
        <v/>
      </c>
      <c r="K75" s="45"/>
      <c r="L75" s="46" t="str">
        <f t="shared" ref="L75:L106" si="26">IF(K75="","",IF($K$9="","",IF($K$9=0,"",K75/$K$9)))</f>
        <v/>
      </c>
      <c r="M75" s="47"/>
      <c r="N75" s="46" t="str">
        <f t="shared" ref="N75:N106" si="27">IF(M75="","",IF($M$9="","",IF($M$9=0,"",M75/$M$9)))</f>
        <v/>
      </c>
      <c r="O75" s="47"/>
      <c r="P75" s="46" t="str">
        <f t="shared" ref="P75:P106" si="28">IF(O75="","",IF($O$9="","",IF($O$9=0,"",O75/$O$9)))</f>
        <v/>
      </c>
      <c r="Q75" s="45"/>
      <c r="R75" s="46" t="str">
        <f t="shared" ref="R75:R106" si="29">IF(Q75="","",IF($Q$9="","",IF($Q$9=0,"",Q75/$Q$9)))</f>
        <v/>
      </c>
      <c r="S75" s="47"/>
      <c r="T75" s="46" t="str">
        <f t="shared" ref="T75:T106" si="30">IF(S75="","",IF($S$9="","",IF($S$9=0,"",S75/$S$9)))</f>
        <v/>
      </c>
      <c r="U75" s="45"/>
      <c r="V75" s="46" t="str">
        <f t="shared" ref="V75:V106" si="31">IF(U75="","",IF($U$9="","",IF($U$9=0,"",U75/$U$9)))</f>
        <v/>
      </c>
      <c r="W75" s="45"/>
      <c r="X75" s="46" t="str">
        <f t="shared" ref="X75:X106" si="32">IF(W75="","",IF($W$9="","",IF($W$9=0,"",W75/$W$9)))</f>
        <v/>
      </c>
    </row>
    <row r="76" spans="1:24" x14ac:dyDescent="0.2">
      <c r="A76" s="21">
        <v>66</v>
      </c>
      <c r="B76" s="48">
        <v>46643</v>
      </c>
      <c r="C76" s="57">
        <f t="shared" si="22"/>
        <v>1</v>
      </c>
      <c r="D76" s="42"/>
      <c r="E76" s="21"/>
      <c r="F76" s="21"/>
      <c r="G76" s="50" t="str">
        <f t="shared" si="23"/>
        <v/>
      </c>
      <c r="H76" s="51" t="str">
        <f t="shared" si="24"/>
        <v/>
      </c>
      <c r="I76" s="47"/>
      <c r="J76" s="52" t="str">
        <f t="shared" si="25"/>
        <v/>
      </c>
      <c r="K76" s="45"/>
      <c r="L76" s="52" t="str">
        <f t="shared" si="26"/>
        <v/>
      </c>
      <c r="M76" s="47"/>
      <c r="N76" s="52" t="str">
        <f t="shared" si="27"/>
        <v/>
      </c>
      <c r="O76" s="47"/>
      <c r="P76" s="52" t="str">
        <f t="shared" si="28"/>
        <v/>
      </c>
      <c r="Q76" s="45"/>
      <c r="R76" s="52" t="str">
        <f t="shared" si="29"/>
        <v/>
      </c>
      <c r="S76" s="47"/>
      <c r="T76" s="52" t="str">
        <f t="shared" si="30"/>
        <v/>
      </c>
      <c r="U76" s="45"/>
      <c r="V76" s="52" t="str">
        <f t="shared" si="31"/>
        <v/>
      </c>
      <c r="W76" s="45"/>
      <c r="X76" s="52" t="str">
        <f t="shared" si="32"/>
        <v/>
      </c>
    </row>
    <row r="77" spans="1:24" x14ac:dyDescent="0.2">
      <c r="A77" s="14">
        <v>67</v>
      </c>
      <c r="B77" s="40">
        <v>46650</v>
      </c>
      <c r="C77" s="56">
        <f t="shared" si="22"/>
        <v>1</v>
      </c>
      <c r="D77" s="42"/>
      <c r="E77" s="14"/>
      <c r="F77" s="14"/>
      <c r="G77" s="43" t="str">
        <f t="shared" si="23"/>
        <v/>
      </c>
      <c r="H77" s="44" t="str">
        <f t="shared" si="24"/>
        <v/>
      </c>
      <c r="I77" s="47"/>
      <c r="J77" s="46" t="str">
        <f t="shared" si="25"/>
        <v/>
      </c>
      <c r="K77" s="45"/>
      <c r="L77" s="46" t="str">
        <f t="shared" si="26"/>
        <v/>
      </c>
      <c r="M77" s="47"/>
      <c r="N77" s="46" t="str">
        <f t="shared" si="27"/>
        <v/>
      </c>
      <c r="O77" s="47"/>
      <c r="P77" s="46" t="str">
        <f t="shared" si="28"/>
        <v/>
      </c>
      <c r="Q77" s="45"/>
      <c r="R77" s="46" t="str">
        <f t="shared" si="29"/>
        <v/>
      </c>
      <c r="S77" s="47"/>
      <c r="T77" s="46" t="str">
        <f t="shared" si="30"/>
        <v/>
      </c>
      <c r="U77" s="45"/>
      <c r="V77" s="46" t="str">
        <f t="shared" si="31"/>
        <v/>
      </c>
      <c r="W77" s="45"/>
      <c r="X77" s="46" t="str">
        <f t="shared" si="32"/>
        <v/>
      </c>
    </row>
    <row r="78" spans="1:24" x14ac:dyDescent="0.2">
      <c r="A78" s="21">
        <v>68</v>
      </c>
      <c r="B78" s="48">
        <v>46657</v>
      </c>
      <c r="C78" s="57">
        <f t="shared" si="22"/>
        <v>1</v>
      </c>
      <c r="D78" s="42"/>
      <c r="E78" s="21"/>
      <c r="F78" s="21"/>
      <c r="G78" s="50" t="str">
        <f t="shared" si="23"/>
        <v/>
      </c>
      <c r="H78" s="51" t="str">
        <f t="shared" si="24"/>
        <v/>
      </c>
      <c r="I78" s="47"/>
      <c r="J78" s="52" t="str">
        <f t="shared" si="25"/>
        <v/>
      </c>
      <c r="K78" s="45"/>
      <c r="L78" s="52" t="str">
        <f t="shared" si="26"/>
        <v/>
      </c>
      <c r="M78" s="47"/>
      <c r="N78" s="52" t="str">
        <f t="shared" si="27"/>
        <v/>
      </c>
      <c r="O78" s="47"/>
      <c r="P78" s="52" t="str">
        <f t="shared" si="28"/>
        <v/>
      </c>
      <c r="Q78" s="45"/>
      <c r="R78" s="52" t="str">
        <f t="shared" si="29"/>
        <v/>
      </c>
      <c r="S78" s="47"/>
      <c r="T78" s="52" t="str">
        <f t="shared" si="30"/>
        <v/>
      </c>
      <c r="U78" s="45"/>
      <c r="V78" s="52" t="str">
        <f t="shared" si="31"/>
        <v/>
      </c>
      <c r="W78" s="45"/>
      <c r="X78" s="52" t="str">
        <f t="shared" si="32"/>
        <v/>
      </c>
    </row>
    <row r="79" spans="1:24" x14ac:dyDescent="0.2">
      <c r="A79" s="14">
        <v>69</v>
      </c>
      <c r="B79" s="40">
        <v>46664</v>
      </c>
      <c r="C79" s="56">
        <f t="shared" si="22"/>
        <v>1</v>
      </c>
      <c r="D79" s="42"/>
      <c r="E79" s="14"/>
      <c r="F79" s="14"/>
      <c r="G79" s="43" t="str">
        <f t="shared" si="23"/>
        <v/>
      </c>
      <c r="H79" s="44" t="str">
        <f t="shared" si="24"/>
        <v/>
      </c>
      <c r="I79" s="47"/>
      <c r="J79" s="46" t="str">
        <f t="shared" si="25"/>
        <v/>
      </c>
      <c r="K79" s="45"/>
      <c r="L79" s="46" t="str">
        <f t="shared" si="26"/>
        <v/>
      </c>
      <c r="M79" s="47"/>
      <c r="N79" s="46" t="str">
        <f t="shared" si="27"/>
        <v/>
      </c>
      <c r="O79" s="47"/>
      <c r="P79" s="46" t="str">
        <f t="shared" si="28"/>
        <v/>
      </c>
      <c r="Q79" s="45"/>
      <c r="R79" s="46" t="str">
        <f t="shared" si="29"/>
        <v/>
      </c>
      <c r="S79" s="47"/>
      <c r="T79" s="46" t="str">
        <f t="shared" si="30"/>
        <v/>
      </c>
      <c r="U79" s="45"/>
      <c r="V79" s="46" t="str">
        <f t="shared" si="31"/>
        <v/>
      </c>
      <c r="W79" s="45"/>
      <c r="X79" s="46" t="str">
        <f t="shared" si="32"/>
        <v/>
      </c>
    </row>
    <row r="80" spans="1:24" x14ac:dyDescent="0.2">
      <c r="A80" s="21">
        <v>70</v>
      </c>
      <c r="B80" s="48">
        <v>46671</v>
      </c>
      <c r="C80" s="57">
        <f t="shared" si="22"/>
        <v>1</v>
      </c>
      <c r="D80" s="42"/>
      <c r="E80" s="21"/>
      <c r="F80" s="21"/>
      <c r="G80" s="50" t="str">
        <f t="shared" si="23"/>
        <v/>
      </c>
      <c r="H80" s="51" t="str">
        <f t="shared" si="24"/>
        <v/>
      </c>
      <c r="I80" s="47"/>
      <c r="J80" s="52" t="str">
        <f t="shared" si="25"/>
        <v/>
      </c>
      <c r="K80" s="45"/>
      <c r="L80" s="52" t="str">
        <f t="shared" si="26"/>
        <v/>
      </c>
      <c r="M80" s="47"/>
      <c r="N80" s="52" t="str">
        <f t="shared" si="27"/>
        <v/>
      </c>
      <c r="O80" s="47"/>
      <c r="P80" s="52" t="str">
        <f t="shared" si="28"/>
        <v/>
      </c>
      <c r="Q80" s="45"/>
      <c r="R80" s="52" t="str">
        <f t="shared" si="29"/>
        <v/>
      </c>
      <c r="S80" s="47"/>
      <c r="T80" s="52" t="str">
        <f t="shared" si="30"/>
        <v/>
      </c>
      <c r="U80" s="45"/>
      <c r="V80" s="52" t="str">
        <f t="shared" si="31"/>
        <v/>
      </c>
      <c r="W80" s="45"/>
      <c r="X80" s="52" t="str">
        <f t="shared" si="32"/>
        <v/>
      </c>
    </row>
    <row r="81" spans="1:24" x14ac:dyDescent="0.2">
      <c r="A81" s="14">
        <v>71</v>
      </c>
      <c r="B81" s="40">
        <v>46678</v>
      </c>
      <c r="C81" s="56">
        <f t="shared" si="22"/>
        <v>1</v>
      </c>
      <c r="D81" s="42"/>
      <c r="E81" s="14"/>
      <c r="F81" s="14"/>
      <c r="G81" s="43" t="str">
        <f t="shared" si="23"/>
        <v/>
      </c>
      <c r="H81" s="44" t="str">
        <f t="shared" si="24"/>
        <v/>
      </c>
      <c r="I81" s="47"/>
      <c r="J81" s="46" t="str">
        <f t="shared" si="25"/>
        <v/>
      </c>
      <c r="K81" s="45"/>
      <c r="L81" s="46" t="str">
        <f t="shared" si="26"/>
        <v/>
      </c>
      <c r="M81" s="47"/>
      <c r="N81" s="46" t="str">
        <f t="shared" si="27"/>
        <v/>
      </c>
      <c r="O81" s="47"/>
      <c r="P81" s="46" t="str">
        <f t="shared" si="28"/>
        <v/>
      </c>
      <c r="Q81" s="45"/>
      <c r="R81" s="46" t="str">
        <f t="shared" si="29"/>
        <v/>
      </c>
      <c r="S81" s="47"/>
      <c r="T81" s="46" t="str">
        <f t="shared" si="30"/>
        <v/>
      </c>
      <c r="U81" s="45"/>
      <c r="V81" s="46" t="str">
        <f t="shared" si="31"/>
        <v/>
      </c>
      <c r="W81" s="45"/>
      <c r="X81" s="46" t="str">
        <f t="shared" si="32"/>
        <v/>
      </c>
    </row>
    <row r="82" spans="1:24" x14ac:dyDescent="0.2">
      <c r="A82" s="21">
        <v>72</v>
      </c>
      <c r="B82" s="48">
        <v>46685</v>
      </c>
      <c r="C82" s="57">
        <f t="shared" si="22"/>
        <v>1</v>
      </c>
      <c r="D82" s="42"/>
      <c r="E82" s="21"/>
      <c r="F82" s="21"/>
      <c r="G82" s="50" t="str">
        <f t="shared" si="23"/>
        <v/>
      </c>
      <c r="H82" s="51" t="str">
        <f t="shared" si="24"/>
        <v/>
      </c>
      <c r="I82" s="47"/>
      <c r="J82" s="52" t="str">
        <f t="shared" si="25"/>
        <v/>
      </c>
      <c r="K82" s="45"/>
      <c r="L82" s="52" t="str">
        <f t="shared" si="26"/>
        <v/>
      </c>
      <c r="M82" s="47"/>
      <c r="N82" s="52" t="str">
        <f t="shared" si="27"/>
        <v/>
      </c>
      <c r="O82" s="47"/>
      <c r="P82" s="52" t="str">
        <f t="shared" si="28"/>
        <v/>
      </c>
      <c r="Q82" s="45"/>
      <c r="R82" s="52" t="str">
        <f t="shared" si="29"/>
        <v/>
      </c>
      <c r="S82" s="47"/>
      <c r="T82" s="52" t="str">
        <f t="shared" si="30"/>
        <v/>
      </c>
      <c r="U82" s="45"/>
      <c r="V82" s="52" t="str">
        <f t="shared" si="31"/>
        <v/>
      </c>
      <c r="W82" s="45"/>
      <c r="X82" s="52" t="str">
        <f t="shared" si="32"/>
        <v/>
      </c>
    </row>
    <row r="83" spans="1:24" x14ac:dyDescent="0.2">
      <c r="A83" s="14">
        <v>73</v>
      </c>
      <c r="B83" s="40">
        <v>46692</v>
      </c>
      <c r="C83" s="56">
        <f t="shared" si="22"/>
        <v>1</v>
      </c>
      <c r="D83" s="42"/>
      <c r="E83" s="14"/>
      <c r="F83" s="14"/>
      <c r="G83" s="43" t="str">
        <f t="shared" si="23"/>
        <v/>
      </c>
      <c r="H83" s="44" t="str">
        <f t="shared" si="24"/>
        <v/>
      </c>
      <c r="I83" s="47"/>
      <c r="J83" s="46" t="str">
        <f t="shared" si="25"/>
        <v/>
      </c>
      <c r="K83" s="45"/>
      <c r="L83" s="46" t="str">
        <f t="shared" si="26"/>
        <v/>
      </c>
      <c r="M83" s="47"/>
      <c r="N83" s="46" t="str">
        <f t="shared" si="27"/>
        <v/>
      </c>
      <c r="O83" s="47"/>
      <c r="P83" s="46" t="str">
        <f t="shared" si="28"/>
        <v/>
      </c>
      <c r="Q83" s="45"/>
      <c r="R83" s="46" t="str">
        <f t="shared" si="29"/>
        <v/>
      </c>
      <c r="S83" s="47"/>
      <c r="T83" s="46" t="str">
        <f t="shared" si="30"/>
        <v/>
      </c>
      <c r="U83" s="45"/>
      <c r="V83" s="46" t="str">
        <f t="shared" si="31"/>
        <v/>
      </c>
      <c r="W83" s="45"/>
      <c r="X83" s="46" t="str">
        <f t="shared" si="32"/>
        <v/>
      </c>
    </row>
    <row r="84" spans="1:24" x14ac:dyDescent="0.2">
      <c r="A84" s="21">
        <v>74</v>
      </c>
      <c r="B84" s="48">
        <v>46699</v>
      </c>
      <c r="C84" s="57">
        <f t="shared" si="22"/>
        <v>1</v>
      </c>
      <c r="D84" s="42"/>
      <c r="E84" s="21"/>
      <c r="F84" s="21"/>
      <c r="G84" s="50" t="str">
        <f t="shared" si="23"/>
        <v/>
      </c>
      <c r="H84" s="51" t="str">
        <f t="shared" si="24"/>
        <v/>
      </c>
      <c r="I84" s="47"/>
      <c r="J84" s="52" t="str">
        <f t="shared" si="25"/>
        <v/>
      </c>
      <c r="K84" s="45"/>
      <c r="L84" s="52" t="str">
        <f t="shared" si="26"/>
        <v/>
      </c>
      <c r="M84" s="47"/>
      <c r="N84" s="52" t="str">
        <f t="shared" si="27"/>
        <v/>
      </c>
      <c r="O84" s="47"/>
      <c r="P84" s="52" t="str">
        <f t="shared" si="28"/>
        <v/>
      </c>
      <c r="Q84" s="45"/>
      <c r="R84" s="52" t="str">
        <f t="shared" si="29"/>
        <v/>
      </c>
      <c r="S84" s="47"/>
      <c r="T84" s="52" t="str">
        <f t="shared" si="30"/>
        <v/>
      </c>
      <c r="U84" s="45"/>
      <c r="V84" s="52" t="str">
        <f t="shared" si="31"/>
        <v/>
      </c>
      <c r="W84" s="45"/>
      <c r="X84" s="52" t="str">
        <f t="shared" si="32"/>
        <v/>
      </c>
    </row>
    <row r="85" spans="1:24" x14ac:dyDescent="0.2">
      <c r="A85" s="14">
        <v>75</v>
      </c>
      <c r="B85" s="40">
        <v>46706</v>
      </c>
      <c r="C85" s="56">
        <f t="shared" si="22"/>
        <v>1</v>
      </c>
      <c r="D85" s="42"/>
      <c r="E85" s="14"/>
      <c r="F85" s="14"/>
      <c r="G85" s="43" t="str">
        <f t="shared" si="23"/>
        <v/>
      </c>
      <c r="H85" s="44" t="str">
        <f t="shared" si="24"/>
        <v/>
      </c>
      <c r="I85" s="47"/>
      <c r="J85" s="46" t="str">
        <f t="shared" si="25"/>
        <v/>
      </c>
      <c r="K85" s="45"/>
      <c r="L85" s="46" t="str">
        <f t="shared" si="26"/>
        <v/>
      </c>
      <c r="M85" s="47"/>
      <c r="N85" s="46" t="str">
        <f t="shared" si="27"/>
        <v/>
      </c>
      <c r="O85" s="47"/>
      <c r="P85" s="46" t="str">
        <f t="shared" si="28"/>
        <v/>
      </c>
      <c r="Q85" s="45"/>
      <c r="R85" s="46" t="str">
        <f t="shared" si="29"/>
        <v/>
      </c>
      <c r="S85" s="47"/>
      <c r="T85" s="46" t="str">
        <f t="shared" si="30"/>
        <v/>
      </c>
      <c r="U85" s="45"/>
      <c r="V85" s="46" t="str">
        <f t="shared" si="31"/>
        <v/>
      </c>
      <c r="W85" s="45"/>
      <c r="X85" s="46" t="str">
        <f t="shared" si="32"/>
        <v/>
      </c>
    </row>
    <row r="86" spans="1:24" x14ac:dyDescent="0.2">
      <c r="A86" s="21">
        <v>76</v>
      </c>
      <c r="B86" s="48">
        <v>46713</v>
      </c>
      <c r="C86" s="57">
        <f t="shared" si="22"/>
        <v>1</v>
      </c>
      <c r="D86" s="42"/>
      <c r="E86" s="21"/>
      <c r="F86" s="21"/>
      <c r="G86" s="50" t="str">
        <f t="shared" si="23"/>
        <v/>
      </c>
      <c r="H86" s="51" t="str">
        <f t="shared" si="24"/>
        <v/>
      </c>
      <c r="I86" s="47"/>
      <c r="J86" s="52" t="str">
        <f t="shared" si="25"/>
        <v/>
      </c>
      <c r="K86" s="45"/>
      <c r="L86" s="52" t="str">
        <f t="shared" si="26"/>
        <v/>
      </c>
      <c r="M86" s="47"/>
      <c r="N86" s="52" t="str">
        <f t="shared" si="27"/>
        <v/>
      </c>
      <c r="O86" s="47"/>
      <c r="P86" s="52" t="str">
        <f t="shared" si="28"/>
        <v/>
      </c>
      <c r="Q86" s="45"/>
      <c r="R86" s="52" t="str">
        <f t="shared" si="29"/>
        <v/>
      </c>
      <c r="S86" s="47"/>
      <c r="T86" s="52" t="str">
        <f t="shared" si="30"/>
        <v/>
      </c>
      <c r="U86" s="45"/>
      <c r="V86" s="52" t="str">
        <f t="shared" si="31"/>
        <v/>
      </c>
      <c r="W86" s="45"/>
      <c r="X86" s="52" t="str">
        <f t="shared" si="32"/>
        <v/>
      </c>
    </row>
    <row r="87" spans="1:24" x14ac:dyDescent="0.2">
      <c r="A87" s="14">
        <v>77</v>
      </c>
      <c r="B87" s="40">
        <v>46720</v>
      </c>
      <c r="C87" s="56">
        <f t="shared" si="22"/>
        <v>1</v>
      </c>
      <c r="D87" s="42"/>
      <c r="E87" s="14"/>
      <c r="F87" s="14"/>
      <c r="G87" s="43" t="str">
        <f t="shared" si="23"/>
        <v/>
      </c>
      <c r="H87" s="44" t="str">
        <f t="shared" si="24"/>
        <v/>
      </c>
      <c r="I87" s="47"/>
      <c r="J87" s="46" t="str">
        <f t="shared" si="25"/>
        <v/>
      </c>
      <c r="K87" s="45"/>
      <c r="L87" s="46" t="str">
        <f t="shared" si="26"/>
        <v/>
      </c>
      <c r="M87" s="47"/>
      <c r="N87" s="46" t="str">
        <f t="shared" si="27"/>
        <v/>
      </c>
      <c r="O87" s="47"/>
      <c r="P87" s="46" t="str">
        <f t="shared" si="28"/>
        <v/>
      </c>
      <c r="Q87" s="45"/>
      <c r="R87" s="46" t="str">
        <f t="shared" si="29"/>
        <v/>
      </c>
      <c r="S87" s="47"/>
      <c r="T87" s="46" t="str">
        <f t="shared" si="30"/>
        <v/>
      </c>
      <c r="U87" s="45"/>
      <c r="V87" s="46" t="str">
        <f t="shared" si="31"/>
        <v/>
      </c>
      <c r="W87" s="45"/>
      <c r="X87" s="46" t="str">
        <f t="shared" si="32"/>
        <v/>
      </c>
    </row>
    <row r="88" spans="1:24" x14ac:dyDescent="0.2">
      <c r="A88" s="21">
        <v>78</v>
      </c>
      <c r="B88" s="48">
        <v>46727</v>
      </c>
      <c r="C88" s="57">
        <f t="shared" si="22"/>
        <v>1</v>
      </c>
      <c r="D88" s="42"/>
      <c r="E88" s="21"/>
      <c r="F88" s="21"/>
      <c r="G88" s="50" t="str">
        <f t="shared" si="23"/>
        <v/>
      </c>
      <c r="H88" s="51" t="str">
        <f t="shared" si="24"/>
        <v/>
      </c>
      <c r="I88" s="47"/>
      <c r="J88" s="52" t="str">
        <f t="shared" si="25"/>
        <v/>
      </c>
      <c r="K88" s="45"/>
      <c r="L88" s="52" t="str">
        <f t="shared" si="26"/>
        <v/>
      </c>
      <c r="M88" s="47"/>
      <c r="N88" s="52" t="str">
        <f t="shared" si="27"/>
        <v/>
      </c>
      <c r="O88" s="47"/>
      <c r="P88" s="52" t="str">
        <f t="shared" si="28"/>
        <v/>
      </c>
      <c r="Q88" s="45"/>
      <c r="R88" s="52" t="str">
        <f t="shared" si="29"/>
        <v/>
      </c>
      <c r="S88" s="47"/>
      <c r="T88" s="52" t="str">
        <f t="shared" si="30"/>
        <v/>
      </c>
      <c r="U88" s="45"/>
      <c r="V88" s="52" t="str">
        <f t="shared" si="31"/>
        <v/>
      </c>
      <c r="W88" s="45"/>
      <c r="X88" s="52" t="str">
        <f t="shared" si="32"/>
        <v/>
      </c>
    </row>
    <row r="89" spans="1:24" x14ac:dyDescent="0.2">
      <c r="A89" s="14">
        <v>79</v>
      </c>
      <c r="B89" s="40">
        <v>46734</v>
      </c>
      <c r="C89" s="56">
        <f t="shared" si="22"/>
        <v>1</v>
      </c>
      <c r="D89" s="42"/>
      <c r="E89" s="14"/>
      <c r="F89" s="14"/>
      <c r="G89" s="43" t="str">
        <f t="shared" si="23"/>
        <v/>
      </c>
      <c r="H89" s="44" t="str">
        <f t="shared" si="24"/>
        <v/>
      </c>
      <c r="I89" s="47"/>
      <c r="J89" s="46" t="str">
        <f t="shared" si="25"/>
        <v/>
      </c>
      <c r="K89" s="45"/>
      <c r="L89" s="46" t="str">
        <f t="shared" si="26"/>
        <v/>
      </c>
      <c r="M89" s="47"/>
      <c r="N89" s="46" t="str">
        <f t="shared" si="27"/>
        <v/>
      </c>
      <c r="O89" s="47"/>
      <c r="P89" s="46" t="str">
        <f t="shared" si="28"/>
        <v/>
      </c>
      <c r="Q89" s="45"/>
      <c r="R89" s="46" t="str">
        <f t="shared" si="29"/>
        <v/>
      </c>
      <c r="S89" s="47"/>
      <c r="T89" s="46" t="str">
        <f t="shared" si="30"/>
        <v/>
      </c>
      <c r="U89" s="45"/>
      <c r="V89" s="46" t="str">
        <f t="shared" si="31"/>
        <v/>
      </c>
      <c r="W89" s="45"/>
      <c r="X89" s="46" t="str">
        <f t="shared" si="32"/>
        <v/>
      </c>
    </row>
    <row r="90" spans="1:24" x14ac:dyDescent="0.2">
      <c r="A90" s="21">
        <v>80</v>
      </c>
      <c r="B90" s="48">
        <v>46741</v>
      </c>
      <c r="C90" s="57">
        <f t="shared" si="22"/>
        <v>1</v>
      </c>
      <c r="D90" s="42"/>
      <c r="E90" s="21"/>
      <c r="F90" s="21"/>
      <c r="G90" s="50" t="str">
        <f t="shared" si="23"/>
        <v/>
      </c>
      <c r="H90" s="51" t="str">
        <f t="shared" si="24"/>
        <v/>
      </c>
      <c r="I90" s="47"/>
      <c r="J90" s="52" t="str">
        <f t="shared" si="25"/>
        <v/>
      </c>
      <c r="K90" s="45"/>
      <c r="L90" s="52" t="str">
        <f t="shared" si="26"/>
        <v/>
      </c>
      <c r="M90" s="47"/>
      <c r="N90" s="52" t="str">
        <f t="shared" si="27"/>
        <v/>
      </c>
      <c r="O90" s="47"/>
      <c r="P90" s="52" t="str">
        <f t="shared" si="28"/>
        <v/>
      </c>
      <c r="Q90" s="45"/>
      <c r="R90" s="52" t="str">
        <f t="shared" si="29"/>
        <v/>
      </c>
      <c r="S90" s="47"/>
      <c r="T90" s="52" t="str">
        <f t="shared" si="30"/>
        <v/>
      </c>
      <c r="U90" s="45"/>
      <c r="V90" s="52" t="str">
        <f t="shared" si="31"/>
        <v/>
      </c>
      <c r="W90" s="45"/>
      <c r="X90" s="52" t="str">
        <f t="shared" si="32"/>
        <v/>
      </c>
    </row>
    <row r="91" spans="1:24" x14ac:dyDescent="0.2">
      <c r="A91" s="14">
        <v>81</v>
      </c>
      <c r="B91" s="40">
        <v>46748</v>
      </c>
      <c r="C91" s="56">
        <f t="shared" si="22"/>
        <v>1</v>
      </c>
      <c r="D91" s="42"/>
      <c r="E91" s="14"/>
      <c r="F91" s="14"/>
      <c r="G91" s="43" t="str">
        <f t="shared" si="23"/>
        <v/>
      </c>
      <c r="H91" s="44" t="str">
        <f t="shared" si="24"/>
        <v/>
      </c>
      <c r="I91" s="47"/>
      <c r="J91" s="46" t="str">
        <f t="shared" si="25"/>
        <v/>
      </c>
      <c r="K91" s="45"/>
      <c r="L91" s="46" t="str">
        <f t="shared" si="26"/>
        <v/>
      </c>
      <c r="M91" s="47"/>
      <c r="N91" s="46" t="str">
        <f t="shared" si="27"/>
        <v/>
      </c>
      <c r="O91" s="47"/>
      <c r="P91" s="46" t="str">
        <f t="shared" si="28"/>
        <v/>
      </c>
      <c r="Q91" s="45"/>
      <c r="R91" s="46" t="str">
        <f t="shared" si="29"/>
        <v/>
      </c>
      <c r="S91" s="47"/>
      <c r="T91" s="46" t="str">
        <f t="shared" si="30"/>
        <v/>
      </c>
      <c r="U91" s="45"/>
      <c r="V91" s="46" t="str">
        <f t="shared" si="31"/>
        <v/>
      </c>
      <c r="W91" s="45"/>
      <c r="X91" s="46" t="str">
        <f t="shared" si="32"/>
        <v/>
      </c>
    </row>
  </sheetData>
  <mergeCells count="17">
    <mergeCell ref="A1:X1"/>
    <mergeCell ref="I8:J8"/>
    <mergeCell ref="O9:P9"/>
    <mergeCell ref="I9:J9"/>
    <mergeCell ref="W9:X9"/>
    <mergeCell ref="Q8:R8"/>
    <mergeCell ref="M8:N8"/>
    <mergeCell ref="U8:V8"/>
    <mergeCell ref="S8:T8"/>
    <mergeCell ref="W8:X8"/>
    <mergeCell ref="U9:V9"/>
    <mergeCell ref="K8:L8"/>
    <mergeCell ref="S9:T9"/>
    <mergeCell ref="O8:P8"/>
    <mergeCell ref="K9:L9"/>
    <mergeCell ref="M9:N9"/>
    <mergeCell ref="Q9:R9"/>
  </mergeCells>
  <conditionalFormatting sqref="H11:H91">
    <cfRule type="containsText" dxfId="19" priority="1" operator="containsText" text="En meta">
      <formula>NOT(ISERROR(SEARCH("En meta",H11)))</formula>
    </cfRule>
    <cfRule type="containsText" dxfId="18" priority="2" operator="containsText" text="Riesgo">
      <formula>NOT(ISERROR(SEARCH("Riesgo",H11)))</formula>
    </cfRule>
    <cfRule type="containsText" dxfId="17" priority="3" operator="containsText" text="Atrasado">
      <formula>NOT(ISERROR(SEARCH("Atrasado",H11)))</formula>
    </cfRule>
  </conditionalFormatting>
  <pageMargins left="0.75" right="0.75" top="1" bottom="1" header="0.5" footer="0.5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X91"/>
  <sheetViews>
    <sheetView showGridLines="0" workbookViewId="0">
      <pane xSplit="2" ySplit="10" topLeftCell="C11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5" customWidth="1"/>
    <col min="2" max="2" width="11" customWidth="1"/>
    <col min="3" max="3" width="12" customWidth="1"/>
    <col min="4" max="4" width="11" customWidth="1"/>
    <col min="5" max="6" width="12" customWidth="1"/>
    <col min="7" max="7" width="13" customWidth="1"/>
    <col min="8" max="9" width="11" customWidth="1"/>
    <col min="10" max="10" width="7" customWidth="1"/>
    <col min="11" max="11" width="11" customWidth="1"/>
    <col min="12" max="12" width="7" customWidth="1"/>
    <col min="13" max="13" width="11" customWidth="1"/>
    <col min="14" max="14" width="7" customWidth="1"/>
    <col min="15" max="15" width="11" customWidth="1"/>
    <col min="16" max="16" width="7" customWidth="1"/>
    <col min="17" max="17" width="11" customWidth="1"/>
    <col min="18" max="18" width="7" customWidth="1"/>
    <col min="19" max="19" width="11" customWidth="1"/>
    <col min="20" max="20" width="7" customWidth="1"/>
    <col min="21" max="21" width="11" customWidth="1"/>
    <col min="22" max="22" width="7" customWidth="1"/>
    <col min="23" max="23" width="11" customWidth="1"/>
    <col min="24" max="24" width="7" customWidth="1"/>
  </cols>
  <sheetData>
    <row r="1" spans="1:24" ht="18" x14ac:dyDescent="0.2">
      <c r="A1" s="79" t="s">
        <v>104</v>
      </c>
      <c r="B1" s="73"/>
      <c r="C1" s="73"/>
      <c r="D1" s="73"/>
      <c r="E1" s="73"/>
      <c r="F1" s="73"/>
      <c r="G1" s="73"/>
      <c r="H1" s="73"/>
      <c r="I1" s="73"/>
      <c r="J1" s="73"/>
      <c r="K1" s="73"/>
      <c r="L1" s="73"/>
      <c r="M1" s="73"/>
      <c r="N1" s="73"/>
      <c r="O1" s="73"/>
      <c r="P1" s="73"/>
      <c r="Q1" s="73"/>
      <c r="R1" s="73"/>
      <c r="S1" s="73"/>
      <c r="T1" s="73"/>
      <c r="U1" s="73"/>
      <c r="V1" s="73"/>
      <c r="W1" s="73"/>
      <c r="X1" s="73"/>
    </row>
    <row r="2" spans="1:24" x14ac:dyDescent="0.2">
      <c r="A2" s="1" t="s">
        <v>46</v>
      </c>
      <c r="B2" s="32" t="s">
        <v>105</v>
      </c>
    </row>
    <row r="3" spans="1:24" x14ac:dyDescent="0.2">
      <c r="A3" s="1" t="s">
        <v>48</v>
      </c>
      <c r="B3" s="32" t="s">
        <v>106</v>
      </c>
    </row>
    <row r="4" spans="1:24" x14ac:dyDescent="0.2">
      <c r="A4" s="1" t="s">
        <v>50</v>
      </c>
      <c r="B4" s="33" t="s">
        <v>51</v>
      </c>
      <c r="D4" s="1" t="s">
        <v>52</v>
      </c>
      <c r="E4" s="32" t="s">
        <v>31</v>
      </c>
    </row>
    <row r="5" spans="1:24" x14ac:dyDescent="0.2">
      <c r="A5" s="1" t="s">
        <v>53</v>
      </c>
      <c r="B5" s="58">
        <v>20000</v>
      </c>
      <c r="D5" s="1" t="s">
        <v>54</v>
      </c>
      <c r="E5" s="35">
        <v>46188</v>
      </c>
      <c r="G5" s="1" t="s">
        <v>55</v>
      </c>
      <c r="H5" s="35">
        <v>46748</v>
      </c>
    </row>
    <row r="6" spans="1:24" x14ac:dyDescent="0.2">
      <c r="A6" s="1" t="s">
        <v>56</v>
      </c>
      <c r="B6" s="32" t="s">
        <v>57</v>
      </c>
    </row>
    <row r="8" spans="1:24" ht="42" customHeight="1" x14ac:dyDescent="0.2">
      <c r="A8" s="1" t="s">
        <v>58</v>
      </c>
      <c r="B8" s="36">
        <f>COUNT(A11:A91)</f>
        <v>81</v>
      </c>
      <c r="H8" s="37" t="s">
        <v>59</v>
      </c>
      <c r="I8" s="75" t="s">
        <v>107</v>
      </c>
      <c r="J8" s="76"/>
      <c r="K8" s="75" t="s">
        <v>108</v>
      </c>
      <c r="L8" s="76"/>
      <c r="M8" s="75" t="s">
        <v>109</v>
      </c>
      <c r="N8" s="76"/>
      <c r="O8" s="75" t="s">
        <v>110</v>
      </c>
      <c r="P8" s="76"/>
      <c r="Q8" s="75" t="s">
        <v>111</v>
      </c>
      <c r="R8" s="76"/>
      <c r="S8" s="75" t="s">
        <v>112</v>
      </c>
      <c r="T8" s="76"/>
      <c r="U8" s="75" t="s">
        <v>67</v>
      </c>
      <c r="V8" s="76"/>
      <c r="W8" s="75" t="s">
        <v>67</v>
      </c>
      <c r="X8" s="76"/>
    </row>
    <row r="9" spans="1:24" x14ac:dyDescent="0.2">
      <c r="A9" s="38" t="s">
        <v>68</v>
      </c>
      <c r="H9" s="37" t="s">
        <v>69</v>
      </c>
      <c r="I9" s="78">
        <v>2</v>
      </c>
      <c r="J9" s="76"/>
      <c r="K9" s="78">
        <v>1</v>
      </c>
      <c r="L9" s="76"/>
      <c r="M9" s="78">
        <v>1</v>
      </c>
      <c r="N9" s="76"/>
      <c r="O9" s="78">
        <v>4</v>
      </c>
      <c r="P9" s="76"/>
      <c r="Q9" s="78">
        <v>3</v>
      </c>
      <c r="R9" s="76"/>
      <c r="S9" s="77">
        <v>1</v>
      </c>
      <c r="T9" s="76"/>
      <c r="U9" s="78"/>
      <c r="V9" s="76"/>
      <c r="W9" s="78"/>
      <c r="X9" s="76"/>
    </row>
    <row r="10" spans="1:24" x14ac:dyDescent="0.2">
      <c r="A10" s="3" t="s">
        <v>11</v>
      </c>
      <c r="B10" s="3" t="s">
        <v>70</v>
      </c>
      <c r="C10" s="3" t="s">
        <v>71</v>
      </c>
      <c r="D10" s="3" t="s">
        <v>72</v>
      </c>
      <c r="E10" s="3" t="s">
        <v>6</v>
      </c>
      <c r="F10" s="3" t="s">
        <v>7</v>
      </c>
      <c r="G10" s="3" t="s">
        <v>8</v>
      </c>
      <c r="H10" s="3" t="s">
        <v>9</v>
      </c>
      <c r="I10" s="39" t="s">
        <v>72</v>
      </c>
      <c r="J10" s="39" t="s">
        <v>73</v>
      </c>
      <c r="K10" s="39" t="s">
        <v>72</v>
      </c>
      <c r="L10" s="39" t="s">
        <v>73</v>
      </c>
      <c r="M10" s="39" t="s">
        <v>72</v>
      </c>
      <c r="N10" s="39" t="s">
        <v>73</v>
      </c>
      <c r="O10" s="39" t="s">
        <v>72</v>
      </c>
      <c r="P10" s="39" t="s">
        <v>73</v>
      </c>
      <c r="Q10" s="39" t="s">
        <v>72</v>
      </c>
      <c r="R10" s="39" t="s">
        <v>73</v>
      </c>
      <c r="S10" s="39" t="s">
        <v>72</v>
      </c>
      <c r="T10" s="39" t="s">
        <v>73</v>
      </c>
      <c r="U10" s="39" t="s">
        <v>72</v>
      </c>
      <c r="V10" s="39" t="s">
        <v>73</v>
      </c>
      <c r="W10" s="39" t="s">
        <v>72</v>
      </c>
      <c r="X10" s="39" t="s">
        <v>73</v>
      </c>
    </row>
    <row r="11" spans="1:24" x14ac:dyDescent="0.2">
      <c r="A11" s="14">
        <v>1</v>
      </c>
      <c r="B11" s="40">
        <v>46188</v>
      </c>
      <c r="C11" s="53">
        <f t="shared" ref="C11:C42" si="0">$B$5/$B$8</f>
        <v>246.91358024691357</v>
      </c>
      <c r="D11" s="42"/>
      <c r="E11" s="53">
        <f>SUM($C$11:C11)</f>
        <v>246.91358024691357</v>
      </c>
      <c r="F11" s="53">
        <f>SUM($D$11:D11)</f>
        <v>0</v>
      </c>
      <c r="G11" s="43" t="str">
        <f>IF(COUNT($D$11:D11)=0,"",F11/E11)</f>
        <v/>
      </c>
      <c r="H11" s="44" t="str">
        <f t="shared" ref="H11:H42" si="1">IF(G11="","",IF(G11&gt;=0.95,"En meta",IF(G11&gt;=0.8,"Riesgo","Atrasado")))</f>
        <v/>
      </c>
      <c r="I11" s="45"/>
      <c r="J11" s="46" t="str">
        <f t="shared" ref="J11:J42" si="2">IF(I11="","",IF($I$9="","",IF($I$9=0,"",I11/$I$9)))</f>
        <v/>
      </c>
      <c r="K11" s="45"/>
      <c r="L11" s="46" t="str">
        <f t="shared" ref="L11:L42" si="3">IF(K11="","",IF($K$9="","",IF($K$9=0,"",K11/$K$9)))</f>
        <v/>
      </c>
      <c r="M11" s="45"/>
      <c r="N11" s="46" t="str">
        <f t="shared" ref="N11:N42" si="4">IF(M11="","",IF($M$9="","",IF($M$9=0,"",M11/$M$9)))</f>
        <v/>
      </c>
      <c r="O11" s="45"/>
      <c r="P11" s="46" t="str">
        <f t="shared" ref="P11:P42" si="5">IF(O11="","",IF($O$9="","",IF($O$9=0,"",O11/$O$9)))</f>
        <v/>
      </c>
      <c r="Q11" s="45"/>
      <c r="R11" s="46" t="str">
        <f t="shared" ref="R11:R42" si="6">IF(Q11="","",IF($Q$9="","",IF($Q$9=0,"",Q11/$Q$9)))</f>
        <v/>
      </c>
      <c r="S11" s="47"/>
      <c r="T11" s="46" t="str">
        <f t="shared" ref="T11:T42" si="7">IF(S11="","",IF($S$9="","",IF($S$9=0,"",S11/$S$9)))</f>
        <v/>
      </c>
      <c r="U11" s="45"/>
      <c r="V11" s="46" t="str">
        <f t="shared" ref="V11:V42" si="8">IF(U11="","",IF($U$9="","",IF($U$9=0,"",U11/$U$9)))</f>
        <v/>
      </c>
      <c r="W11" s="45"/>
      <c r="X11" s="46" t="str">
        <f t="shared" ref="X11:X42" si="9">IF(W11="","",IF($W$9="","",IF($W$9=0,"",W11/$W$9)))</f>
        <v/>
      </c>
    </row>
    <row r="12" spans="1:24" x14ac:dyDescent="0.2">
      <c r="A12" s="21">
        <v>2</v>
      </c>
      <c r="B12" s="48">
        <v>46195</v>
      </c>
      <c r="C12" s="54">
        <f t="shared" si="0"/>
        <v>246.91358024691357</v>
      </c>
      <c r="D12" s="42"/>
      <c r="E12" s="54">
        <f>SUM($C$11:C12)</f>
        <v>493.82716049382714</v>
      </c>
      <c r="F12" s="54">
        <f>SUM($D$11:D12)</f>
        <v>0</v>
      </c>
      <c r="G12" s="50" t="str">
        <f>IF(COUNT($D$11:D12)=0,"",F12/E12)</f>
        <v/>
      </c>
      <c r="H12" s="51" t="str">
        <f t="shared" si="1"/>
        <v/>
      </c>
      <c r="I12" s="45"/>
      <c r="J12" s="52" t="str">
        <f t="shared" si="2"/>
        <v/>
      </c>
      <c r="K12" s="45"/>
      <c r="L12" s="52" t="str">
        <f t="shared" si="3"/>
        <v/>
      </c>
      <c r="M12" s="45"/>
      <c r="N12" s="52" t="str">
        <f t="shared" si="4"/>
        <v/>
      </c>
      <c r="O12" s="45"/>
      <c r="P12" s="52" t="str">
        <f t="shared" si="5"/>
        <v/>
      </c>
      <c r="Q12" s="45"/>
      <c r="R12" s="52" t="str">
        <f t="shared" si="6"/>
        <v/>
      </c>
      <c r="S12" s="47"/>
      <c r="T12" s="52" t="str">
        <f t="shared" si="7"/>
        <v/>
      </c>
      <c r="U12" s="45"/>
      <c r="V12" s="52" t="str">
        <f t="shared" si="8"/>
        <v/>
      </c>
      <c r="W12" s="45"/>
      <c r="X12" s="52" t="str">
        <f t="shared" si="9"/>
        <v/>
      </c>
    </row>
    <row r="13" spans="1:24" x14ac:dyDescent="0.2">
      <c r="A13" s="14">
        <v>3</v>
      </c>
      <c r="B13" s="40">
        <v>46202</v>
      </c>
      <c r="C13" s="53">
        <f t="shared" si="0"/>
        <v>246.91358024691357</v>
      </c>
      <c r="D13" s="42"/>
      <c r="E13" s="53">
        <f>SUM($C$11:C13)</f>
        <v>740.74074074074065</v>
      </c>
      <c r="F13" s="53">
        <f>SUM($D$11:D13)</f>
        <v>0</v>
      </c>
      <c r="G13" s="43" t="str">
        <f>IF(COUNT($D$11:D13)=0,"",F13/E13)</f>
        <v/>
      </c>
      <c r="H13" s="44" t="str">
        <f t="shared" si="1"/>
        <v/>
      </c>
      <c r="I13" s="45"/>
      <c r="J13" s="46" t="str">
        <f t="shared" si="2"/>
        <v/>
      </c>
      <c r="K13" s="45"/>
      <c r="L13" s="46" t="str">
        <f t="shared" si="3"/>
        <v/>
      </c>
      <c r="M13" s="45"/>
      <c r="N13" s="46" t="str">
        <f t="shared" si="4"/>
        <v/>
      </c>
      <c r="O13" s="45"/>
      <c r="P13" s="46" t="str">
        <f t="shared" si="5"/>
        <v/>
      </c>
      <c r="Q13" s="45"/>
      <c r="R13" s="46" t="str">
        <f t="shared" si="6"/>
        <v/>
      </c>
      <c r="S13" s="47"/>
      <c r="T13" s="46" t="str">
        <f t="shared" si="7"/>
        <v/>
      </c>
      <c r="U13" s="45"/>
      <c r="V13" s="46" t="str">
        <f t="shared" si="8"/>
        <v/>
      </c>
      <c r="W13" s="45"/>
      <c r="X13" s="46" t="str">
        <f t="shared" si="9"/>
        <v/>
      </c>
    </row>
    <row r="14" spans="1:24" x14ac:dyDescent="0.2">
      <c r="A14" s="21">
        <v>4</v>
      </c>
      <c r="B14" s="48">
        <v>46209</v>
      </c>
      <c r="C14" s="54">
        <f t="shared" si="0"/>
        <v>246.91358024691357</v>
      </c>
      <c r="D14" s="42"/>
      <c r="E14" s="54">
        <f>SUM($C$11:C14)</f>
        <v>987.65432098765427</v>
      </c>
      <c r="F14" s="54">
        <f>SUM($D$11:D14)</f>
        <v>0</v>
      </c>
      <c r="G14" s="50" t="str">
        <f>IF(COUNT($D$11:D14)=0,"",F14/E14)</f>
        <v/>
      </c>
      <c r="H14" s="51" t="str">
        <f t="shared" si="1"/>
        <v/>
      </c>
      <c r="I14" s="45"/>
      <c r="J14" s="52" t="str">
        <f t="shared" si="2"/>
        <v/>
      </c>
      <c r="K14" s="45"/>
      <c r="L14" s="52" t="str">
        <f t="shared" si="3"/>
        <v/>
      </c>
      <c r="M14" s="45"/>
      <c r="N14" s="52" t="str">
        <f t="shared" si="4"/>
        <v/>
      </c>
      <c r="O14" s="45"/>
      <c r="P14" s="52" t="str">
        <f t="shared" si="5"/>
        <v/>
      </c>
      <c r="Q14" s="45"/>
      <c r="R14" s="52" t="str">
        <f t="shared" si="6"/>
        <v/>
      </c>
      <c r="S14" s="47"/>
      <c r="T14" s="52" t="str">
        <f t="shared" si="7"/>
        <v/>
      </c>
      <c r="U14" s="45"/>
      <c r="V14" s="52" t="str">
        <f t="shared" si="8"/>
        <v/>
      </c>
      <c r="W14" s="45"/>
      <c r="X14" s="52" t="str">
        <f t="shared" si="9"/>
        <v/>
      </c>
    </row>
    <row r="15" spans="1:24" x14ac:dyDescent="0.2">
      <c r="A15" s="14">
        <v>5</v>
      </c>
      <c r="B15" s="40">
        <v>46216</v>
      </c>
      <c r="C15" s="53">
        <f t="shared" si="0"/>
        <v>246.91358024691357</v>
      </c>
      <c r="D15" s="42"/>
      <c r="E15" s="53">
        <f>SUM($C$11:C15)</f>
        <v>1234.5679012345679</v>
      </c>
      <c r="F15" s="53">
        <f>SUM($D$11:D15)</f>
        <v>0</v>
      </c>
      <c r="G15" s="43" t="str">
        <f>IF(COUNT($D$11:D15)=0,"",F15/E15)</f>
        <v/>
      </c>
      <c r="H15" s="44" t="str">
        <f t="shared" si="1"/>
        <v/>
      </c>
      <c r="I15" s="45"/>
      <c r="J15" s="46" t="str">
        <f t="shared" si="2"/>
        <v/>
      </c>
      <c r="K15" s="45"/>
      <c r="L15" s="46" t="str">
        <f t="shared" si="3"/>
        <v/>
      </c>
      <c r="M15" s="45"/>
      <c r="N15" s="46" t="str">
        <f t="shared" si="4"/>
        <v/>
      </c>
      <c r="O15" s="45"/>
      <c r="P15" s="46" t="str">
        <f t="shared" si="5"/>
        <v/>
      </c>
      <c r="Q15" s="45"/>
      <c r="R15" s="46" t="str">
        <f t="shared" si="6"/>
        <v/>
      </c>
      <c r="S15" s="47"/>
      <c r="T15" s="46" t="str">
        <f t="shared" si="7"/>
        <v/>
      </c>
      <c r="U15" s="45"/>
      <c r="V15" s="46" t="str">
        <f t="shared" si="8"/>
        <v/>
      </c>
      <c r="W15" s="45"/>
      <c r="X15" s="46" t="str">
        <f t="shared" si="9"/>
        <v/>
      </c>
    </row>
    <row r="16" spans="1:24" x14ac:dyDescent="0.2">
      <c r="A16" s="21">
        <v>6</v>
      </c>
      <c r="B16" s="48">
        <v>46223</v>
      </c>
      <c r="C16" s="54">
        <f t="shared" si="0"/>
        <v>246.91358024691357</v>
      </c>
      <c r="D16" s="42"/>
      <c r="E16" s="54">
        <f>SUM($C$11:C16)</f>
        <v>1481.4814814814815</v>
      </c>
      <c r="F16" s="54">
        <f>SUM($D$11:D16)</f>
        <v>0</v>
      </c>
      <c r="G16" s="50" t="str">
        <f>IF(COUNT($D$11:D16)=0,"",F16/E16)</f>
        <v/>
      </c>
      <c r="H16" s="51" t="str">
        <f t="shared" si="1"/>
        <v/>
      </c>
      <c r="I16" s="45"/>
      <c r="J16" s="52" t="str">
        <f t="shared" si="2"/>
        <v/>
      </c>
      <c r="K16" s="45"/>
      <c r="L16" s="52" t="str">
        <f t="shared" si="3"/>
        <v/>
      </c>
      <c r="M16" s="45"/>
      <c r="N16" s="52" t="str">
        <f t="shared" si="4"/>
        <v/>
      </c>
      <c r="O16" s="45"/>
      <c r="P16" s="52" t="str">
        <f t="shared" si="5"/>
        <v/>
      </c>
      <c r="Q16" s="45"/>
      <c r="R16" s="52" t="str">
        <f t="shared" si="6"/>
        <v/>
      </c>
      <c r="S16" s="47"/>
      <c r="T16" s="52" t="str">
        <f t="shared" si="7"/>
        <v/>
      </c>
      <c r="U16" s="45"/>
      <c r="V16" s="52" t="str">
        <f t="shared" si="8"/>
        <v/>
      </c>
      <c r="W16" s="45"/>
      <c r="X16" s="52" t="str">
        <f t="shared" si="9"/>
        <v/>
      </c>
    </row>
    <row r="17" spans="1:24" x14ac:dyDescent="0.2">
      <c r="A17" s="14">
        <v>7</v>
      </c>
      <c r="B17" s="40">
        <v>46230</v>
      </c>
      <c r="C17" s="53">
        <f t="shared" si="0"/>
        <v>246.91358024691357</v>
      </c>
      <c r="D17" s="42"/>
      <c r="E17" s="53">
        <f>SUM($C$11:C17)</f>
        <v>1728.3950617283951</v>
      </c>
      <c r="F17" s="53">
        <f>SUM($D$11:D17)</f>
        <v>0</v>
      </c>
      <c r="G17" s="43" t="str">
        <f>IF(COUNT($D$11:D17)=0,"",F17/E17)</f>
        <v/>
      </c>
      <c r="H17" s="44" t="str">
        <f t="shared" si="1"/>
        <v/>
      </c>
      <c r="I17" s="45"/>
      <c r="J17" s="46" t="str">
        <f t="shared" si="2"/>
        <v/>
      </c>
      <c r="K17" s="45"/>
      <c r="L17" s="46" t="str">
        <f t="shared" si="3"/>
        <v/>
      </c>
      <c r="M17" s="45"/>
      <c r="N17" s="46" t="str">
        <f t="shared" si="4"/>
        <v/>
      </c>
      <c r="O17" s="45"/>
      <c r="P17" s="46" t="str">
        <f t="shared" si="5"/>
        <v/>
      </c>
      <c r="Q17" s="45"/>
      <c r="R17" s="46" t="str">
        <f t="shared" si="6"/>
        <v/>
      </c>
      <c r="S17" s="47"/>
      <c r="T17" s="46" t="str">
        <f t="shared" si="7"/>
        <v/>
      </c>
      <c r="U17" s="45"/>
      <c r="V17" s="46" t="str">
        <f t="shared" si="8"/>
        <v/>
      </c>
      <c r="W17" s="45"/>
      <c r="X17" s="46" t="str">
        <f t="shared" si="9"/>
        <v/>
      </c>
    </row>
    <row r="18" spans="1:24" x14ac:dyDescent="0.2">
      <c r="A18" s="21">
        <v>8</v>
      </c>
      <c r="B18" s="48">
        <v>46237</v>
      </c>
      <c r="C18" s="54">
        <f t="shared" si="0"/>
        <v>246.91358024691357</v>
      </c>
      <c r="D18" s="42"/>
      <c r="E18" s="54">
        <f>SUM($C$11:C18)</f>
        <v>1975.3086419753088</v>
      </c>
      <c r="F18" s="54">
        <f>SUM($D$11:D18)</f>
        <v>0</v>
      </c>
      <c r="G18" s="50" t="str">
        <f>IF(COUNT($D$11:D18)=0,"",F18/E18)</f>
        <v/>
      </c>
      <c r="H18" s="51" t="str">
        <f t="shared" si="1"/>
        <v/>
      </c>
      <c r="I18" s="45"/>
      <c r="J18" s="52" t="str">
        <f t="shared" si="2"/>
        <v/>
      </c>
      <c r="K18" s="45"/>
      <c r="L18" s="52" t="str">
        <f t="shared" si="3"/>
        <v/>
      </c>
      <c r="M18" s="45"/>
      <c r="N18" s="52" t="str">
        <f t="shared" si="4"/>
        <v/>
      </c>
      <c r="O18" s="45"/>
      <c r="P18" s="52" t="str">
        <f t="shared" si="5"/>
        <v/>
      </c>
      <c r="Q18" s="45"/>
      <c r="R18" s="52" t="str">
        <f t="shared" si="6"/>
        <v/>
      </c>
      <c r="S18" s="47"/>
      <c r="T18" s="52" t="str">
        <f t="shared" si="7"/>
        <v/>
      </c>
      <c r="U18" s="45"/>
      <c r="V18" s="52" t="str">
        <f t="shared" si="8"/>
        <v/>
      </c>
      <c r="W18" s="45"/>
      <c r="X18" s="52" t="str">
        <f t="shared" si="9"/>
        <v/>
      </c>
    </row>
    <row r="19" spans="1:24" x14ac:dyDescent="0.2">
      <c r="A19" s="14">
        <v>9</v>
      </c>
      <c r="B19" s="40">
        <v>46244</v>
      </c>
      <c r="C19" s="53">
        <f t="shared" si="0"/>
        <v>246.91358024691357</v>
      </c>
      <c r="D19" s="42"/>
      <c r="E19" s="53">
        <f>SUM($C$11:C19)</f>
        <v>2222.2222222222222</v>
      </c>
      <c r="F19" s="53">
        <f>SUM($D$11:D19)</f>
        <v>0</v>
      </c>
      <c r="G19" s="43" t="str">
        <f>IF(COUNT($D$11:D19)=0,"",F19/E19)</f>
        <v/>
      </c>
      <c r="H19" s="44" t="str">
        <f t="shared" si="1"/>
        <v/>
      </c>
      <c r="I19" s="45"/>
      <c r="J19" s="46" t="str">
        <f t="shared" si="2"/>
        <v/>
      </c>
      <c r="K19" s="45"/>
      <c r="L19" s="46" t="str">
        <f t="shared" si="3"/>
        <v/>
      </c>
      <c r="M19" s="45"/>
      <c r="N19" s="46" t="str">
        <f t="shared" si="4"/>
        <v/>
      </c>
      <c r="O19" s="45"/>
      <c r="P19" s="46" t="str">
        <f t="shared" si="5"/>
        <v/>
      </c>
      <c r="Q19" s="45"/>
      <c r="R19" s="46" t="str">
        <f t="shared" si="6"/>
        <v/>
      </c>
      <c r="S19" s="47"/>
      <c r="T19" s="46" t="str">
        <f t="shared" si="7"/>
        <v/>
      </c>
      <c r="U19" s="45"/>
      <c r="V19" s="46" t="str">
        <f t="shared" si="8"/>
        <v/>
      </c>
      <c r="W19" s="45"/>
      <c r="X19" s="46" t="str">
        <f t="shared" si="9"/>
        <v/>
      </c>
    </row>
    <row r="20" spans="1:24" x14ac:dyDescent="0.2">
      <c r="A20" s="21">
        <v>10</v>
      </c>
      <c r="B20" s="48">
        <v>46251</v>
      </c>
      <c r="C20" s="54">
        <f t="shared" si="0"/>
        <v>246.91358024691357</v>
      </c>
      <c r="D20" s="42"/>
      <c r="E20" s="54">
        <f>SUM($C$11:C20)</f>
        <v>2469.1358024691358</v>
      </c>
      <c r="F20" s="54">
        <f>SUM($D$11:D20)</f>
        <v>0</v>
      </c>
      <c r="G20" s="50" t="str">
        <f>IF(COUNT($D$11:D20)=0,"",F20/E20)</f>
        <v/>
      </c>
      <c r="H20" s="51" t="str">
        <f t="shared" si="1"/>
        <v/>
      </c>
      <c r="I20" s="45"/>
      <c r="J20" s="52" t="str">
        <f t="shared" si="2"/>
        <v/>
      </c>
      <c r="K20" s="45"/>
      <c r="L20" s="52" t="str">
        <f t="shared" si="3"/>
        <v/>
      </c>
      <c r="M20" s="45"/>
      <c r="N20" s="52" t="str">
        <f t="shared" si="4"/>
        <v/>
      </c>
      <c r="O20" s="45"/>
      <c r="P20" s="52" t="str">
        <f t="shared" si="5"/>
        <v/>
      </c>
      <c r="Q20" s="45"/>
      <c r="R20" s="52" t="str">
        <f t="shared" si="6"/>
        <v/>
      </c>
      <c r="S20" s="47"/>
      <c r="T20" s="52" t="str">
        <f t="shared" si="7"/>
        <v/>
      </c>
      <c r="U20" s="45"/>
      <c r="V20" s="52" t="str">
        <f t="shared" si="8"/>
        <v/>
      </c>
      <c r="W20" s="45"/>
      <c r="X20" s="52" t="str">
        <f t="shared" si="9"/>
        <v/>
      </c>
    </row>
    <row r="21" spans="1:24" x14ac:dyDescent="0.2">
      <c r="A21" s="14">
        <v>11</v>
      </c>
      <c r="B21" s="40">
        <v>46258</v>
      </c>
      <c r="C21" s="53">
        <f t="shared" si="0"/>
        <v>246.91358024691357</v>
      </c>
      <c r="D21" s="42"/>
      <c r="E21" s="53">
        <f>SUM($C$11:C21)</f>
        <v>2716.0493827160494</v>
      </c>
      <c r="F21" s="53">
        <f>SUM($D$11:D21)</f>
        <v>0</v>
      </c>
      <c r="G21" s="43" t="str">
        <f>IF(COUNT($D$11:D21)=0,"",F21/E21)</f>
        <v/>
      </c>
      <c r="H21" s="44" t="str">
        <f t="shared" si="1"/>
        <v/>
      </c>
      <c r="I21" s="45"/>
      <c r="J21" s="46" t="str">
        <f t="shared" si="2"/>
        <v/>
      </c>
      <c r="K21" s="45"/>
      <c r="L21" s="46" t="str">
        <f t="shared" si="3"/>
        <v/>
      </c>
      <c r="M21" s="45"/>
      <c r="N21" s="46" t="str">
        <f t="shared" si="4"/>
        <v/>
      </c>
      <c r="O21" s="45"/>
      <c r="P21" s="46" t="str">
        <f t="shared" si="5"/>
        <v/>
      </c>
      <c r="Q21" s="45"/>
      <c r="R21" s="46" t="str">
        <f t="shared" si="6"/>
        <v/>
      </c>
      <c r="S21" s="47"/>
      <c r="T21" s="46" t="str">
        <f t="shared" si="7"/>
        <v/>
      </c>
      <c r="U21" s="45"/>
      <c r="V21" s="46" t="str">
        <f t="shared" si="8"/>
        <v/>
      </c>
      <c r="W21" s="45"/>
      <c r="X21" s="46" t="str">
        <f t="shared" si="9"/>
        <v/>
      </c>
    </row>
    <row r="22" spans="1:24" x14ac:dyDescent="0.2">
      <c r="A22" s="21">
        <v>12</v>
      </c>
      <c r="B22" s="48">
        <v>46265</v>
      </c>
      <c r="C22" s="54">
        <f t="shared" si="0"/>
        <v>246.91358024691357</v>
      </c>
      <c r="D22" s="42"/>
      <c r="E22" s="54">
        <f>SUM($C$11:C22)</f>
        <v>2962.962962962963</v>
      </c>
      <c r="F22" s="54">
        <f>SUM($D$11:D22)</f>
        <v>0</v>
      </c>
      <c r="G22" s="50" t="str">
        <f>IF(COUNT($D$11:D22)=0,"",F22/E22)</f>
        <v/>
      </c>
      <c r="H22" s="51" t="str">
        <f t="shared" si="1"/>
        <v/>
      </c>
      <c r="I22" s="45"/>
      <c r="J22" s="52" t="str">
        <f t="shared" si="2"/>
        <v/>
      </c>
      <c r="K22" s="45"/>
      <c r="L22" s="52" t="str">
        <f t="shared" si="3"/>
        <v/>
      </c>
      <c r="M22" s="45"/>
      <c r="N22" s="52" t="str">
        <f t="shared" si="4"/>
        <v/>
      </c>
      <c r="O22" s="45"/>
      <c r="P22" s="52" t="str">
        <f t="shared" si="5"/>
        <v/>
      </c>
      <c r="Q22" s="45"/>
      <c r="R22" s="52" t="str">
        <f t="shared" si="6"/>
        <v/>
      </c>
      <c r="S22" s="47"/>
      <c r="T22" s="52" t="str">
        <f t="shared" si="7"/>
        <v/>
      </c>
      <c r="U22" s="45"/>
      <c r="V22" s="52" t="str">
        <f t="shared" si="8"/>
        <v/>
      </c>
      <c r="W22" s="45"/>
      <c r="X22" s="52" t="str">
        <f t="shared" si="9"/>
        <v/>
      </c>
    </row>
    <row r="23" spans="1:24" x14ac:dyDescent="0.2">
      <c r="A23" s="14">
        <v>13</v>
      </c>
      <c r="B23" s="40">
        <v>46272</v>
      </c>
      <c r="C23" s="53">
        <f t="shared" si="0"/>
        <v>246.91358024691357</v>
      </c>
      <c r="D23" s="42"/>
      <c r="E23" s="53">
        <f>SUM($C$11:C23)</f>
        <v>3209.8765432098767</v>
      </c>
      <c r="F23" s="53">
        <f>SUM($D$11:D23)</f>
        <v>0</v>
      </c>
      <c r="G23" s="43" t="str">
        <f>IF(COUNT($D$11:D23)=0,"",F23/E23)</f>
        <v/>
      </c>
      <c r="H23" s="44" t="str">
        <f t="shared" si="1"/>
        <v/>
      </c>
      <c r="I23" s="45"/>
      <c r="J23" s="46" t="str">
        <f t="shared" si="2"/>
        <v/>
      </c>
      <c r="K23" s="45"/>
      <c r="L23" s="46" t="str">
        <f t="shared" si="3"/>
        <v/>
      </c>
      <c r="M23" s="45"/>
      <c r="N23" s="46" t="str">
        <f t="shared" si="4"/>
        <v/>
      </c>
      <c r="O23" s="45"/>
      <c r="P23" s="46" t="str">
        <f t="shared" si="5"/>
        <v/>
      </c>
      <c r="Q23" s="45"/>
      <c r="R23" s="46" t="str">
        <f t="shared" si="6"/>
        <v/>
      </c>
      <c r="S23" s="47"/>
      <c r="T23" s="46" t="str">
        <f t="shared" si="7"/>
        <v/>
      </c>
      <c r="U23" s="45"/>
      <c r="V23" s="46" t="str">
        <f t="shared" si="8"/>
        <v/>
      </c>
      <c r="W23" s="45"/>
      <c r="X23" s="46" t="str">
        <f t="shared" si="9"/>
        <v/>
      </c>
    </row>
    <row r="24" spans="1:24" x14ac:dyDescent="0.2">
      <c r="A24" s="21">
        <v>14</v>
      </c>
      <c r="B24" s="48">
        <v>46279</v>
      </c>
      <c r="C24" s="54">
        <f t="shared" si="0"/>
        <v>246.91358024691357</v>
      </c>
      <c r="D24" s="42"/>
      <c r="E24" s="54">
        <f>SUM($C$11:C24)</f>
        <v>3456.7901234567903</v>
      </c>
      <c r="F24" s="54">
        <f>SUM($D$11:D24)</f>
        <v>0</v>
      </c>
      <c r="G24" s="50" t="str">
        <f>IF(COUNT($D$11:D24)=0,"",F24/E24)</f>
        <v/>
      </c>
      <c r="H24" s="51" t="str">
        <f t="shared" si="1"/>
        <v/>
      </c>
      <c r="I24" s="45"/>
      <c r="J24" s="52" t="str">
        <f t="shared" si="2"/>
        <v/>
      </c>
      <c r="K24" s="45"/>
      <c r="L24" s="52" t="str">
        <f t="shared" si="3"/>
        <v/>
      </c>
      <c r="M24" s="45"/>
      <c r="N24" s="52" t="str">
        <f t="shared" si="4"/>
        <v/>
      </c>
      <c r="O24" s="45"/>
      <c r="P24" s="52" t="str">
        <f t="shared" si="5"/>
        <v/>
      </c>
      <c r="Q24" s="45"/>
      <c r="R24" s="52" t="str">
        <f t="shared" si="6"/>
        <v/>
      </c>
      <c r="S24" s="47"/>
      <c r="T24" s="52" t="str">
        <f t="shared" si="7"/>
        <v/>
      </c>
      <c r="U24" s="45"/>
      <c r="V24" s="52" t="str">
        <f t="shared" si="8"/>
        <v/>
      </c>
      <c r="W24" s="45"/>
      <c r="X24" s="52" t="str">
        <f t="shared" si="9"/>
        <v/>
      </c>
    </row>
    <row r="25" spans="1:24" x14ac:dyDescent="0.2">
      <c r="A25" s="14">
        <v>15</v>
      </c>
      <c r="B25" s="40">
        <v>46286</v>
      </c>
      <c r="C25" s="53">
        <f t="shared" si="0"/>
        <v>246.91358024691357</v>
      </c>
      <c r="D25" s="42"/>
      <c r="E25" s="53">
        <f>SUM($C$11:C25)</f>
        <v>3703.7037037037039</v>
      </c>
      <c r="F25" s="53">
        <f>SUM($D$11:D25)</f>
        <v>0</v>
      </c>
      <c r="G25" s="43" t="str">
        <f>IF(COUNT($D$11:D25)=0,"",F25/E25)</f>
        <v/>
      </c>
      <c r="H25" s="44" t="str">
        <f t="shared" si="1"/>
        <v/>
      </c>
      <c r="I25" s="45"/>
      <c r="J25" s="46" t="str">
        <f t="shared" si="2"/>
        <v/>
      </c>
      <c r="K25" s="45"/>
      <c r="L25" s="46" t="str">
        <f t="shared" si="3"/>
        <v/>
      </c>
      <c r="M25" s="45"/>
      <c r="N25" s="46" t="str">
        <f t="shared" si="4"/>
        <v/>
      </c>
      <c r="O25" s="45"/>
      <c r="P25" s="46" t="str">
        <f t="shared" si="5"/>
        <v/>
      </c>
      <c r="Q25" s="45"/>
      <c r="R25" s="46" t="str">
        <f t="shared" si="6"/>
        <v/>
      </c>
      <c r="S25" s="47"/>
      <c r="T25" s="46" t="str">
        <f t="shared" si="7"/>
        <v/>
      </c>
      <c r="U25" s="45"/>
      <c r="V25" s="46" t="str">
        <f t="shared" si="8"/>
        <v/>
      </c>
      <c r="W25" s="45"/>
      <c r="X25" s="46" t="str">
        <f t="shared" si="9"/>
        <v/>
      </c>
    </row>
    <row r="26" spans="1:24" x14ac:dyDescent="0.2">
      <c r="A26" s="21">
        <v>16</v>
      </c>
      <c r="B26" s="48">
        <v>46293</v>
      </c>
      <c r="C26" s="54">
        <f t="shared" si="0"/>
        <v>246.91358024691357</v>
      </c>
      <c r="D26" s="42"/>
      <c r="E26" s="54">
        <f>SUM($C$11:C26)</f>
        <v>3950.6172839506175</v>
      </c>
      <c r="F26" s="54">
        <f>SUM($D$11:D26)</f>
        <v>0</v>
      </c>
      <c r="G26" s="50" t="str">
        <f>IF(COUNT($D$11:D26)=0,"",F26/E26)</f>
        <v/>
      </c>
      <c r="H26" s="51" t="str">
        <f t="shared" si="1"/>
        <v/>
      </c>
      <c r="I26" s="45"/>
      <c r="J26" s="52" t="str">
        <f t="shared" si="2"/>
        <v/>
      </c>
      <c r="K26" s="45"/>
      <c r="L26" s="52" t="str">
        <f t="shared" si="3"/>
        <v/>
      </c>
      <c r="M26" s="45"/>
      <c r="N26" s="52" t="str">
        <f t="shared" si="4"/>
        <v/>
      </c>
      <c r="O26" s="45"/>
      <c r="P26" s="52" t="str">
        <f t="shared" si="5"/>
        <v/>
      </c>
      <c r="Q26" s="45"/>
      <c r="R26" s="52" t="str">
        <f t="shared" si="6"/>
        <v/>
      </c>
      <c r="S26" s="47"/>
      <c r="T26" s="52" t="str">
        <f t="shared" si="7"/>
        <v/>
      </c>
      <c r="U26" s="45"/>
      <c r="V26" s="52" t="str">
        <f t="shared" si="8"/>
        <v/>
      </c>
      <c r="W26" s="45"/>
      <c r="X26" s="52" t="str">
        <f t="shared" si="9"/>
        <v/>
      </c>
    </row>
    <row r="27" spans="1:24" x14ac:dyDescent="0.2">
      <c r="A27" s="14">
        <v>17</v>
      </c>
      <c r="B27" s="40">
        <v>46300</v>
      </c>
      <c r="C27" s="53">
        <f t="shared" si="0"/>
        <v>246.91358024691357</v>
      </c>
      <c r="D27" s="42"/>
      <c r="E27" s="53">
        <f>SUM($C$11:C27)</f>
        <v>4197.5308641975307</v>
      </c>
      <c r="F27" s="53">
        <f>SUM($D$11:D27)</f>
        <v>0</v>
      </c>
      <c r="G27" s="43" t="str">
        <f>IF(COUNT($D$11:D27)=0,"",F27/E27)</f>
        <v/>
      </c>
      <c r="H27" s="44" t="str">
        <f t="shared" si="1"/>
        <v/>
      </c>
      <c r="I27" s="45"/>
      <c r="J27" s="46" t="str">
        <f t="shared" si="2"/>
        <v/>
      </c>
      <c r="K27" s="45"/>
      <c r="L27" s="46" t="str">
        <f t="shared" si="3"/>
        <v/>
      </c>
      <c r="M27" s="45"/>
      <c r="N27" s="46" t="str">
        <f t="shared" si="4"/>
        <v/>
      </c>
      <c r="O27" s="45"/>
      <c r="P27" s="46" t="str">
        <f t="shared" si="5"/>
        <v/>
      </c>
      <c r="Q27" s="45"/>
      <c r="R27" s="46" t="str">
        <f t="shared" si="6"/>
        <v/>
      </c>
      <c r="S27" s="47"/>
      <c r="T27" s="46" t="str">
        <f t="shared" si="7"/>
        <v/>
      </c>
      <c r="U27" s="45"/>
      <c r="V27" s="46" t="str">
        <f t="shared" si="8"/>
        <v/>
      </c>
      <c r="W27" s="45"/>
      <c r="X27" s="46" t="str">
        <f t="shared" si="9"/>
        <v/>
      </c>
    </row>
    <row r="28" spans="1:24" x14ac:dyDescent="0.2">
      <c r="A28" s="21">
        <v>18</v>
      </c>
      <c r="B28" s="48">
        <v>46307</v>
      </c>
      <c r="C28" s="54">
        <f t="shared" si="0"/>
        <v>246.91358024691357</v>
      </c>
      <c r="D28" s="42"/>
      <c r="E28" s="54">
        <f>SUM($C$11:C28)</f>
        <v>4444.4444444444443</v>
      </c>
      <c r="F28" s="54">
        <f>SUM($D$11:D28)</f>
        <v>0</v>
      </c>
      <c r="G28" s="50" t="str">
        <f>IF(COUNT($D$11:D28)=0,"",F28/E28)</f>
        <v/>
      </c>
      <c r="H28" s="51" t="str">
        <f t="shared" si="1"/>
        <v/>
      </c>
      <c r="I28" s="45"/>
      <c r="J28" s="52" t="str">
        <f t="shared" si="2"/>
        <v/>
      </c>
      <c r="K28" s="45"/>
      <c r="L28" s="52" t="str">
        <f t="shared" si="3"/>
        <v/>
      </c>
      <c r="M28" s="45"/>
      <c r="N28" s="52" t="str">
        <f t="shared" si="4"/>
        <v/>
      </c>
      <c r="O28" s="45"/>
      <c r="P28" s="52" t="str">
        <f t="shared" si="5"/>
        <v/>
      </c>
      <c r="Q28" s="45"/>
      <c r="R28" s="52" t="str">
        <f t="shared" si="6"/>
        <v/>
      </c>
      <c r="S28" s="47"/>
      <c r="T28" s="52" t="str">
        <f t="shared" si="7"/>
        <v/>
      </c>
      <c r="U28" s="45"/>
      <c r="V28" s="52" t="str">
        <f t="shared" si="8"/>
        <v/>
      </c>
      <c r="W28" s="45"/>
      <c r="X28" s="52" t="str">
        <f t="shared" si="9"/>
        <v/>
      </c>
    </row>
    <row r="29" spans="1:24" x14ac:dyDescent="0.2">
      <c r="A29" s="14">
        <v>19</v>
      </c>
      <c r="B29" s="40">
        <v>46314</v>
      </c>
      <c r="C29" s="53">
        <f t="shared" si="0"/>
        <v>246.91358024691357</v>
      </c>
      <c r="D29" s="42"/>
      <c r="E29" s="53">
        <f>SUM($C$11:C29)</f>
        <v>4691.358024691358</v>
      </c>
      <c r="F29" s="53">
        <f>SUM($D$11:D29)</f>
        <v>0</v>
      </c>
      <c r="G29" s="43" t="str">
        <f>IF(COUNT($D$11:D29)=0,"",F29/E29)</f>
        <v/>
      </c>
      <c r="H29" s="44" t="str">
        <f t="shared" si="1"/>
        <v/>
      </c>
      <c r="I29" s="45"/>
      <c r="J29" s="46" t="str">
        <f t="shared" si="2"/>
        <v/>
      </c>
      <c r="K29" s="45"/>
      <c r="L29" s="46" t="str">
        <f t="shared" si="3"/>
        <v/>
      </c>
      <c r="M29" s="45"/>
      <c r="N29" s="46" t="str">
        <f t="shared" si="4"/>
        <v/>
      </c>
      <c r="O29" s="45"/>
      <c r="P29" s="46" t="str">
        <f t="shared" si="5"/>
        <v/>
      </c>
      <c r="Q29" s="45"/>
      <c r="R29" s="46" t="str">
        <f t="shared" si="6"/>
        <v/>
      </c>
      <c r="S29" s="47"/>
      <c r="T29" s="46" t="str">
        <f t="shared" si="7"/>
        <v/>
      </c>
      <c r="U29" s="45"/>
      <c r="V29" s="46" t="str">
        <f t="shared" si="8"/>
        <v/>
      </c>
      <c r="W29" s="45"/>
      <c r="X29" s="46" t="str">
        <f t="shared" si="9"/>
        <v/>
      </c>
    </row>
    <row r="30" spans="1:24" x14ac:dyDescent="0.2">
      <c r="A30" s="21">
        <v>20</v>
      </c>
      <c r="B30" s="48">
        <v>46321</v>
      </c>
      <c r="C30" s="54">
        <f t="shared" si="0"/>
        <v>246.91358024691357</v>
      </c>
      <c r="D30" s="42"/>
      <c r="E30" s="54">
        <f>SUM($C$11:C30)</f>
        <v>4938.2716049382716</v>
      </c>
      <c r="F30" s="54">
        <f>SUM($D$11:D30)</f>
        <v>0</v>
      </c>
      <c r="G30" s="50" t="str">
        <f>IF(COUNT($D$11:D30)=0,"",F30/E30)</f>
        <v/>
      </c>
      <c r="H30" s="51" t="str">
        <f t="shared" si="1"/>
        <v/>
      </c>
      <c r="I30" s="45"/>
      <c r="J30" s="52" t="str">
        <f t="shared" si="2"/>
        <v/>
      </c>
      <c r="K30" s="45"/>
      <c r="L30" s="52" t="str">
        <f t="shared" si="3"/>
        <v/>
      </c>
      <c r="M30" s="45"/>
      <c r="N30" s="52" t="str">
        <f t="shared" si="4"/>
        <v/>
      </c>
      <c r="O30" s="45"/>
      <c r="P30" s="52" t="str">
        <f t="shared" si="5"/>
        <v/>
      </c>
      <c r="Q30" s="45"/>
      <c r="R30" s="52" t="str">
        <f t="shared" si="6"/>
        <v/>
      </c>
      <c r="S30" s="47"/>
      <c r="T30" s="52" t="str">
        <f t="shared" si="7"/>
        <v/>
      </c>
      <c r="U30" s="45"/>
      <c r="V30" s="52" t="str">
        <f t="shared" si="8"/>
        <v/>
      </c>
      <c r="W30" s="45"/>
      <c r="X30" s="52" t="str">
        <f t="shared" si="9"/>
        <v/>
      </c>
    </row>
    <row r="31" spans="1:24" x14ac:dyDescent="0.2">
      <c r="A31" s="14">
        <v>21</v>
      </c>
      <c r="B31" s="40">
        <v>46328</v>
      </c>
      <c r="C31" s="53">
        <f t="shared" si="0"/>
        <v>246.91358024691357</v>
      </c>
      <c r="D31" s="42"/>
      <c r="E31" s="53">
        <f>SUM($C$11:C31)</f>
        <v>5185.1851851851852</v>
      </c>
      <c r="F31" s="53">
        <f>SUM($D$11:D31)</f>
        <v>0</v>
      </c>
      <c r="G31" s="43" t="str">
        <f>IF(COUNT($D$11:D31)=0,"",F31/E31)</f>
        <v/>
      </c>
      <c r="H31" s="44" t="str">
        <f t="shared" si="1"/>
        <v/>
      </c>
      <c r="I31" s="45"/>
      <c r="J31" s="46" t="str">
        <f t="shared" si="2"/>
        <v/>
      </c>
      <c r="K31" s="45"/>
      <c r="L31" s="46" t="str">
        <f t="shared" si="3"/>
        <v/>
      </c>
      <c r="M31" s="45"/>
      <c r="N31" s="46" t="str">
        <f t="shared" si="4"/>
        <v/>
      </c>
      <c r="O31" s="45"/>
      <c r="P31" s="46" t="str">
        <f t="shared" si="5"/>
        <v/>
      </c>
      <c r="Q31" s="45"/>
      <c r="R31" s="46" t="str">
        <f t="shared" si="6"/>
        <v/>
      </c>
      <c r="S31" s="47"/>
      <c r="T31" s="46" t="str">
        <f t="shared" si="7"/>
        <v/>
      </c>
      <c r="U31" s="45"/>
      <c r="V31" s="46" t="str">
        <f t="shared" si="8"/>
        <v/>
      </c>
      <c r="W31" s="45"/>
      <c r="X31" s="46" t="str">
        <f t="shared" si="9"/>
        <v/>
      </c>
    </row>
    <row r="32" spans="1:24" x14ac:dyDescent="0.2">
      <c r="A32" s="21">
        <v>22</v>
      </c>
      <c r="B32" s="48">
        <v>46335</v>
      </c>
      <c r="C32" s="54">
        <f t="shared" si="0"/>
        <v>246.91358024691357</v>
      </c>
      <c r="D32" s="42"/>
      <c r="E32" s="54">
        <f>SUM($C$11:C32)</f>
        <v>5432.0987654320988</v>
      </c>
      <c r="F32" s="54">
        <f>SUM($D$11:D32)</f>
        <v>0</v>
      </c>
      <c r="G32" s="50" t="str">
        <f>IF(COUNT($D$11:D32)=0,"",F32/E32)</f>
        <v/>
      </c>
      <c r="H32" s="51" t="str">
        <f t="shared" si="1"/>
        <v/>
      </c>
      <c r="I32" s="45"/>
      <c r="J32" s="52" t="str">
        <f t="shared" si="2"/>
        <v/>
      </c>
      <c r="K32" s="45"/>
      <c r="L32" s="52" t="str">
        <f t="shared" si="3"/>
        <v/>
      </c>
      <c r="M32" s="45"/>
      <c r="N32" s="52" t="str">
        <f t="shared" si="4"/>
        <v/>
      </c>
      <c r="O32" s="45"/>
      <c r="P32" s="52" t="str">
        <f t="shared" si="5"/>
        <v/>
      </c>
      <c r="Q32" s="45"/>
      <c r="R32" s="52" t="str">
        <f t="shared" si="6"/>
        <v/>
      </c>
      <c r="S32" s="47"/>
      <c r="T32" s="52" t="str">
        <f t="shared" si="7"/>
        <v/>
      </c>
      <c r="U32" s="45"/>
      <c r="V32" s="52" t="str">
        <f t="shared" si="8"/>
        <v/>
      </c>
      <c r="W32" s="45"/>
      <c r="X32" s="52" t="str">
        <f t="shared" si="9"/>
        <v/>
      </c>
    </row>
    <row r="33" spans="1:24" x14ac:dyDescent="0.2">
      <c r="A33" s="14">
        <v>23</v>
      </c>
      <c r="B33" s="40">
        <v>46342</v>
      </c>
      <c r="C33" s="53">
        <f t="shared" si="0"/>
        <v>246.91358024691357</v>
      </c>
      <c r="D33" s="42"/>
      <c r="E33" s="53">
        <f>SUM($C$11:C33)</f>
        <v>5679.0123456790125</v>
      </c>
      <c r="F33" s="53">
        <f>SUM($D$11:D33)</f>
        <v>0</v>
      </c>
      <c r="G33" s="43" t="str">
        <f>IF(COUNT($D$11:D33)=0,"",F33/E33)</f>
        <v/>
      </c>
      <c r="H33" s="44" t="str">
        <f t="shared" si="1"/>
        <v/>
      </c>
      <c r="I33" s="45"/>
      <c r="J33" s="46" t="str">
        <f t="shared" si="2"/>
        <v/>
      </c>
      <c r="K33" s="45"/>
      <c r="L33" s="46" t="str">
        <f t="shared" si="3"/>
        <v/>
      </c>
      <c r="M33" s="45"/>
      <c r="N33" s="46" t="str">
        <f t="shared" si="4"/>
        <v/>
      </c>
      <c r="O33" s="45"/>
      <c r="P33" s="46" t="str">
        <f t="shared" si="5"/>
        <v/>
      </c>
      <c r="Q33" s="45"/>
      <c r="R33" s="46" t="str">
        <f t="shared" si="6"/>
        <v/>
      </c>
      <c r="S33" s="47"/>
      <c r="T33" s="46" t="str">
        <f t="shared" si="7"/>
        <v/>
      </c>
      <c r="U33" s="45"/>
      <c r="V33" s="46" t="str">
        <f t="shared" si="8"/>
        <v/>
      </c>
      <c r="W33" s="45"/>
      <c r="X33" s="46" t="str">
        <f t="shared" si="9"/>
        <v/>
      </c>
    </row>
    <row r="34" spans="1:24" x14ac:dyDescent="0.2">
      <c r="A34" s="21">
        <v>24</v>
      </c>
      <c r="B34" s="48">
        <v>46349</v>
      </c>
      <c r="C34" s="54">
        <f t="shared" si="0"/>
        <v>246.91358024691357</v>
      </c>
      <c r="D34" s="42"/>
      <c r="E34" s="54">
        <f>SUM($C$11:C34)</f>
        <v>5925.9259259259261</v>
      </c>
      <c r="F34" s="54">
        <f>SUM($D$11:D34)</f>
        <v>0</v>
      </c>
      <c r="G34" s="50" t="str">
        <f>IF(COUNT($D$11:D34)=0,"",F34/E34)</f>
        <v/>
      </c>
      <c r="H34" s="51" t="str">
        <f t="shared" si="1"/>
        <v/>
      </c>
      <c r="I34" s="45"/>
      <c r="J34" s="52" t="str">
        <f t="shared" si="2"/>
        <v/>
      </c>
      <c r="K34" s="45"/>
      <c r="L34" s="52" t="str">
        <f t="shared" si="3"/>
        <v/>
      </c>
      <c r="M34" s="45"/>
      <c r="N34" s="52" t="str">
        <f t="shared" si="4"/>
        <v/>
      </c>
      <c r="O34" s="45"/>
      <c r="P34" s="52" t="str">
        <f t="shared" si="5"/>
        <v/>
      </c>
      <c r="Q34" s="45"/>
      <c r="R34" s="52" t="str">
        <f t="shared" si="6"/>
        <v/>
      </c>
      <c r="S34" s="47"/>
      <c r="T34" s="52" t="str">
        <f t="shared" si="7"/>
        <v/>
      </c>
      <c r="U34" s="45"/>
      <c r="V34" s="52" t="str">
        <f t="shared" si="8"/>
        <v/>
      </c>
      <c r="W34" s="45"/>
      <c r="X34" s="52" t="str">
        <f t="shared" si="9"/>
        <v/>
      </c>
    </row>
    <row r="35" spans="1:24" x14ac:dyDescent="0.2">
      <c r="A35" s="14">
        <v>25</v>
      </c>
      <c r="B35" s="40">
        <v>46356</v>
      </c>
      <c r="C35" s="53">
        <f t="shared" si="0"/>
        <v>246.91358024691357</v>
      </c>
      <c r="D35" s="42"/>
      <c r="E35" s="53">
        <f>SUM($C$11:C35)</f>
        <v>6172.8395061728397</v>
      </c>
      <c r="F35" s="53">
        <f>SUM($D$11:D35)</f>
        <v>0</v>
      </c>
      <c r="G35" s="43" t="str">
        <f>IF(COUNT($D$11:D35)=0,"",F35/E35)</f>
        <v/>
      </c>
      <c r="H35" s="44" t="str">
        <f t="shared" si="1"/>
        <v/>
      </c>
      <c r="I35" s="45"/>
      <c r="J35" s="46" t="str">
        <f t="shared" si="2"/>
        <v/>
      </c>
      <c r="K35" s="45"/>
      <c r="L35" s="46" t="str">
        <f t="shared" si="3"/>
        <v/>
      </c>
      <c r="M35" s="45"/>
      <c r="N35" s="46" t="str">
        <f t="shared" si="4"/>
        <v/>
      </c>
      <c r="O35" s="45"/>
      <c r="P35" s="46" t="str">
        <f t="shared" si="5"/>
        <v/>
      </c>
      <c r="Q35" s="45"/>
      <c r="R35" s="46" t="str">
        <f t="shared" si="6"/>
        <v/>
      </c>
      <c r="S35" s="47"/>
      <c r="T35" s="46" t="str">
        <f t="shared" si="7"/>
        <v/>
      </c>
      <c r="U35" s="45"/>
      <c r="V35" s="46" t="str">
        <f t="shared" si="8"/>
        <v/>
      </c>
      <c r="W35" s="45"/>
      <c r="X35" s="46" t="str">
        <f t="shared" si="9"/>
        <v/>
      </c>
    </row>
    <row r="36" spans="1:24" x14ac:dyDescent="0.2">
      <c r="A36" s="21">
        <v>26</v>
      </c>
      <c r="B36" s="48">
        <v>46363</v>
      </c>
      <c r="C36" s="54">
        <f t="shared" si="0"/>
        <v>246.91358024691357</v>
      </c>
      <c r="D36" s="42"/>
      <c r="E36" s="54">
        <f>SUM($C$11:C36)</f>
        <v>6419.7530864197533</v>
      </c>
      <c r="F36" s="54">
        <f>SUM($D$11:D36)</f>
        <v>0</v>
      </c>
      <c r="G36" s="50" t="str">
        <f>IF(COUNT($D$11:D36)=0,"",F36/E36)</f>
        <v/>
      </c>
      <c r="H36" s="51" t="str">
        <f t="shared" si="1"/>
        <v/>
      </c>
      <c r="I36" s="45"/>
      <c r="J36" s="52" t="str">
        <f t="shared" si="2"/>
        <v/>
      </c>
      <c r="K36" s="45"/>
      <c r="L36" s="52" t="str">
        <f t="shared" si="3"/>
        <v/>
      </c>
      <c r="M36" s="45"/>
      <c r="N36" s="52" t="str">
        <f t="shared" si="4"/>
        <v/>
      </c>
      <c r="O36" s="45"/>
      <c r="P36" s="52" t="str">
        <f t="shared" si="5"/>
        <v/>
      </c>
      <c r="Q36" s="45"/>
      <c r="R36" s="52" t="str">
        <f t="shared" si="6"/>
        <v/>
      </c>
      <c r="S36" s="47"/>
      <c r="T36" s="52" t="str">
        <f t="shared" si="7"/>
        <v/>
      </c>
      <c r="U36" s="45"/>
      <c r="V36" s="52" t="str">
        <f t="shared" si="8"/>
        <v/>
      </c>
      <c r="W36" s="45"/>
      <c r="X36" s="52" t="str">
        <f t="shared" si="9"/>
        <v/>
      </c>
    </row>
    <row r="37" spans="1:24" x14ac:dyDescent="0.2">
      <c r="A37" s="14">
        <v>27</v>
      </c>
      <c r="B37" s="40">
        <v>46370</v>
      </c>
      <c r="C37" s="53">
        <f t="shared" si="0"/>
        <v>246.91358024691357</v>
      </c>
      <c r="D37" s="42"/>
      <c r="E37" s="53">
        <f>SUM($C$11:C37)</f>
        <v>6666.666666666667</v>
      </c>
      <c r="F37" s="53">
        <f>SUM($D$11:D37)</f>
        <v>0</v>
      </c>
      <c r="G37" s="43" t="str">
        <f>IF(COUNT($D$11:D37)=0,"",F37/E37)</f>
        <v/>
      </c>
      <c r="H37" s="44" t="str">
        <f t="shared" si="1"/>
        <v/>
      </c>
      <c r="I37" s="45"/>
      <c r="J37" s="46" t="str">
        <f t="shared" si="2"/>
        <v/>
      </c>
      <c r="K37" s="45"/>
      <c r="L37" s="46" t="str">
        <f t="shared" si="3"/>
        <v/>
      </c>
      <c r="M37" s="45"/>
      <c r="N37" s="46" t="str">
        <f t="shared" si="4"/>
        <v/>
      </c>
      <c r="O37" s="45"/>
      <c r="P37" s="46" t="str">
        <f t="shared" si="5"/>
        <v/>
      </c>
      <c r="Q37" s="45"/>
      <c r="R37" s="46" t="str">
        <f t="shared" si="6"/>
        <v/>
      </c>
      <c r="S37" s="47"/>
      <c r="T37" s="46" t="str">
        <f t="shared" si="7"/>
        <v/>
      </c>
      <c r="U37" s="45"/>
      <c r="V37" s="46" t="str">
        <f t="shared" si="8"/>
        <v/>
      </c>
      <c r="W37" s="45"/>
      <c r="X37" s="46" t="str">
        <f t="shared" si="9"/>
        <v/>
      </c>
    </row>
    <row r="38" spans="1:24" x14ac:dyDescent="0.2">
      <c r="A38" s="21">
        <v>28</v>
      </c>
      <c r="B38" s="48">
        <v>46377</v>
      </c>
      <c r="C38" s="54">
        <f t="shared" si="0"/>
        <v>246.91358024691357</v>
      </c>
      <c r="D38" s="42"/>
      <c r="E38" s="54">
        <f>SUM($C$11:C38)</f>
        <v>6913.5802469135806</v>
      </c>
      <c r="F38" s="54">
        <f>SUM($D$11:D38)</f>
        <v>0</v>
      </c>
      <c r="G38" s="50" t="str">
        <f>IF(COUNT($D$11:D38)=0,"",F38/E38)</f>
        <v/>
      </c>
      <c r="H38" s="51" t="str">
        <f t="shared" si="1"/>
        <v/>
      </c>
      <c r="I38" s="45"/>
      <c r="J38" s="52" t="str">
        <f t="shared" si="2"/>
        <v/>
      </c>
      <c r="K38" s="45"/>
      <c r="L38" s="52" t="str">
        <f t="shared" si="3"/>
        <v/>
      </c>
      <c r="M38" s="45"/>
      <c r="N38" s="52" t="str">
        <f t="shared" si="4"/>
        <v/>
      </c>
      <c r="O38" s="45"/>
      <c r="P38" s="52" t="str">
        <f t="shared" si="5"/>
        <v/>
      </c>
      <c r="Q38" s="45"/>
      <c r="R38" s="52" t="str">
        <f t="shared" si="6"/>
        <v/>
      </c>
      <c r="S38" s="47"/>
      <c r="T38" s="52" t="str">
        <f t="shared" si="7"/>
        <v/>
      </c>
      <c r="U38" s="45"/>
      <c r="V38" s="52" t="str">
        <f t="shared" si="8"/>
        <v/>
      </c>
      <c r="W38" s="45"/>
      <c r="X38" s="52" t="str">
        <f t="shared" si="9"/>
        <v/>
      </c>
    </row>
    <row r="39" spans="1:24" x14ac:dyDescent="0.2">
      <c r="A39" s="14">
        <v>29</v>
      </c>
      <c r="B39" s="40">
        <v>46384</v>
      </c>
      <c r="C39" s="53">
        <f t="shared" si="0"/>
        <v>246.91358024691357</v>
      </c>
      <c r="D39" s="42"/>
      <c r="E39" s="53">
        <f>SUM($C$11:C39)</f>
        <v>7160.4938271604942</v>
      </c>
      <c r="F39" s="53">
        <f>SUM($D$11:D39)</f>
        <v>0</v>
      </c>
      <c r="G39" s="43" t="str">
        <f>IF(COUNT($D$11:D39)=0,"",F39/E39)</f>
        <v/>
      </c>
      <c r="H39" s="44" t="str">
        <f t="shared" si="1"/>
        <v/>
      </c>
      <c r="I39" s="45"/>
      <c r="J39" s="46" t="str">
        <f t="shared" si="2"/>
        <v/>
      </c>
      <c r="K39" s="45"/>
      <c r="L39" s="46" t="str">
        <f t="shared" si="3"/>
        <v/>
      </c>
      <c r="M39" s="45"/>
      <c r="N39" s="46" t="str">
        <f t="shared" si="4"/>
        <v/>
      </c>
      <c r="O39" s="45"/>
      <c r="P39" s="46" t="str">
        <f t="shared" si="5"/>
        <v/>
      </c>
      <c r="Q39" s="45"/>
      <c r="R39" s="46" t="str">
        <f t="shared" si="6"/>
        <v/>
      </c>
      <c r="S39" s="47"/>
      <c r="T39" s="46" t="str">
        <f t="shared" si="7"/>
        <v/>
      </c>
      <c r="U39" s="45"/>
      <c r="V39" s="46" t="str">
        <f t="shared" si="8"/>
        <v/>
      </c>
      <c r="W39" s="45"/>
      <c r="X39" s="46" t="str">
        <f t="shared" si="9"/>
        <v/>
      </c>
    </row>
    <row r="40" spans="1:24" x14ac:dyDescent="0.2">
      <c r="A40" s="21">
        <v>30</v>
      </c>
      <c r="B40" s="48">
        <v>46391</v>
      </c>
      <c r="C40" s="54">
        <f t="shared" si="0"/>
        <v>246.91358024691357</v>
      </c>
      <c r="D40" s="42"/>
      <c r="E40" s="54">
        <f>SUM($C$11:C40)</f>
        <v>7407.4074074074078</v>
      </c>
      <c r="F40" s="54">
        <f>SUM($D$11:D40)</f>
        <v>0</v>
      </c>
      <c r="G40" s="50" t="str">
        <f>IF(COUNT($D$11:D40)=0,"",F40/E40)</f>
        <v/>
      </c>
      <c r="H40" s="51" t="str">
        <f t="shared" si="1"/>
        <v/>
      </c>
      <c r="I40" s="45"/>
      <c r="J40" s="52" t="str">
        <f t="shared" si="2"/>
        <v/>
      </c>
      <c r="K40" s="45"/>
      <c r="L40" s="52" t="str">
        <f t="shared" si="3"/>
        <v/>
      </c>
      <c r="M40" s="45"/>
      <c r="N40" s="52" t="str">
        <f t="shared" si="4"/>
        <v/>
      </c>
      <c r="O40" s="45"/>
      <c r="P40" s="52" t="str">
        <f t="shared" si="5"/>
        <v/>
      </c>
      <c r="Q40" s="45"/>
      <c r="R40" s="52" t="str">
        <f t="shared" si="6"/>
        <v/>
      </c>
      <c r="S40" s="47"/>
      <c r="T40" s="52" t="str">
        <f t="shared" si="7"/>
        <v/>
      </c>
      <c r="U40" s="45"/>
      <c r="V40" s="52" t="str">
        <f t="shared" si="8"/>
        <v/>
      </c>
      <c r="W40" s="45"/>
      <c r="X40" s="52" t="str">
        <f t="shared" si="9"/>
        <v/>
      </c>
    </row>
    <row r="41" spans="1:24" x14ac:dyDescent="0.2">
      <c r="A41" s="14">
        <v>31</v>
      </c>
      <c r="B41" s="40">
        <v>46398</v>
      </c>
      <c r="C41" s="53">
        <f t="shared" si="0"/>
        <v>246.91358024691357</v>
      </c>
      <c r="D41" s="42"/>
      <c r="E41" s="53">
        <f>SUM($C$11:C41)</f>
        <v>7654.3209876543215</v>
      </c>
      <c r="F41" s="53">
        <f>SUM($D$11:D41)</f>
        <v>0</v>
      </c>
      <c r="G41" s="43" t="str">
        <f>IF(COUNT($D$11:D41)=0,"",F41/E41)</f>
        <v/>
      </c>
      <c r="H41" s="44" t="str">
        <f t="shared" si="1"/>
        <v/>
      </c>
      <c r="I41" s="45"/>
      <c r="J41" s="46" t="str">
        <f t="shared" si="2"/>
        <v/>
      </c>
      <c r="K41" s="45"/>
      <c r="L41" s="46" t="str">
        <f t="shared" si="3"/>
        <v/>
      </c>
      <c r="M41" s="45"/>
      <c r="N41" s="46" t="str">
        <f t="shared" si="4"/>
        <v/>
      </c>
      <c r="O41" s="45"/>
      <c r="P41" s="46" t="str">
        <f t="shared" si="5"/>
        <v/>
      </c>
      <c r="Q41" s="45"/>
      <c r="R41" s="46" t="str">
        <f t="shared" si="6"/>
        <v/>
      </c>
      <c r="S41" s="47"/>
      <c r="T41" s="46" t="str">
        <f t="shared" si="7"/>
        <v/>
      </c>
      <c r="U41" s="45"/>
      <c r="V41" s="46" t="str">
        <f t="shared" si="8"/>
        <v/>
      </c>
      <c r="W41" s="45"/>
      <c r="X41" s="46" t="str">
        <f t="shared" si="9"/>
        <v/>
      </c>
    </row>
    <row r="42" spans="1:24" x14ac:dyDescent="0.2">
      <c r="A42" s="21">
        <v>32</v>
      </c>
      <c r="B42" s="48">
        <v>46405</v>
      </c>
      <c r="C42" s="54">
        <f t="shared" si="0"/>
        <v>246.91358024691357</v>
      </c>
      <c r="D42" s="42"/>
      <c r="E42" s="54">
        <f>SUM($C$11:C42)</f>
        <v>7901.2345679012351</v>
      </c>
      <c r="F42" s="54">
        <f>SUM($D$11:D42)</f>
        <v>0</v>
      </c>
      <c r="G42" s="50" t="str">
        <f>IF(COUNT($D$11:D42)=0,"",F42/E42)</f>
        <v/>
      </c>
      <c r="H42" s="51" t="str">
        <f t="shared" si="1"/>
        <v/>
      </c>
      <c r="I42" s="45"/>
      <c r="J42" s="52" t="str">
        <f t="shared" si="2"/>
        <v/>
      </c>
      <c r="K42" s="45"/>
      <c r="L42" s="52" t="str">
        <f t="shared" si="3"/>
        <v/>
      </c>
      <c r="M42" s="45"/>
      <c r="N42" s="52" t="str">
        <f t="shared" si="4"/>
        <v/>
      </c>
      <c r="O42" s="45"/>
      <c r="P42" s="52" t="str">
        <f t="shared" si="5"/>
        <v/>
      </c>
      <c r="Q42" s="45"/>
      <c r="R42" s="52" t="str">
        <f t="shared" si="6"/>
        <v/>
      </c>
      <c r="S42" s="47"/>
      <c r="T42" s="52" t="str">
        <f t="shared" si="7"/>
        <v/>
      </c>
      <c r="U42" s="45"/>
      <c r="V42" s="52" t="str">
        <f t="shared" si="8"/>
        <v/>
      </c>
      <c r="W42" s="45"/>
      <c r="X42" s="52" t="str">
        <f t="shared" si="9"/>
        <v/>
      </c>
    </row>
    <row r="43" spans="1:24" x14ac:dyDescent="0.2">
      <c r="A43" s="14">
        <v>33</v>
      </c>
      <c r="B43" s="40">
        <v>46412</v>
      </c>
      <c r="C43" s="53">
        <f t="shared" ref="C43:C74" si="10">$B$5/$B$8</f>
        <v>246.91358024691357</v>
      </c>
      <c r="D43" s="42"/>
      <c r="E43" s="53">
        <f>SUM($C$11:C43)</f>
        <v>8148.1481481481487</v>
      </c>
      <c r="F43" s="53">
        <f>SUM($D$11:D43)</f>
        <v>0</v>
      </c>
      <c r="G43" s="43" t="str">
        <f>IF(COUNT($D$11:D43)=0,"",F43/E43)</f>
        <v/>
      </c>
      <c r="H43" s="44" t="str">
        <f t="shared" ref="H43:H74" si="11">IF(G43="","",IF(G43&gt;=0.95,"En meta",IF(G43&gt;=0.8,"Riesgo","Atrasado")))</f>
        <v/>
      </c>
      <c r="I43" s="45"/>
      <c r="J43" s="46" t="str">
        <f t="shared" ref="J43:J74" si="12">IF(I43="","",IF($I$9="","",IF($I$9=0,"",I43/$I$9)))</f>
        <v/>
      </c>
      <c r="K43" s="45"/>
      <c r="L43" s="46" t="str">
        <f t="shared" ref="L43:L74" si="13">IF(K43="","",IF($K$9="","",IF($K$9=0,"",K43/$K$9)))</f>
        <v/>
      </c>
      <c r="M43" s="45"/>
      <c r="N43" s="46" t="str">
        <f t="shared" ref="N43:N74" si="14">IF(M43="","",IF($M$9="","",IF($M$9=0,"",M43/$M$9)))</f>
        <v/>
      </c>
      <c r="O43" s="45"/>
      <c r="P43" s="46" t="str">
        <f t="shared" ref="P43:P74" si="15">IF(O43="","",IF($O$9="","",IF($O$9=0,"",O43/$O$9)))</f>
        <v/>
      </c>
      <c r="Q43" s="45"/>
      <c r="R43" s="46" t="str">
        <f t="shared" ref="R43:R74" si="16">IF(Q43="","",IF($Q$9="","",IF($Q$9=0,"",Q43/$Q$9)))</f>
        <v/>
      </c>
      <c r="S43" s="47"/>
      <c r="T43" s="46" t="str">
        <f t="shared" ref="T43:T74" si="17">IF(S43="","",IF($S$9="","",IF($S$9=0,"",S43/$S$9)))</f>
        <v/>
      </c>
      <c r="U43" s="45"/>
      <c r="V43" s="46" t="str">
        <f t="shared" ref="V43:V74" si="18">IF(U43="","",IF($U$9="","",IF($U$9=0,"",U43/$U$9)))</f>
        <v/>
      </c>
      <c r="W43" s="45"/>
      <c r="X43" s="46" t="str">
        <f t="shared" ref="X43:X74" si="19">IF(W43="","",IF($W$9="","",IF($W$9=0,"",W43/$W$9)))</f>
        <v/>
      </c>
    </row>
    <row r="44" spans="1:24" x14ac:dyDescent="0.2">
      <c r="A44" s="21">
        <v>34</v>
      </c>
      <c r="B44" s="48">
        <v>46419</v>
      </c>
      <c r="C44" s="54">
        <f t="shared" si="10"/>
        <v>246.91358024691357</v>
      </c>
      <c r="D44" s="42"/>
      <c r="E44" s="54">
        <f>SUM($C$11:C44)</f>
        <v>8395.0617283950614</v>
      </c>
      <c r="F44" s="54">
        <f>SUM($D$11:D44)</f>
        <v>0</v>
      </c>
      <c r="G44" s="50" t="str">
        <f>IF(COUNT($D$11:D44)=0,"",F44/E44)</f>
        <v/>
      </c>
      <c r="H44" s="51" t="str">
        <f t="shared" si="11"/>
        <v/>
      </c>
      <c r="I44" s="45"/>
      <c r="J44" s="52" t="str">
        <f t="shared" si="12"/>
        <v/>
      </c>
      <c r="K44" s="45"/>
      <c r="L44" s="52" t="str">
        <f t="shared" si="13"/>
        <v/>
      </c>
      <c r="M44" s="45"/>
      <c r="N44" s="52" t="str">
        <f t="shared" si="14"/>
        <v/>
      </c>
      <c r="O44" s="45"/>
      <c r="P44" s="52" t="str">
        <f t="shared" si="15"/>
        <v/>
      </c>
      <c r="Q44" s="45"/>
      <c r="R44" s="52" t="str">
        <f t="shared" si="16"/>
        <v/>
      </c>
      <c r="S44" s="47"/>
      <c r="T44" s="52" t="str">
        <f t="shared" si="17"/>
        <v/>
      </c>
      <c r="U44" s="45"/>
      <c r="V44" s="52" t="str">
        <f t="shared" si="18"/>
        <v/>
      </c>
      <c r="W44" s="45"/>
      <c r="X44" s="52" t="str">
        <f t="shared" si="19"/>
        <v/>
      </c>
    </row>
    <row r="45" spans="1:24" x14ac:dyDescent="0.2">
      <c r="A45" s="14">
        <v>35</v>
      </c>
      <c r="B45" s="40">
        <v>46426</v>
      </c>
      <c r="C45" s="53">
        <f t="shared" si="10"/>
        <v>246.91358024691357</v>
      </c>
      <c r="D45" s="42"/>
      <c r="E45" s="53">
        <f>SUM($C$11:C45)</f>
        <v>8641.9753086419751</v>
      </c>
      <c r="F45" s="53">
        <f>SUM($D$11:D45)</f>
        <v>0</v>
      </c>
      <c r="G45" s="43" t="str">
        <f>IF(COUNT($D$11:D45)=0,"",F45/E45)</f>
        <v/>
      </c>
      <c r="H45" s="44" t="str">
        <f t="shared" si="11"/>
        <v/>
      </c>
      <c r="I45" s="45"/>
      <c r="J45" s="46" t="str">
        <f t="shared" si="12"/>
        <v/>
      </c>
      <c r="K45" s="45"/>
      <c r="L45" s="46" t="str">
        <f t="shared" si="13"/>
        <v/>
      </c>
      <c r="M45" s="45"/>
      <c r="N45" s="46" t="str">
        <f t="shared" si="14"/>
        <v/>
      </c>
      <c r="O45" s="45"/>
      <c r="P45" s="46" t="str">
        <f t="shared" si="15"/>
        <v/>
      </c>
      <c r="Q45" s="45"/>
      <c r="R45" s="46" t="str">
        <f t="shared" si="16"/>
        <v/>
      </c>
      <c r="S45" s="47"/>
      <c r="T45" s="46" t="str">
        <f t="shared" si="17"/>
        <v/>
      </c>
      <c r="U45" s="45"/>
      <c r="V45" s="46" t="str">
        <f t="shared" si="18"/>
        <v/>
      </c>
      <c r="W45" s="45"/>
      <c r="X45" s="46" t="str">
        <f t="shared" si="19"/>
        <v/>
      </c>
    </row>
    <row r="46" spans="1:24" x14ac:dyDescent="0.2">
      <c r="A46" s="21">
        <v>36</v>
      </c>
      <c r="B46" s="48">
        <v>46433</v>
      </c>
      <c r="C46" s="54">
        <f t="shared" si="10"/>
        <v>246.91358024691357</v>
      </c>
      <c r="D46" s="42"/>
      <c r="E46" s="54">
        <f>SUM($C$11:C46)</f>
        <v>8888.8888888888887</v>
      </c>
      <c r="F46" s="54">
        <f>SUM($D$11:D46)</f>
        <v>0</v>
      </c>
      <c r="G46" s="50" t="str">
        <f>IF(COUNT($D$11:D46)=0,"",F46/E46)</f>
        <v/>
      </c>
      <c r="H46" s="51" t="str">
        <f t="shared" si="11"/>
        <v/>
      </c>
      <c r="I46" s="45"/>
      <c r="J46" s="52" t="str">
        <f t="shared" si="12"/>
        <v/>
      </c>
      <c r="K46" s="45"/>
      <c r="L46" s="52" t="str">
        <f t="shared" si="13"/>
        <v/>
      </c>
      <c r="M46" s="45"/>
      <c r="N46" s="52" t="str">
        <f t="shared" si="14"/>
        <v/>
      </c>
      <c r="O46" s="45"/>
      <c r="P46" s="52" t="str">
        <f t="shared" si="15"/>
        <v/>
      </c>
      <c r="Q46" s="45"/>
      <c r="R46" s="52" t="str">
        <f t="shared" si="16"/>
        <v/>
      </c>
      <c r="S46" s="47"/>
      <c r="T46" s="52" t="str">
        <f t="shared" si="17"/>
        <v/>
      </c>
      <c r="U46" s="45"/>
      <c r="V46" s="52" t="str">
        <f t="shared" si="18"/>
        <v/>
      </c>
      <c r="W46" s="45"/>
      <c r="X46" s="52" t="str">
        <f t="shared" si="19"/>
        <v/>
      </c>
    </row>
    <row r="47" spans="1:24" x14ac:dyDescent="0.2">
      <c r="A47" s="14">
        <v>37</v>
      </c>
      <c r="B47" s="40">
        <v>46440</v>
      </c>
      <c r="C47" s="53">
        <f t="shared" si="10"/>
        <v>246.91358024691357</v>
      </c>
      <c r="D47" s="42"/>
      <c r="E47" s="53">
        <f>SUM($C$11:C47)</f>
        <v>9135.8024691358023</v>
      </c>
      <c r="F47" s="53">
        <f>SUM($D$11:D47)</f>
        <v>0</v>
      </c>
      <c r="G47" s="43" t="str">
        <f>IF(COUNT($D$11:D47)=0,"",F47/E47)</f>
        <v/>
      </c>
      <c r="H47" s="44" t="str">
        <f t="shared" si="11"/>
        <v/>
      </c>
      <c r="I47" s="45"/>
      <c r="J47" s="46" t="str">
        <f t="shared" si="12"/>
        <v/>
      </c>
      <c r="K47" s="45"/>
      <c r="L47" s="46" t="str">
        <f t="shared" si="13"/>
        <v/>
      </c>
      <c r="M47" s="45"/>
      <c r="N47" s="46" t="str">
        <f t="shared" si="14"/>
        <v/>
      </c>
      <c r="O47" s="45"/>
      <c r="P47" s="46" t="str">
        <f t="shared" si="15"/>
        <v/>
      </c>
      <c r="Q47" s="45"/>
      <c r="R47" s="46" t="str">
        <f t="shared" si="16"/>
        <v/>
      </c>
      <c r="S47" s="47"/>
      <c r="T47" s="46" t="str">
        <f t="shared" si="17"/>
        <v/>
      </c>
      <c r="U47" s="45"/>
      <c r="V47" s="46" t="str">
        <f t="shared" si="18"/>
        <v/>
      </c>
      <c r="W47" s="45"/>
      <c r="X47" s="46" t="str">
        <f t="shared" si="19"/>
        <v/>
      </c>
    </row>
    <row r="48" spans="1:24" x14ac:dyDescent="0.2">
      <c r="A48" s="21">
        <v>38</v>
      </c>
      <c r="B48" s="48">
        <v>46447</v>
      </c>
      <c r="C48" s="54">
        <f t="shared" si="10"/>
        <v>246.91358024691357</v>
      </c>
      <c r="D48" s="42"/>
      <c r="E48" s="54">
        <f>SUM($C$11:C48)</f>
        <v>9382.7160493827159</v>
      </c>
      <c r="F48" s="54">
        <f>SUM($D$11:D48)</f>
        <v>0</v>
      </c>
      <c r="G48" s="50" t="str">
        <f>IF(COUNT($D$11:D48)=0,"",F48/E48)</f>
        <v/>
      </c>
      <c r="H48" s="51" t="str">
        <f t="shared" si="11"/>
        <v/>
      </c>
      <c r="I48" s="45"/>
      <c r="J48" s="52" t="str">
        <f t="shared" si="12"/>
        <v/>
      </c>
      <c r="K48" s="45"/>
      <c r="L48" s="52" t="str">
        <f t="shared" si="13"/>
        <v/>
      </c>
      <c r="M48" s="45"/>
      <c r="N48" s="52" t="str">
        <f t="shared" si="14"/>
        <v/>
      </c>
      <c r="O48" s="45"/>
      <c r="P48" s="52" t="str">
        <f t="shared" si="15"/>
        <v/>
      </c>
      <c r="Q48" s="45"/>
      <c r="R48" s="52" t="str">
        <f t="shared" si="16"/>
        <v/>
      </c>
      <c r="S48" s="47"/>
      <c r="T48" s="52" t="str">
        <f t="shared" si="17"/>
        <v/>
      </c>
      <c r="U48" s="45"/>
      <c r="V48" s="52" t="str">
        <f t="shared" si="18"/>
        <v/>
      </c>
      <c r="W48" s="45"/>
      <c r="X48" s="52" t="str">
        <f t="shared" si="19"/>
        <v/>
      </c>
    </row>
    <row r="49" spans="1:24" x14ac:dyDescent="0.2">
      <c r="A49" s="14">
        <v>39</v>
      </c>
      <c r="B49" s="40">
        <v>46454</v>
      </c>
      <c r="C49" s="53">
        <f t="shared" si="10"/>
        <v>246.91358024691357</v>
      </c>
      <c r="D49" s="42"/>
      <c r="E49" s="53">
        <f>SUM($C$11:C49)</f>
        <v>9629.6296296296296</v>
      </c>
      <c r="F49" s="53">
        <f>SUM($D$11:D49)</f>
        <v>0</v>
      </c>
      <c r="G49" s="43" t="str">
        <f>IF(COUNT($D$11:D49)=0,"",F49/E49)</f>
        <v/>
      </c>
      <c r="H49" s="44" t="str">
        <f t="shared" si="11"/>
        <v/>
      </c>
      <c r="I49" s="45"/>
      <c r="J49" s="46" t="str">
        <f t="shared" si="12"/>
        <v/>
      </c>
      <c r="K49" s="45"/>
      <c r="L49" s="46" t="str">
        <f t="shared" si="13"/>
        <v/>
      </c>
      <c r="M49" s="45"/>
      <c r="N49" s="46" t="str">
        <f t="shared" si="14"/>
        <v/>
      </c>
      <c r="O49" s="45"/>
      <c r="P49" s="46" t="str">
        <f t="shared" si="15"/>
        <v/>
      </c>
      <c r="Q49" s="45"/>
      <c r="R49" s="46" t="str">
        <f t="shared" si="16"/>
        <v/>
      </c>
      <c r="S49" s="47"/>
      <c r="T49" s="46" t="str">
        <f t="shared" si="17"/>
        <v/>
      </c>
      <c r="U49" s="45"/>
      <c r="V49" s="46" t="str">
        <f t="shared" si="18"/>
        <v/>
      </c>
      <c r="W49" s="45"/>
      <c r="X49" s="46" t="str">
        <f t="shared" si="19"/>
        <v/>
      </c>
    </row>
    <row r="50" spans="1:24" x14ac:dyDescent="0.2">
      <c r="A50" s="21">
        <v>40</v>
      </c>
      <c r="B50" s="48">
        <v>46461</v>
      </c>
      <c r="C50" s="54">
        <f t="shared" si="10"/>
        <v>246.91358024691357</v>
      </c>
      <c r="D50" s="42"/>
      <c r="E50" s="54">
        <f>SUM($C$11:C50)</f>
        <v>9876.5432098765432</v>
      </c>
      <c r="F50" s="54">
        <f>SUM($D$11:D50)</f>
        <v>0</v>
      </c>
      <c r="G50" s="50" t="str">
        <f>IF(COUNT($D$11:D50)=0,"",F50/E50)</f>
        <v/>
      </c>
      <c r="H50" s="51" t="str">
        <f t="shared" si="11"/>
        <v/>
      </c>
      <c r="I50" s="45"/>
      <c r="J50" s="52" t="str">
        <f t="shared" si="12"/>
        <v/>
      </c>
      <c r="K50" s="45"/>
      <c r="L50" s="52" t="str">
        <f t="shared" si="13"/>
        <v/>
      </c>
      <c r="M50" s="45"/>
      <c r="N50" s="52" t="str">
        <f t="shared" si="14"/>
        <v/>
      </c>
      <c r="O50" s="45"/>
      <c r="P50" s="52" t="str">
        <f t="shared" si="15"/>
        <v/>
      </c>
      <c r="Q50" s="45"/>
      <c r="R50" s="52" t="str">
        <f t="shared" si="16"/>
        <v/>
      </c>
      <c r="S50" s="47"/>
      <c r="T50" s="52" t="str">
        <f t="shared" si="17"/>
        <v/>
      </c>
      <c r="U50" s="45"/>
      <c r="V50" s="52" t="str">
        <f t="shared" si="18"/>
        <v/>
      </c>
      <c r="W50" s="45"/>
      <c r="X50" s="52" t="str">
        <f t="shared" si="19"/>
        <v/>
      </c>
    </row>
    <row r="51" spans="1:24" x14ac:dyDescent="0.2">
      <c r="A51" s="14">
        <v>41</v>
      </c>
      <c r="B51" s="40">
        <v>46468</v>
      </c>
      <c r="C51" s="53">
        <f t="shared" si="10"/>
        <v>246.91358024691357</v>
      </c>
      <c r="D51" s="42"/>
      <c r="E51" s="53">
        <f>SUM($C$11:C51)</f>
        <v>10123.456790123457</v>
      </c>
      <c r="F51" s="53">
        <f>SUM($D$11:D51)</f>
        <v>0</v>
      </c>
      <c r="G51" s="43" t="str">
        <f>IF(COUNT($D$11:D51)=0,"",F51/E51)</f>
        <v/>
      </c>
      <c r="H51" s="44" t="str">
        <f t="shared" si="11"/>
        <v/>
      </c>
      <c r="I51" s="45"/>
      <c r="J51" s="46" t="str">
        <f t="shared" si="12"/>
        <v/>
      </c>
      <c r="K51" s="45"/>
      <c r="L51" s="46" t="str">
        <f t="shared" si="13"/>
        <v/>
      </c>
      <c r="M51" s="45"/>
      <c r="N51" s="46" t="str">
        <f t="shared" si="14"/>
        <v/>
      </c>
      <c r="O51" s="45"/>
      <c r="P51" s="46" t="str">
        <f t="shared" si="15"/>
        <v/>
      </c>
      <c r="Q51" s="45"/>
      <c r="R51" s="46" t="str">
        <f t="shared" si="16"/>
        <v/>
      </c>
      <c r="S51" s="47"/>
      <c r="T51" s="46" t="str">
        <f t="shared" si="17"/>
        <v/>
      </c>
      <c r="U51" s="45"/>
      <c r="V51" s="46" t="str">
        <f t="shared" si="18"/>
        <v/>
      </c>
      <c r="W51" s="45"/>
      <c r="X51" s="46" t="str">
        <f t="shared" si="19"/>
        <v/>
      </c>
    </row>
    <row r="52" spans="1:24" x14ac:dyDescent="0.2">
      <c r="A52" s="21">
        <v>42</v>
      </c>
      <c r="B52" s="48">
        <v>46475</v>
      </c>
      <c r="C52" s="54">
        <f t="shared" si="10"/>
        <v>246.91358024691357</v>
      </c>
      <c r="D52" s="42"/>
      <c r="E52" s="54">
        <f>SUM($C$11:C52)</f>
        <v>10370.37037037037</v>
      </c>
      <c r="F52" s="54">
        <f>SUM($D$11:D52)</f>
        <v>0</v>
      </c>
      <c r="G52" s="50" t="str">
        <f>IF(COUNT($D$11:D52)=0,"",F52/E52)</f>
        <v/>
      </c>
      <c r="H52" s="51" t="str">
        <f t="shared" si="11"/>
        <v/>
      </c>
      <c r="I52" s="45"/>
      <c r="J52" s="52" t="str">
        <f t="shared" si="12"/>
        <v/>
      </c>
      <c r="K52" s="45"/>
      <c r="L52" s="52" t="str">
        <f t="shared" si="13"/>
        <v/>
      </c>
      <c r="M52" s="45"/>
      <c r="N52" s="52" t="str">
        <f t="shared" si="14"/>
        <v/>
      </c>
      <c r="O52" s="45"/>
      <c r="P52" s="52" t="str">
        <f t="shared" si="15"/>
        <v/>
      </c>
      <c r="Q52" s="45"/>
      <c r="R52" s="52" t="str">
        <f t="shared" si="16"/>
        <v/>
      </c>
      <c r="S52" s="47"/>
      <c r="T52" s="52" t="str">
        <f t="shared" si="17"/>
        <v/>
      </c>
      <c r="U52" s="45"/>
      <c r="V52" s="52" t="str">
        <f t="shared" si="18"/>
        <v/>
      </c>
      <c r="W52" s="45"/>
      <c r="X52" s="52" t="str">
        <f t="shared" si="19"/>
        <v/>
      </c>
    </row>
    <row r="53" spans="1:24" x14ac:dyDescent="0.2">
      <c r="A53" s="14">
        <v>43</v>
      </c>
      <c r="B53" s="40">
        <v>46482</v>
      </c>
      <c r="C53" s="53">
        <f t="shared" si="10"/>
        <v>246.91358024691357</v>
      </c>
      <c r="D53" s="42"/>
      <c r="E53" s="53">
        <f>SUM($C$11:C53)</f>
        <v>10617.283950617284</v>
      </c>
      <c r="F53" s="53">
        <f>SUM($D$11:D53)</f>
        <v>0</v>
      </c>
      <c r="G53" s="43" t="str">
        <f>IF(COUNT($D$11:D53)=0,"",F53/E53)</f>
        <v/>
      </c>
      <c r="H53" s="44" t="str">
        <f t="shared" si="11"/>
        <v/>
      </c>
      <c r="I53" s="45"/>
      <c r="J53" s="46" t="str">
        <f t="shared" si="12"/>
        <v/>
      </c>
      <c r="K53" s="45"/>
      <c r="L53" s="46" t="str">
        <f t="shared" si="13"/>
        <v/>
      </c>
      <c r="M53" s="45"/>
      <c r="N53" s="46" t="str">
        <f t="shared" si="14"/>
        <v/>
      </c>
      <c r="O53" s="45"/>
      <c r="P53" s="46" t="str">
        <f t="shared" si="15"/>
        <v/>
      </c>
      <c r="Q53" s="45"/>
      <c r="R53" s="46" t="str">
        <f t="shared" si="16"/>
        <v/>
      </c>
      <c r="S53" s="47"/>
      <c r="T53" s="46" t="str">
        <f t="shared" si="17"/>
        <v/>
      </c>
      <c r="U53" s="45"/>
      <c r="V53" s="46" t="str">
        <f t="shared" si="18"/>
        <v/>
      </c>
      <c r="W53" s="45"/>
      <c r="X53" s="46" t="str">
        <f t="shared" si="19"/>
        <v/>
      </c>
    </row>
    <row r="54" spans="1:24" x14ac:dyDescent="0.2">
      <c r="A54" s="21">
        <v>44</v>
      </c>
      <c r="B54" s="48">
        <v>46489</v>
      </c>
      <c r="C54" s="54">
        <f t="shared" si="10"/>
        <v>246.91358024691357</v>
      </c>
      <c r="D54" s="42"/>
      <c r="E54" s="54">
        <f>SUM($C$11:C54)</f>
        <v>10864.197530864198</v>
      </c>
      <c r="F54" s="54">
        <f>SUM($D$11:D54)</f>
        <v>0</v>
      </c>
      <c r="G54" s="50" t="str">
        <f>IF(COUNT($D$11:D54)=0,"",F54/E54)</f>
        <v/>
      </c>
      <c r="H54" s="51" t="str">
        <f t="shared" si="11"/>
        <v/>
      </c>
      <c r="I54" s="45"/>
      <c r="J54" s="52" t="str">
        <f t="shared" si="12"/>
        <v/>
      </c>
      <c r="K54" s="45"/>
      <c r="L54" s="52" t="str">
        <f t="shared" si="13"/>
        <v/>
      </c>
      <c r="M54" s="45"/>
      <c r="N54" s="52" t="str">
        <f t="shared" si="14"/>
        <v/>
      </c>
      <c r="O54" s="45"/>
      <c r="P54" s="52" t="str">
        <f t="shared" si="15"/>
        <v/>
      </c>
      <c r="Q54" s="45"/>
      <c r="R54" s="52" t="str">
        <f t="shared" si="16"/>
        <v/>
      </c>
      <c r="S54" s="47"/>
      <c r="T54" s="52" t="str">
        <f t="shared" si="17"/>
        <v/>
      </c>
      <c r="U54" s="45"/>
      <c r="V54" s="52" t="str">
        <f t="shared" si="18"/>
        <v/>
      </c>
      <c r="W54" s="45"/>
      <c r="X54" s="52" t="str">
        <f t="shared" si="19"/>
        <v/>
      </c>
    </row>
    <row r="55" spans="1:24" x14ac:dyDescent="0.2">
      <c r="A55" s="14">
        <v>45</v>
      </c>
      <c r="B55" s="40">
        <v>46496</v>
      </c>
      <c r="C55" s="53">
        <f t="shared" si="10"/>
        <v>246.91358024691357</v>
      </c>
      <c r="D55" s="42"/>
      <c r="E55" s="53">
        <f>SUM($C$11:C55)</f>
        <v>11111.111111111111</v>
      </c>
      <c r="F55" s="53">
        <f>SUM($D$11:D55)</f>
        <v>0</v>
      </c>
      <c r="G55" s="43" t="str">
        <f>IF(COUNT($D$11:D55)=0,"",F55/E55)</f>
        <v/>
      </c>
      <c r="H55" s="44" t="str">
        <f t="shared" si="11"/>
        <v/>
      </c>
      <c r="I55" s="45"/>
      <c r="J55" s="46" t="str">
        <f t="shared" si="12"/>
        <v/>
      </c>
      <c r="K55" s="45"/>
      <c r="L55" s="46" t="str">
        <f t="shared" si="13"/>
        <v/>
      </c>
      <c r="M55" s="45"/>
      <c r="N55" s="46" t="str">
        <f t="shared" si="14"/>
        <v/>
      </c>
      <c r="O55" s="45"/>
      <c r="P55" s="46" t="str">
        <f t="shared" si="15"/>
        <v/>
      </c>
      <c r="Q55" s="45"/>
      <c r="R55" s="46" t="str">
        <f t="shared" si="16"/>
        <v/>
      </c>
      <c r="S55" s="47"/>
      <c r="T55" s="46" t="str">
        <f t="shared" si="17"/>
        <v/>
      </c>
      <c r="U55" s="45"/>
      <c r="V55" s="46" t="str">
        <f t="shared" si="18"/>
        <v/>
      </c>
      <c r="W55" s="45"/>
      <c r="X55" s="46" t="str">
        <f t="shared" si="19"/>
        <v/>
      </c>
    </row>
    <row r="56" spans="1:24" x14ac:dyDescent="0.2">
      <c r="A56" s="21">
        <v>46</v>
      </c>
      <c r="B56" s="48">
        <v>46503</v>
      </c>
      <c r="C56" s="54">
        <f t="shared" si="10"/>
        <v>246.91358024691357</v>
      </c>
      <c r="D56" s="42"/>
      <c r="E56" s="54">
        <f>SUM($C$11:C56)</f>
        <v>11358.024691358025</v>
      </c>
      <c r="F56" s="54">
        <f>SUM($D$11:D56)</f>
        <v>0</v>
      </c>
      <c r="G56" s="50" t="str">
        <f>IF(COUNT($D$11:D56)=0,"",F56/E56)</f>
        <v/>
      </c>
      <c r="H56" s="51" t="str">
        <f t="shared" si="11"/>
        <v/>
      </c>
      <c r="I56" s="45"/>
      <c r="J56" s="52" t="str">
        <f t="shared" si="12"/>
        <v/>
      </c>
      <c r="K56" s="45"/>
      <c r="L56" s="52" t="str">
        <f t="shared" si="13"/>
        <v/>
      </c>
      <c r="M56" s="45"/>
      <c r="N56" s="52" t="str">
        <f t="shared" si="14"/>
        <v/>
      </c>
      <c r="O56" s="45"/>
      <c r="P56" s="52" t="str">
        <f t="shared" si="15"/>
        <v/>
      </c>
      <c r="Q56" s="45"/>
      <c r="R56" s="52" t="str">
        <f t="shared" si="16"/>
        <v/>
      </c>
      <c r="S56" s="47"/>
      <c r="T56" s="52" t="str">
        <f t="shared" si="17"/>
        <v/>
      </c>
      <c r="U56" s="45"/>
      <c r="V56" s="52" t="str">
        <f t="shared" si="18"/>
        <v/>
      </c>
      <c r="W56" s="45"/>
      <c r="X56" s="52" t="str">
        <f t="shared" si="19"/>
        <v/>
      </c>
    </row>
    <row r="57" spans="1:24" x14ac:dyDescent="0.2">
      <c r="A57" s="14">
        <v>47</v>
      </c>
      <c r="B57" s="40">
        <v>46510</v>
      </c>
      <c r="C57" s="53">
        <f t="shared" si="10"/>
        <v>246.91358024691357</v>
      </c>
      <c r="D57" s="42"/>
      <c r="E57" s="53">
        <f>SUM($C$11:C57)</f>
        <v>11604.938271604939</v>
      </c>
      <c r="F57" s="53">
        <f>SUM($D$11:D57)</f>
        <v>0</v>
      </c>
      <c r="G57" s="43" t="str">
        <f>IF(COUNT($D$11:D57)=0,"",F57/E57)</f>
        <v/>
      </c>
      <c r="H57" s="44" t="str">
        <f t="shared" si="11"/>
        <v/>
      </c>
      <c r="I57" s="45"/>
      <c r="J57" s="46" t="str">
        <f t="shared" si="12"/>
        <v/>
      </c>
      <c r="K57" s="45"/>
      <c r="L57" s="46" t="str">
        <f t="shared" si="13"/>
        <v/>
      </c>
      <c r="M57" s="45"/>
      <c r="N57" s="46" t="str">
        <f t="shared" si="14"/>
        <v/>
      </c>
      <c r="O57" s="45"/>
      <c r="P57" s="46" t="str">
        <f t="shared" si="15"/>
        <v/>
      </c>
      <c r="Q57" s="45"/>
      <c r="R57" s="46" t="str">
        <f t="shared" si="16"/>
        <v/>
      </c>
      <c r="S57" s="47"/>
      <c r="T57" s="46" t="str">
        <f t="shared" si="17"/>
        <v/>
      </c>
      <c r="U57" s="45"/>
      <c r="V57" s="46" t="str">
        <f t="shared" si="18"/>
        <v/>
      </c>
      <c r="W57" s="45"/>
      <c r="X57" s="46" t="str">
        <f t="shared" si="19"/>
        <v/>
      </c>
    </row>
    <row r="58" spans="1:24" x14ac:dyDescent="0.2">
      <c r="A58" s="21">
        <v>48</v>
      </c>
      <c r="B58" s="48">
        <v>46517</v>
      </c>
      <c r="C58" s="54">
        <f t="shared" si="10"/>
        <v>246.91358024691357</v>
      </c>
      <c r="D58" s="42"/>
      <c r="E58" s="54">
        <f>SUM($C$11:C58)</f>
        <v>11851.851851851852</v>
      </c>
      <c r="F58" s="54">
        <f>SUM($D$11:D58)</f>
        <v>0</v>
      </c>
      <c r="G58" s="50" t="str">
        <f>IF(COUNT($D$11:D58)=0,"",F58/E58)</f>
        <v/>
      </c>
      <c r="H58" s="51" t="str">
        <f t="shared" si="11"/>
        <v/>
      </c>
      <c r="I58" s="45"/>
      <c r="J58" s="52" t="str">
        <f t="shared" si="12"/>
        <v/>
      </c>
      <c r="K58" s="45"/>
      <c r="L58" s="52" t="str">
        <f t="shared" si="13"/>
        <v/>
      </c>
      <c r="M58" s="45"/>
      <c r="N58" s="52" t="str">
        <f t="shared" si="14"/>
        <v/>
      </c>
      <c r="O58" s="45"/>
      <c r="P58" s="52" t="str">
        <f t="shared" si="15"/>
        <v/>
      </c>
      <c r="Q58" s="45"/>
      <c r="R58" s="52" t="str">
        <f t="shared" si="16"/>
        <v/>
      </c>
      <c r="S58" s="47"/>
      <c r="T58" s="52" t="str">
        <f t="shared" si="17"/>
        <v/>
      </c>
      <c r="U58" s="45"/>
      <c r="V58" s="52" t="str">
        <f t="shared" si="18"/>
        <v/>
      </c>
      <c r="W58" s="45"/>
      <c r="X58" s="52" t="str">
        <f t="shared" si="19"/>
        <v/>
      </c>
    </row>
    <row r="59" spans="1:24" x14ac:dyDescent="0.2">
      <c r="A59" s="14">
        <v>49</v>
      </c>
      <c r="B59" s="40">
        <v>46524</v>
      </c>
      <c r="C59" s="53">
        <f t="shared" si="10"/>
        <v>246.91358024691357</v>
      </c>
      <c r="D59" s="42"/>
      <c r="E59" s="53">
        <f>SUM($C$11:C59)</f>
        <v>12098.765432098766</v>
      </c>
      <c r="F59" s="53">
        <f>SUM($D$11:D59)</f>
        <v>0</v>
      </c>
      <c r="G59" s="43" t="str">
        <f>IF(COUNT($D$11:D59)=0,"",F59/E59)</f>
        <v/>
      </c>
      <c r="H59" s="44" t="str">
        <f t="shared" si="11"/>
        <v/>
      </c>
      <c r="I59" s="45"/>
      <c r="J59" s="46" t="str">
        <f t="shared" si="12"/>
        <v/>
      </c>
      <c r="K59" s="45"/>
      <c r="L59" s="46" t="str">
        <f t="shared" si="13"/>
        <v/>
      </c>
      <c r="M59" s="45"/>
      <c r="N59" s="46" t="str">
        <f t="shared" si="14"/>
        <v/>
      </c>
      <c r="O59" s="45"/>
      <c r="P59" s="46" t="str">
        <f t="shared" si="15"/>
        <v/>
      </c>
      <c r="Q59" s="45"/>
      <c r="R59" s="46" t="str">
        <f t="shared" si="16"/>
        <v/>
      </c>
      <c r="S59" s="47"/>
      <c r="T59" s="46" t="str">
        <f t="shared" si="17"/>
        <v/>
      </c>
      <c r="U59" s="45"/>
      <c r="V59" s="46" t="str">
        <f t="shared" si="18"/>
        <v/>
      </c>
      <c r="W59" s="45"/>
      <c r="X59" s="46" t="str">
        <f t="shared" si="19"/>
        <v/>
      </c>
    </row>
    <row r="60" spans="1:24" x14ac:dyDescent="0.2">
      <c r="A60" s="21">
        <v>50</v>
      </c>
      <c r="B60" s="48">
        <v>46531</v>
      </c>
      <c r="C60" s="54">
        <f t="shared" si="10"/>
        <v>246.91358024691357</v>
      </c>
      <c r="D60" s="42"/>
      <c r="E60" s="54">
        <f>SUM($C$11:C60)</f>
        <v>12345.679012345679</v>
      </c>
      <c r="F60" s="54">
        <f>SUM($D$11:D60)</f>
        <v>0</v>
      </c>
      <c r="G60" s="50" t="str">
        <f>IF(COUNT($D$11:D60)=0,"",F60/E60)</f>
        <v/>
      </c>
      <c r="H60" s="51" t="str">
        <f t="shared" si="11"/>
        <v/>
      </c>
      <c r="I60" s="45"/>
      <c r="J60" s="52" t="str">
        <f t="shared" si="12"/>
        <v/>
      </c>
      <c r="K60" s="45"/>
      <c r="L60" s="52" t="str">
        <f t="shared" si="13"/>
        <v/>
      </c>
      <c r="M60" s="45"/>
      <c r="N60" s="52" t="str">
        <f t="shared" si="14"/>
        <v/>
      </c>
      <c r="O60" s="45"/>
      <c r="P60" s="52" t="str">
        <f t="shared" si="15"/>
        <v/>
      </c>
      <c r="Q60" s="45"/>
      <c r="R60" s="52" t="str">
        <f t="shared" si="16"/>
        <v/>
      </c>
      <c r="S60" s="47"/>
      <c r="T60" s="52" t="str">
        <f t="shared" si="17"/>
        <v/>
      </c>
      <c r="U60" s="45"/>
      <c r="V60" s="52" t="str">
        <f t="shared" si="18"/>
        <v/>
      </c>
      <c r="W60" s="45"/>
      <c r="X60" s="52" t="str">
        <f t="shared" si="19"/>
        <v/>
      </c>
    </row>
    <row r="61" spans="1:24" x14ac:dyDescent="0.2">
      <c r="A61" s="14">
        <v>51</v>
      </c>
      <c r="B61" s="40">
        <v>46538</v>
      </c>
      <c r="C61" s="53">
        <f t="shared" si="10"/>
        <v>246.91358024691357</v>
      </c>
      <c r="D61" s="42"/>
      <c r="E61" s="53">
        <f>SUM($C$11:C61)</f>
        <v>12592.592592592593</v>
      </c>
      <c r="F61" s="53">
        <f>SUM($D$11:D61)</f>
        <v>0</v>
      </c>
      <c r="G61" s="43" t="str">
        <f>IF(COUNT($D$11:D61)=0,"",F61/E61)</f>
        <v/>
      </c>
      <c r="H61" s="44" t="str">
        <f t="shared" si="11"/>
        <v/>
      </c>
      <c r="I61" s="45"/>
      <c r="J61" s="46" t="str">
        <f t="shared" si="12"/>
        <v/>
      </c>
      <c r="K61" s="45"/>
      <c r="L61" s="46" t="str">
        <f t="shared" si="13"/>
        <v/>
      </c>
      <c r="M61" s="45"/>
      <c r="N61" s="46" t="str">
        <f t="shared" si="14"/>
        <v/>
      </c>
      <c r="O61" s="45"/>
      <c r="P61" s="46" t="str">
        <f t="shared" si="15"/>
        <v/>
      </c>
      <c r="Q61" s="45"/>
      <c r="R61" s="46" t="str">
        <f t="shared" si="16"/>
        <v/>
      </c>
      <c r="S61" s="47"/>
      <c r="T61" s="46" t="str">
        <f t="shared" si="17"/>
        <v/>
      </c>
      <c r="U61" s="45"/>
      <c r="V61" s="46" t="str">
        <f t="shared" si="18"/>
        <v/>
      </c>
      <c r="W61" s="45"/>
      <c r="X61" s="46" t="str">
        <f t="shared" si="19"/>
        <v/>
      </c>
    </row>
    <row r="62" spans="1:24" x14ac:dyDescent="0.2">
      <c r="A62" s="21">
        <v>52</v>
      </c>
      <c r="B62" s="48">
        <v>46545</v>
      </c>
      <c r="C62" s="54">
        <f t="shared" si="10"/>
        <v>246.91358024691357</v>
      </c>
      <c r="D62" s="42"/>
      <c r="E62" s="54">
        <f>SUM($C$11:C62)</f>
        <v>12839.506172839507</v>
      </c>
      <c r="F62" s="54">
        <f>SUM($D$11:D62)</f>
        <v>0</v>
      </c>
      <c r="G62" s="50" t="str">
        <f>IF(COUNT($D$11:D62)=0,"",F62/E62)</f>
        <v/>
      </c>
      <c r="H62" s="51" t="str">
        <f t="shared" si="11"/>
        <v/>
      </c>
      <c r="I62" s="45"/>
      <c r="J62" s="52" t="str">
        <f t="shared" si="12"/>
        <v/>
      </c>
      <c r="K62" s="45"/>
      <c r="L62" s="52" t="str">
        <f t="shared" si="13"/>
        <v/>
      </c>
      <c r="M62" s="45"/>
      <c r="N62" s="52" t="str">
        <f t="shared" si="14"/>
        <v/>
      </c>
      <c r="O62" s="45"/>
      <c r="P62" s="52" t="str">
        <f t="shared" si="15"/>
        <v/>
      </c>
      <c r="Q62" s="45"/>
      <c r="R62" s="52" t="str">
        <f t="shared" si="16"/>
        <v/>
      </c>
      <c r="S62" s="47"/>
      <c r="T62" s="52" t="str">
        <f t="shared" si="17"/>
        <v/>
      </c>
      <c r="U62" s="45"/>
      <c r="V62" s="52" t="str">
        <f t="shared" si="18"/>
        <v/>
      </c>
      <c r="W62" s="45"/>
      <c r="X62" s="52" t="str">
        <f t="shared" si="19"/>
        <v/>
      </c>
    </row>
    <row r="63" spans="1:24" x14ac:dyDescent="0.2">
      <c r="A63" s="14">
        <v>53</v>
      </c>
      <c r="B63" s="40">
        <v>46552</v>
      </c>
      <c r="C63" s="53">
        <f t="shared" si="10"/>
        <v>246.91358024691357</v>
      </c>
      <c r="D63" s="42"/>
      <c r="E63" s="53">
        <f>SUM($C$11:C63)</f>
        <v>13086.41975308642</v>
      </c>
      <c r="F63" s="53">
        <f>SUM($D$11:D63)</f>
        <v>0</v>
      </c>
      <c r="G63" s="43" t="str">
        <f>IF(COUNT($D$11:D63)=0,"",F63/E63)</f>
        <v/>
      </c>
      <c r="H63" s="44" t="str">
        <f t="shared" si="11"/>
        <v/>
      </c>
      <c r="I63" s="45"/>
      <c r="J63" s="46" t="str">
        <f t="shared" si="12"/>
        <v/>
      </c>
      <c r="K63" s="45"/>
      <c r="L63" s="46" t="str">
        <f t="shared" si="13"/>
        <v/>
      </c>
      <c r="M63" s="45"/>
      <c r="N63" s="46" t="str">
        <f t="shared" si="14"/>
        <v/>
      </c>
      <c r="O63" s="45"/>
      <c r="P63" s="46" t="str">
        <f t="shared" si="15"/>
        <v/>
      </c>
      <c r="Q63" s="45"/>
      <c r="R63" s="46" t="str">
        <f t="shared" si="16"/>
        <v/>
      </c>
      <c r="S63" s="47"/>
      <c r="T63" s="46" t="str">
        <f t="shared" si="17"/>
        <v/>
      </c>
      <c r="U63" s="45"/>
      <c r="V63" s="46" t="str">
        <f t="shared" si="18"/>
        <v/>
      </c>
      <c r="W63" s="45"/>
      <c r="X63" s="46" t="str">
        <f t="shared" si="19"/>
        <v/>
      </c>
    </row>
    <row r="64" spans="1:24" x14ac:dyDescent="0.2">
      <c r="A64" s="21">
        <v>54</v>
      </c>
      <c r="B64" s="48">
        <v>46559</v>
      </c>
      <c r="C64" s="54">
        <f t="shared" si="10"/>
        <v>246.91358024691357</v>
      </c>
      <c r="D64" s="42"/>
      <c r="E64" s="54">
        <f>SUM($C$11:C64)</f>
        <v>13333.333333333334</v>
      </c>
      <c r="F64" s="54">
        <f>SUM($D$11:D64)</f>
        <v>0</v>
      </c>
      <c r="G64" s="50" t="str">
        <f>IF(COUNT($D$11:D64)=0,"",F64/E64)</f>
        <v/>
      </c>
      <c r="H64" s="51" t="str">
        <f t="shared" si="11"/>
        <v/>
      </c>
      <c r="I64" s="45"/>
      <c r="J64" s="52" t="str">
        <f t="shared" si="12"/>
        <v/>
      </c>
      <c r="K64" s="45"/>
      <c r="L64" s="52" t="str">
        <f t="shared" si="13"/>
        <v/>
      </c>
      <c r="M64" s="45"/>
      <c r="N64" s="52" t="str">
        <f t="shared" si="14"/>
        <v/>
      </c>
      <c r="O64" s="45"/>
      <c r="P64" s="52" t="str">
        <f t="shared" si="15"/>
        <v/>
      </c>
      <c r="Q64" s="45"/>
      <c r="R64" s="52" t="str">
        <f t="shared" si="16"/>
        <v/>
      </c>
      <c r="S64" s="47"/>
      <c r="T64" s="52" t="str">
        <f t="shared" si="17"/>
        <v/>
      </c>
      <c r="U64" s="45"/>
      <c r="V64" s="52" t="str">
        <f t="shared" si="18"/>
        <v/>
      </c>
      <c r="W64" s="45"/>
      <c r="X64" s="52" t="str">
        <f t="shared" si="19"/>
        <v/>
      </c>
    </row>
    <row r="65" spans="1:24" x14ac:dyDescent="0.2">
      <c r="A65" s="14">
        <v>55</v>
      </c>
      <c r="B65" s="40">
        <v>46566</v>
      </c>
      <c r="C65" s="53">
        <f t="shared" si="10"/>
        <v>246.91358024691357</v>
      </c>
      <c r="D65" s="42"/>
      <c r="E65" s="53">
        <f>SUM($C$11:C65)</f>
        <v>13580.246913580248</v>
      </c>
      <c r="F65" s="53">
        <f>SUM($D$11:D65)</f>
        <v>0</v>
      </c>
      <c r="G65" s="43" t="str">
        <f>IF(COUNT($D$11:D65)=0,"",F65/E65)</f>
        <v/>
      </c>
      <c r="H65" s="44" t="str">
        <f t="shared" si="11"/>
        <v/>
      </c>
      <c r="I65" s="45"/>
      <c r="J65" s="46" t="str">
        <f t="shared" si="12"/>
        <v/>
      </c>
      <c r="K65" s="45"/>
      <c r="L65" s="46" t="str">
        <f t="shared" si="13"/>
        <v/>
      </c>
      <c r="M65" s="45"/>
      <c r="N65" s="46" t="str">
        <f t="shared" si="14"/>
        <v/>
      </c>
      <c r="O65" s="45"/>
      <c r="P65" s="46" t="str">
        <f t="shared" si="15"/>
        <v/>
      </c>
      <c r="Q65" s="45"/>
      <c r="R65" s="46" t="str">
        <f t="shared" si="16"/>
        <v/>
      </c>
      <c r="S65" s="47"/>
      <c r="T65" s="46" t="str">
        <f t="shared" si="17"/>
        <v/>
      </c>
      <c r="U65" s="45"/>
      <c r="V65" s="46" t="str">
        <f t="shared" si="18"/>
        <v/>
      </c>
      <c r="W65" s="45"/>
      <c r="X65" s="46" t="str">
        <f t="shared" si="19"/>
        <v/>
      </c>
    </row>
    <row r="66" spans="1:24" x14ac:dyDescent="0.2">
      <c r="A66" s="21">
        <v>56</v>
      </c>
      <c r="B66" s="48">
        <v>46573</v>
      </c>
      <c r="C66" s="54">
        <f t="shared" si="10"/>
        <v>246.91358024691357</v>
      </c>
      <c r="D66" s="42"/>
      <c r="E66" s="54">
        <f>SUM($C$11:C66)</f>
        <v>13827.160493827161</v>
      </c>
      <c r="F66" s="54">
        <f>SUM($D$11:D66)</f>
        <v>0</v>
      </c>
      <c r="G66" s="50" t="str">
        <f>IF(COUNT($D$11:D66)=0,"",F66/E66)</f>
        <v/>
      </c>
      <c r="H66" s="51" t="str">
        <f t="shared" si="11"/>
        <v/>
      </c>
      <c r="I66" s="45"/>
      <c r="J66" s="52" t="str">
        <f t="shared" si="12"/>
        <v/>
      </c>
      <c r="K66" s="45"/>
      <c r="L66" s="52" t="str">
        <f t="shared" si="13"/>
        <v/>
      </c>
      <c r="M66" s="45"/>
      <c r="N66" s="52" t="str">
        <f t="shared" si="14"/>
        <v/>
      </c>
      <c r="O66" s="45"/>
      <c r="P66" s="52" t="str">
        <f t="shared" si="15"/>
        <v/>
      </c>
      <c r="Q66" s="45"/>
      <c r="R66" s="52" t="str">
        <f t="shared" si="16"/>
        <v/>
      </c>
      <c r="S66" s="47"/>
      <c r="T66" s="52" t="str">
        <f t="shared" si="17"/>
        <v/>
      </c>
      <c r="U66" s="45"/>
      <c r="V66" s="52" t="str">
        <f t="shared" si="18"/>
        <v/>
      </c>
      <c r="W66" s="45"/>
      <c r="X66" s="52" t="str">
        <f t="shared" si="19"/>
        <v/>
      </c>
    </row>
    <row r="67" spans="1:24" x14ac:dyDescent="0.2">
      <c r="A67" s="14">
        <v>57</v>
      </c>
      <c r="B67" s="40">
        <v>46580</v>
      </c>
      <c r="C67" s="53">
        <f t="shared" si="10"/>
        <v>246.91358024691357</v>
      </c>
      <c r="D67" s="42"/>
      <c r="E67" s="53">
        <f>SUM($C$11:C67)</f>
        <v>14074.074074074075</v>
      </c>
      <c r="F67" s="53">
        <f>SUM($D$11:D67)</f>
        <v>0</v>
      </c>
      <c r="G67" s="43" t="str">
        <f>IF(COUNT($D$11:D67)=0,"",F67/E67)</f>
        <v/>
      </c>
      <c r="H67" s="44" t="str">
        <f t="shared" si="11"/>
        <v/>
      </c>
      <c r="I67" s="45"/>
      <c r="J67" s="46" t="str">
        <f t="shared" si="12"/>
        <v/>
      </c>
      <c r="K67" s="45"/>
      <c r="L67" s="46" t="str">
        <f t="shared" si="13"/>
        <v/>
      </c>
      <c r="M67" s="45"/>
      <c r="N67" s="46" t="str">
        <f t="shared" si="14"/>
        <v/>
      </c>
      <c r="O67" s="45"/>
      <c r="P67" s="46" t="str">
        <f t="shared" si="15"/>
        <v/>
      </c>
      <c r="Q67" s="45"/>
      <c r="R67" s="46" t="str">
        <f t="shared" si="16"/>
        <v/>
      </c>
      <c r="S67" s="47"/>
      <c r="T67" s="46" t="str">
        <f t="shared" si="17"/>
        <v/>
      </c>
      <c r="U67" s="45"/>
      <c r="V67" s="46" t="str">
        <f t="shared" si="18"/>
        <v/>
      </c>
      <c r="W67" s="45"/>
      <c r="X67" s="46" t="str">
        <f t="shared" si="19"/>
        <v/>
      </c>
    </row>
    <row r="68" spans="1:24" x14ac:dyDescent="0.2">
      <c r="A68" s="21">
        <v>58</v>
      </c>
      <c r="B68" s="48">
        <v>46587</v>
      </c>
      <c r="C68" s="54">
        <f t="shared" si="10"/>
        <v>246.91358024691357</v>
      </c>
      <c r="D68" s="42"/>
      <c r="E68" s="54">
        <f>SUM($C$11:C68)</f>
        <v>14320.987654320988</v>
      </c>
      <c r="F68" s="54">
        <f>SUM($D$11:D68)</f>
        <v>0</v>
      </c>
      <c r="G68" s="50" t="str">
        <f>IF(COUNT($D$11:D68)=0,"",F68/E68)</f>
        <v/>
      </c>
      <c r="H68" s="51" t="str">
        <f t="shared" si="11"/>
        <v/>
      </c>
      <c r="I68" s="45"/>
      <c r="J68" s="52" t="str">
        <f t="shared" si="12"/>
        <v/>
      </c>
      <c r="K68" s="45"/>
      <c r="L68" s="52" t="str">
        <f t="shared" si="13"/>
        <v/>
      </c>
      <c r="M68" s="45"/>
      <c r="N68" s="52" t="str">
        <f t="shared" si="14"/>
        <v/>
      </c>
      <c r="O68" s="45"/>
      <c r="P68" s="52" t="str">
        <f t="shared" si="15"/>
        <v/>
      </c>
      <c r="Q68" s="45"/>
      <c r="R68" s="52" t="str">
        <f t="shared" si="16"/>
        <v/>
      </c>
      <c r="S68" s="47"/>
      <c r="T68" s="52" t="str">
        <f t="shared" si="17"/>
        <v/>
      </c>
      <c r="U68" s="45"/>
      <c r="V68" s="52" t="str">
        <f t="shared" si="18"/>
        <v/>
      </c>
      <c r="W68" s="45"/>
      <c r="X68" s="52" t="str">
        <f t="shared" si="19"/>
        <v/>
      </c>
    </row>
    <row r="69" spans="1:24" x14ac:dyDescent="0.2">
      <c r="A69" s="14">
        <v>59</v>
      </c>
      <c r="B69" s="40">
        <v>46594</v>
      </c>
      <c r="C69" s="53">
        <f t="shared" si="10"/>
        <v>246.91358024691357</v>
      </c>
      <c r="D69" s="42"/>
      <c r="E69" s="53">
        <f>SUM($C$11:C69)</f>
        <v>14567.901234567902</v>
      </c>
      <c r="F69" s="53">
        <f>SUM($D$11:D69)</f>
        <v>0</v>
      </c>
      <c r="G69" s="43" t="str">
        <f>IF(COUNT($D$11:D69)=0,"",F69/E69)</f>
        <v/>
      </c>
      <c r="H69" s="44" t="str">
        <f t="shared" si="11"/>
        <v/>
      </c>
      <c r="I69" s="45"/>
      <c r="J69" s="46" t="str">
        <f t="shared" si="12"/>
        <v/>
      </c>
      <c r="K69" s="45"/>
      <c r="L69" s="46" t="str">
        <f t="shared" si="13"/>
        <v/>
      </c>
      <c r="M69" s="45"/>
      <c r="N69" s="46" t="str">
        <f t="shared" si="14"/>
        <v/>
      </c>
      <c r="O69" s="45"/>
      <c r="P69" s="46" t="str">
        <f t="shared" si="15"/>
        <v/>
      </c>
      <c r="Q69" s="45"/>
      <c r="R69" s="46" t="str">
        <f t="shared" si="16"/>
        <v/>
      </c>
      <c r="S69" s="47"/>
      <c r="T69" s="46" t="str">
        <f t="shared" si="17"/>
        <v/>
      </c>
      <c r="U69" s="45"/>
      <c r="V69" s="46" t="str">
        <f t="shared" si="18"/>
        <v/>
      </c>
      <c r="W69" s="45"/>
      <c r="X69" s="46" t="str">
        <f t="shared" si="19"/>
        <v/>
      </c>
    </row>
    <row r="70" spans="1:24" x14ac:dyDescent="0.2">
      <c r="A70" s="21">
        <v>60</v>
      </c>
      <c r="B70" s="48">
        <v>46601</v>
      </c>
      <c r="C70" s="54">
        <f t="shared" si="10"/>
        <v>246.91358024691357</v>
      </c>
      <c r="D70" s="42"/>
      <c r="E70" s="54">
        <f>SUM($C$11:C70)</f>
        <v>14814.814814814816</v>
      </c>
      <c r="F70" s="54">
        <f>SUM($D$11:D70)</f>
        <v>0</v>
      </c>
      <c r="G70" s="50" t="str">
        <f>IF(COUNT($D$11:D70)=0,"",F70/E70)</f>
        <v/>
      </c>
      <c r="H70" s="51" t="str">
        <f t="shared" si="11"/>
        <v/>
      </c>
      <c r="I70" s="45"/>
      <c r="J70" s="52" t="str">
        <f t="shared" si="12"/>
        <v/>
      </c>
      <c r="K70" s="45"/>
      <c r="L70" s="52" t="str">
        <f t="shared" si="13"/>
        <v/>
      </c>
      <c r="M70" s="45"/>
      <c r="N70" s="52" t="str">
        <f t="shared" si="14"/>
        <v/>
      </c>
      <c r="O70" s="45"/>
      <c r="P70" s="52" t="str">
        <f t="shared" si="15"/>
        <v/>
      </c>
      <c r="Q70" s="45"/>
      <c r="R70" s="52" t="str">
        <f t="shared" si="16"/>
        <v/>
      </c>
      <c r="S70" s="47"/>
      <c r="T70" s="52" t="str">
        <f t="shared" si="17"/>
        <v/>
      </c>
      <c r="U70" s="45"/>
      <c r="V70" s="52" t="str">
        <f t="shared" si="18"/>
        <v/>
      </c>
      <c r="W70" s="45"/>
      <c r="X70" s="52" t="str">
        <f t="shared" si="19"/>
        <v/>
      </c>
    </row>
    <row r="71" spans="1:24" x14ac:dyDescent="0.2">
      <c r="A71" s="14">
        <v>61</v>
      </c>
      <c r="B71" s="40">
        <v>46608</v>
      </c>
      <c r="C71" s="53">
        <f t="shared" si="10"/>
        <v>246.91358024691357</v>
      </c>
      <c r="D71" s="42"/>
      <c r="E71" s="53">
        <f>SUM($C$11:C71)</f>
        <v>15061.728395061729</v>
      </c>
      <c r="F71" s="53">
        <f>SUM($D$11:D71)</f>
        <v>0</v>
      </c>
      <c r="G71" s="43" t="str">
        <f>IF(COUNT($D$11:D71)=0,"",F71/E71)</f>
        <v/>
      </c>
      <c r="H71" s="44" t="str">
        <f t="shared" si="11"/>
        <v/>
      </c>
      <c r="I71" s="45"/>
      <c r="J71" s="46" t="str">
        <f t="shared" si="12"/>
        <v/>
      </c>
      <c r="K71" s="45"/>
      <c r="L71" s="46" t="str">
        <f t="shared" si="13"/>
        <v/>
      </c>
      <c r="M71" s="45"/>
      <c r="N71" s="46" t="str">
        <f t="shared" si="14"/>
        <v/>
      </c>
      <c r="O71" s="45"/>
      <c r="P71" s="46" t="str">
        <f t="shared" si="15"/>
        <v/>
      </c>
      <c r="Q71" s="45"/>
      <c r="R71" s="46" t="str">
        <f t="shared" si="16"/>
        <v/>
      </c>
      <c r="S71" s="47"/>
      <c r="T71" s="46" t="str">
        <f t="shared" si="17"/>
        <v/>
      </c>
      <c r="U71" s="45"/>
      <c r="V71" s="46" t="str">
        <f t="shared" si="18"/>
        <v/>
      </c>
      <c r="W71" s="45"/>
      <c r="X71" s="46" t="str">
        <f t="shared" si="19"/>
        <v/>
      </c>
    </row>
    <row r="72" spans="1:24" x14ac:dyDescent="0.2">
      <c r="A72" s="21">
        <v>62</v>
      </c>
      <c r="B72" s="48">
        <v>46615</v>
      </c>
      <c r="C72" s="54">
        <f t="shared" si="10"/>
        <v>246.91358024691357</v>
      </c>
      <c r="D72" s="42"/>
      <c r="E72" s="54">
        <f>SUM($C$11:C72)</f>
        <v>15308.641975308643</v>
      </c>
      <c r="F72" s="54">
        <f>SUM($D$11:D72)</f>
        <v>0</v>
      </c>
      <c r="G72" s="50" t="str">
        <f>IF(COUNT($D$11:D72)=0,"",F72/E72)</f>
        <v/>
      </c>
      <c r="H72" s="51" t="str">
        <f t="shared" si="11"/>
        <v/>
      </c>
      <c r="I72" s="45"/>
      <c r="J72" s="52" t="str">
        <f t="shared" si="12"/>
        <v/>
      </c>
      <c r="K72" s="45"/>
      <c r="L72" s="52" t="str">
        <f t="shared" si="13"/>
        <v/>
      </c>
      <c r="M72" s="45"/>
      <c r="N72" s="52" t="str">
        <f t="shared" si="14"/>
        <v/>
      </c>
      <c r="O72" s="45"/>
      <c r="P72" s="52" t="str">
        <f t="shared" si="15"/>
        <v/>
      </c>
      <c r="Q72" s="45"/>
      <c r="R72" s="52" t="str">
        <f t="shared" si="16"/>
        <v/>
      </c>
      <c r="S72" s="47"/>
      <c r="T72" s="52" t="str">
        <f t="shared" si="17"/>
        <v/>
      </c>
      <c r="U72" s="45"/>
      <c r="V72" s="52" t="str">
        <f t="shared" si="18"/>
        <v/>
      </c>
      <c r="W72" s="45"/>
      <c r="X72" s="52" t="str">
        <f t="shared" si="19"/>
        <v/>
      </c>
    </row>
    <row r="73" spans="1:24" x14ac:dyDescent="0.2">
      <c r="A73" s="14">
        <v>63</v>
      </c>
      <c r="B73" s="40">
        <v>46622</v>
      </c>
      <c r="C73" s="53">
        <f t="shared" si="10"/>
        <v>246.91358024691357</v>
      </c>
      <c r="D73" s="42"/>
      <c r="E73" s="53">
        <f>SUM($C$11:C73)</f>
        <v>15555.555555555557</v>
      </c>
      <c r="F73" s="53">
        <f>SUM($D$11:D73)</f>
        <v>0</v>
      </c>
      <c r="G73" s="43" t="str">
        <f>IF(COUNT($D$11:D73)=0,"",F73/E73)</f>
        <v/>
      </c>
      <c r="H73" s="44" t="str">
        <f t="shared" si="11"/>
        <v/>
      </c>
      <c r="I73" s="45"/>
      <c r="J73" s="46" t="str">
        <f t="shared" si="12"/>
        <v/>
      </c>
      <c r="K73" s="45"/>
      <c r="L73" s="46" t="str">
        <f t="shared" si="13"/>
        <v/>
      </c>
      <c r="M73" s="45"/>
      <c r="N73" s="46" t="str">
        <f t="shared" si="14"/>
        <v/>
      </c>
      <c r="O73" s="45"/>
      <c r="P73" s="46" t="str">
        <f t="shared" si="15"/>
        <v/>
      </c>
      <c r="Q73" s="45"/>
      <c r="R73" s="46" t="str">
        <f t="shared" si="16"/>
        <v/>
      </c>
      <c r="S73" s="47"/>
      <c r="T73" s="46" t="str">
        <f t="shared" si="17"/>
        <v/>
      </c>
      <c r="U73" s="45"/>
      <c r="V73" s="46" t="str">
        <f t="shared" si="18"/>
        <v/>
      </c>
      <c r="W73" s="45"/>
      <c r="X73" s="46" t="str">
        <f t="shared" si="19"/>
        <v/>
      </c>
    </row>
    <row r="74" spans="1:24" x14ac:dyDescent="0.2">
      <c r="A74" s="21">
        <v>64</v>
      </c>
      <c r="B74" s="48">
        <v>46629</v>
      </c>
      <c r="C74" s="54">
        <f t="shared" si="10"/>
        <v>246.91358024691357</v>
      </c>
      <c r="D74" s="42"/>
      <c r="E74" s="54">
        <f>SUM($C$11:C74)</f>
        <v>15802.46913580247</v>
      </c>
      <c r="F74" s="54">
        <f>SUM($D$11:D74)</f>
        <v>0</v>
      </c>
      <c r="G74" s="50" t="str">
        <f>IF(COUNT($D$11:D74)=0,"",F74/E74)</f>
        <v/>
      </c>
      <c r="H74" s="51" t="str">
        <f t="shared" si="11"/>
        <v/>
      </c>
      <c r="I74" s="45"/>
      <c r="J74" s="52" t="str">
        <f t="shared" si="12"/>
        <v/>
      </c>
      <c r="K74" s="45"/>
      <c r="L74" s="52" t="str">
        <f t="shared" si="13"/>
        <v/>
      </c>
      <c r="M74" s="45"/>
      <c r="N74" s="52" t="str">
        <f t="shared" si="14"/>
        <v/>
      </c>
      <c r="O74" s="45"/>
      <c r="P74" s="52" t="str">
        <f t="shared" si="15"/>
        <v/>
      </c>
      <c r="Q74" s="45"/>
      <c r="R74" s="52" t="str">
        <f t="shared" si="16"/>
        <v/>
      </c>
      <c r="S74" s="47"/>
      <c r="T74" s="52" t="str">
        <f t="shared" si="17"/>
        <v/>
      </c>
      <c r="U74" s="45"/>
      <c r="V74" s="52" t="str">
        <f t="shared" si="18"/>
        <v/>
      </c>
      <c r="W74" s="45"/>
      <c r="X74" s="52" t="str">
        <f t="shared" si="19"/>
        <v/>
      </c>
    </row>
    <row r="75" spans="1:24" x14ac:dyDescent="0.2">
      <c r="A75" s="14">
        <v>65</v>
      </c>
      <c r="B75" s="40">
        <v>46636</v>
      </c>
      <c r="C75" s="53">
        <f t="shared" ref="C75:C91" si="20">$B$5/$B$8</f>
        <v>246.91358024691357</v>
      </c>
      <c r="D75" s="42"/>
      <c r="E75" s="53">
        <f>SUM($C$11:C75)</f>
        <v>16049.382716049384</v>
      </c>
      <c r="F75" s="53">
        <f>SUM($D$11:D75)</f>
        <v>0</v>
      </c>
      <c r="G75" s="43" t="str">
        <f>IF(COUNT($D$11:D75)=0,"",F75/E75)</f>
        <v/>
      </c>
      <c r="H75" s="44" t="str">
        <f t="shared" ref="H75:H106" si="21">IF(G75="","",IF(G75&gt;=0.95,"En meta",IF(G75&gt;=0.8,"Riesgo","Atrasado")))</f>
        <v/>
      </c>
      <c r="I75" s="45"/>
      <c r="J75" s="46" t="str">
        <f t="shared" ref="J75:J106" si="22">IF(I75="","",IF($I$9="","",IF($I$9=0,"",I75/$I$9)))</f>
        <v/>
      </c>
      <c r="K75" s="45"/>
      <c r="L75" s="46" t="str">
        <f t="shared" ref="L75:L106" si="23">IF(K75="","",IF($K$9="","",IF($K$9=0,"",K75/$K$9)))</f>
        <v/>
      </c>
      <c r="M75" s="45"/>
      <c r="N75" s="46" t="str">
        <f t="shared" ref="N75:N106" si="24">IF(M75="","",IF($M$9="","",IF($M$9=0,"",M75/$M$9)))</f>
        <v/>
      </c>
      <c r="O75" s="45"/>
      <c r="P75" s="46" t="str">
        <f t="shared" ref="P75:P106" si="25">IF(O75="","",IF($O$9="","",IF($O$9=0,"",O75/$O$9)))</f>
        <v/>
      </c>
      <c r="Q75" s="45"/>
      <c r="R75" s="46" t="str">
        <f t="shared" ref="R75:R106" si="26">IF(Q75="","",IF($Q$9="","",IF($Q$9=0,"",Q75/$Q$9)))</f>
        <v/>
      </c>
      <c r="S75" s="47"/>
      <c r="T75" s="46" t="str">
        <f t="shared" ref="T75:T106" si="27">IF(S75="","",IF($S$9="","",IF($S$9=0,"",S75/$S$9)))</f>
        <v/>
      </c>
      <c r="U75" s="45"/>
      <c r="V75" s="46" t="str">
        <f t="shared" ref="V75:V106" si="28">IF(U75="","",IF($U$9="","",IF($U$9=0,"",U75/$U$9)))</f>
        <v/>
      </c>
      <c r="W75" s="45"/>
      <c r="X75" s="46" t="str">
        <f t="shared" ref="X75:X106" si="29">IF(W75="","",IF($W$9="","",IF($W$9=0,"",W75/$W$9)))</f>
        <v/>
      </c>
    </row>
    <row r="76" spans="1:24" x14ac:dyDescent="0.2">
      <c r="A76" s="21">
        <v>66</v>
      </c>
      <c r="B76" s="48">
        <v>46643</v>
      </c>
      <c r="C76" s="54">
        <f t="shared" si="20"/>
        <v>246.91358024691357</v>
      </c>
      <c r="D76" s="42"/>
      <c r="E76" s="54">
        <f>SUM($C$11:C76)</f>
        <v>16296.296296296297</v>
      </c>
      <c r="F76" s="54">
        <f>SUM($D$11:D76)</f>
        <v>0</v>
      </c>
      <c r="G76" s="50" t="str">
        <f>IF(COUNT($D$11:D76)=0,"",F76/E76)</f>
        <v/>
      </c>
      <c r="H76" s="51" t="str">
        <f t="shared" si="21"/>
        <v/>
      </c>
      <c r="I76" s="45"/>
      <c r="J76" s="52" t="str">
        <f t="shared" si="22"/>
        <v/>
      </c>
      <c r="K76" s="45"/>
      <c r="L76" s="52" t="str">
        <f t="shared" si="23"/>
        <v/>
      </c>
      <c r="M76" s="45"/>
      <c r="N76" s="52" t="str">
        <f t="shared" si="24"/>
        <v/>
      </c>
      <c r="O76" s="45"/>
      <c r="P76" s="52" t="str">
        <f t="shared" si="25"/>
        <v/>
      </c>
      <c r="Q76" s="45"/>
      <c r="R76" s="52" t="str">
        <f t="shared" si="26"/>
        <v/>
      </c>
      <c r="S76" s="47"/>
      <c r="T76" s="52" t="str">
        <f t="shared" si="27"/>
        <v/>
      </c>
      <c r="U76" s="45"/>
      <c r="V76" s="52" t="str">
        <f t="shared" si="28"/>
        <v/>
      </c>
      <c r="W76" s="45"/>
      <c r="X76" s="52" t="str">
        <f t="shared" si="29"/>
        <v/>
      </c>
    </row>
    <row r="77" spans="1:24" x14ac:dyDescent="0.2">
      <c r="A77" s="14">
        <v>67</v>
      </c>
      <c r="B77" s="40">
        <v>46650</v>
      </c>
      <c r="C77" s="53">
        <f t="shared" si="20"/>
        <v>246.91358024691357</v>
      </c>
      <c r="D77" s="42"/>
      <c r="E77" s="53">
        <f>SUM($C$11:C77)</f>
        <v>16543.209876543209</v>
      </c>
      <c r="F77" s="53">
        <f>SUM($D$11:D77)</f>
        <v>0</v>
      </c>
      <c r="G77" s="43" t="str">
        <f>IF(COUNT($D$11:D77)=0,"",F77/E77)</f>
        <v/>
      </c>
      <c r="H77" s="44" t="str">
        <f t="shared" si="21"/>
        <v/>
      </c>
      <c r="I77" s="45"/>
      <c r="J77" s="46" t="str">
        <f t="shared" si="22"/>
        <v/>
      </c>
      <c r="K77" s="45"/>
      <c r="L77" s="46" t="str">
        <f t="shared" si="23"/>
        <v/>
      </c>
      <c r="M77" s="45"/>
      <c r="N77" s="46" t="str">
        <f t="shared" si="24"/>
        <v/>
      </c>
      <c r="O77" s="45"/>
      <c r="P77" s="46" t="str">
        <f t="shared" si="25"/>
        <v/>
      </c>
      <c r="Q77" s="45"/>
      <c r="R77" s="46" t="str">
        <f t="shared" si="26"/>
        <v/>
      </c>
      <c r="S77" s="47"/>
      <c r="T77" s="46" t="str">
        <f t="shared" si="27"/>
        <v/>
      </c>
      <c r="U77" s="45"/>
      <c r="V77" s="46" t="str">
        <f t="shared" si="28"/>
        <v/>
      </c>
      <c r="W77" s="45"/>
      <c r="X77" s="46" t="str">
        <f t="shared" si="29"/>
        <v/>
      </c>
    </row>
    <row r="78" spans="1:24" x14ac:dyDescent="0.2">
      <c r="A78" s="21">
        <v>68</v>
      </c>
      <c r="B78" s="48">
        <v>46657</v>
      </c>
      <c r="C78" s="54">
        <f t="shared" si="20"/>
        <v>246.91358024691357</v>
      </c>
      <c r="D78" s="42"/>
      <c r="E78" s="54">
        <f>SUM($C$11:C78)</f>
        <v>16790.123456790123</v>
      </c>
      <c r="F78" s="54">
        <f>SUM($D$11:D78)</f>
        <v>0</v>
      </c>
      <c r="G78" s="50" t="str">
        <f>IF(COUNT($D$11:D78)=0,"",F78/E78)</f>
        <v/>
      </c>
      <c r="H78" s="51" t="str">
        <f t="shared" si="21"/>
        <v/>
      </c>
      <c r="I78" s="45"/>
      <c r="J78" s="52" t="str">
        <f t="shared" si="22"/>
        <v/>
      </c>
      <c r="K78" s="45"/>
      <c r="L78" s="52" t="str">
        <f t="shared" si="23"/>
        <v/>
      </c>
      <c r="M78" s="45"/>
      <c r="N78" s="52" t="str">
        <f t="shared" si="24"/>
        <v/>
      </c>
      <c r="O78" s="45"/>
      <c r="P78" s="52" t="str">
        <f t="shared" si="25"/>
        <v/>
      </c>
      <c r="Q78" s="45"/>
      <c r="R78" s="52" t="str">
        <f t="shared" si="26"/>
        <v/>
      </c>
      <c r="S78" s="47"/>
      <c r="T78" s="52" t="str">
        <f t="shared" si="27"/>
        <v/>
      </c>
      <c r="U78" s="45"/>
      <c r="V78" s="52" t="str">
        <f t="shared" si="28"/>
        <v/>
      </c>
      <c r="W78" s="45"/>
      <c r="X78" s="52" t="str">
        <f t="shared" si="29"/>
        <v/>
      </c>
    </row>
    <row r="79" spans="1:24" x14ac:dyDescent="0.2">
      <c r="A79" s="14">
        <v>69</v>
      </c>
      <c r="B79" s="40">
        <v>46664</v>
      </c>
      <c r="C79" s="53">
        <f t="shared" si="20"/>
        <v>246.91358024691357</v>
      </c>
      <c r="D79" s="42"/>
      <c r="E79" s="53">
        <f>SUM($C$11:C79)</f>
        <v>17037.037037037036</v>
      </c>
      <c r="F79" s="53">
        <f>SUM($D$11:D79)</f>
        <v>0</v>
      </c>
      <c r="G79" s="43" t="str">
        <f>IF(COUNT($D$11:D79)=0,"",F79/E79)</f>
        <v/>
      </c>
      <c r="H79" s="44" t="str">
        <f t="shared" si="21"/>
        <v/>
      </c>
      <c r="I79" s="45"/>
      <c r="J79" s="46" t="str">
        <f t="shared" si="22"/>
        <v/>
      </c>
      <c r="K79" s="45"/>
      <c r="L79" s="46" t="str">
        <f t="shared" si="23"/>
        <v/>
      </c>
      <c r="M79" s="45"/>
      <c r="N79" s="46" t="str">
        <f t="shared" si="24"/>
        <v/>
      </c>
      <c r="O79" s="45"/>
      <c r="P79" s="46" t="str">
        <f t="shared" si="25"/>
        <v/>
      </c>
      <c r="Q79" s="45"/>
      <c r="R79" s="46" t="str">
        <f t="shared" si="26"/>
        <v/>
      </c>
      <c r="S79" s="47"/>
      <c r="T79" s="46" t="str">
        <f t="shared" si="27"/>
        <v/>
      </c>
      <c r="U79" s="45"/>
      <c r="V79" s="46" t="str">
        <f t="shared" si="28"/>
        <v/>
      </c>
      <c r="W79" s="45"/>
      <c r="X79" s="46" t="str">
        <f t="shared" si="29"/>
        <v/>
      </c>
    </row>
    <row r="80" spans="1:24" x14ac:dyDescent="0.2">
      <c r="A80" s="21">
        <v>70</v>
      </c>
      <c r="B80" s="48">
        <v>46671</v>
      </c>
      <c r="C80" s="54">
        <f t="shared" si="20"/>
        <v>246.91358024691357</v>
      </c>
      <c r="D80" s="42"/>
      <c r="E80" s="54">
        <f>SUM($C$11:C80)</f>
        <v>17283.95061728395</v>
      </c>
      <c r="F80" s="54">
        <f>SUM($D$11:D80)</f>
        <v>0</v>
      </c>
      <c r="G80" s="50" t="str">
        <f>IF(COUNT($D$11:D80)=0,"",F80/E80)</f>
        <v/>
      </c>
      <c r="H80" s="51" t="str">
        <f t="shared" si="21"/>
        <v/>
      </c>
      <c r="I80" s="45"/>
      <c r="J80" s="52" t="str">
        <f t="shared" si="22"/>
        <v/>
      </c>
      <c r="K80" s="45"/>
      <c r="L80" s="52" t="str">
        <f t="shared" si="23"/>
        <v/>
      </c>
      <c r="M80" s="45"/>
      <c r="N80" s="52" t="str">
        <f t="shared" si="24"/>
        <v/>
      </c>
      <c r="O80" s="45"/>
      <c r="P80" s="52" t="str">
        <f t="shared" si="25"/>
        <v/>
      </c>
      <c r="Q80" s="45"/>
      <c r="R80" s="52" t="str">
        <f t="shared" si="26"/>
        <v/>
      </c>
      <c r="S80" s="47"/>
      <c r="T80" s="52" t="str">
        <f t="shared" si="27"/>
        <v/>
      </c>
      <c r="U80" s="45"/>
      <c r="V80" s="52" t="str">
        <f t="shared" si="28"/>
        <v/>
      </c>
      <c r="W80" s="45"/>
      <c r="X80" s="52" t="str">
        <f t="shared" si="29"/>
        <v/>
      </c>
    </row>
    <row r="81" spans="1:24" x14ac:dyDescent="0.2">
      <c r="A81" s="14">
        <v>71</v>
      </c>
      <c r="B81" s="40">
        <v>46678</v>
      </c>
      <c r="C81" s="53">
        <f t="shared" si="20"/>
        <v>246.91358024691357</v>
      </c>
      <c r="D81" s="42"/>
      <c r="E81" s="53">
        <f>SUM($C$11:C81)</f>
        <v>17530.864197530864</v>
      </c>
      <c r="F81" s="53">
        <f>SUM($D$11:D81)</f>
        <v>0</v>
      </c>
      <c r="G81" s="43" t="str">
        <f>IF(COUNT($D$11:D81)=0,"",F81/E81)</f>
        <v/>
      </c>
      <c r="H81" s="44" t="str">
        <f t="shared" si="21"/>
        <v/>
      </c>
      <c r="I81" s="45"/>
      <c r="J81" s="46" t="str">
        <f t="shared" si="22"/>
        <v/>
      </c>
      <c r="K81" s="45"/>
      <c r="L81" s="46" t="str">
        <f t="shared" si="23"/>
        <v/>
      </c>
      <c r="M81" s="45"/>
      <c r="N81" s="46" t="str">
        <f t="shared" si="24"/>
        <v/>
      </c>
      <c r="O81" s="45"/>
      <c r="P81" s="46" t="str">
        <f t="shared" si="25"/>
        <v/>
      </c>
      <c r="Q81" s="45"/>
      <c r="R81" s="46" t="str">
        <f t="shared" si="26"/>
        <v/>
      </c>
      <c r="S81" s="47"/>
      <c r="T81" s="46" t="str">
        <f t="shared" si="27"/>
        <v/>
      </c>
      <c r="U81" s="45"/>
      <c r="V81" s="46" t="str">
        <f t="shared" si="28"/>
        <v/>
      </c>
      <c r="W81" s="45"/>
      <c r="X81" s="46" t="str">
        <f t="shared" si="29"/>
        <v/>
      </c>
    </row>
    <row r="82" spans="1:24" x14ac:dyDescent="0.2">
      <c r="A82" s="21">
        <v>72</v>
      </c>
      <c r="B82" s="48">
        <v>46685</v>
      </c>
      <c r="C82" s="54">
        <f t="shared" si="20"/>
        <v>246.91358024691357</v>
      </c>
      <c r="D82" s="42"/>
      <c r="E82" s="54">
        <f>SUM($C$11:C82)</f>
        <v>17777.777777777777</v>
      </c>
      <c r="F82" s="54">
        <f>SUM($D$11:D82)</f>
        <v>0</v>
      </c>
      <c r="G82" s="50" t="str">
        <f>IF(COUNT($D$11:D82)=0,"",F82/E82)</f>
        <v/>
      </c>
      <c r="H82" s="51" t="str">
        <f t="shared" si="21"/>
        <v/>
      </c>
      <c r="I82" s="45"/>
      <c r="J82" s="52" t="str">
        <f t="shared" si="22"/>
        <v/>
      </c>
      <c r="K82" s="45"/>
      <c r="L82" s="52" t="str">
        <f t="shared" si="23"/>
        <v/>
      </c>
      <c r="M82" s="45"/>
      <c r="N82" s="52" t="str">
        <f t="shared" si="24"/>
        <v/>
      </c>
      <c r="O82" s="45"/>
      <c r="P82" s="52" t="str">
        <f t="shared" si="25"/>
        <v/>
      </c>
      <c r="Q82" s="45"/>
      <c r="R82" s="52" t="str">
        <f t="shared" si="26"/>
        <v/>
      </c>
      <c r="S82" s="47"/>
      <c r="T82" s="52" t="str">
        <f t="shared" si="27"/>
        <v/>
      </c>
      <c r="U82" s="45"/>
      <c r="V82" s="52" t="str">
        <f t="shared" si="28"/>
        <v/>
      </c>
      <c r="W82" s="45"/>
      <c r="X82" s="52" t="str">
        <f t="shared" si="29"/>
        <v/>
      </c>
    </row>
    <row r="83" spans="1:24" x14ac:dyDescent="0.2">
      <c r="A83" s="14">
        <v>73</v>
      </c>
      <c r="B83" s="40">
        <v>46692</v>
      </c>
      <c r="C83" s="53">
        <f t="shared" si="20"/>
        <v>246.91358024691357</v>
      </c>
      <c r="D83" s="42"/>
      <c r="E83" s="53">
        <f>SUM($C$11:C83)</f>
        <v>18024.691358024691</v>
      </c>
      <c r="F83" s="53">
        <f>SUM($D$11:D83)</f>
        <v>0</v>
      </c>
      <c r="G83" s="43" t="str">
        <f>IF(COUNT($D$11:D83)=0,"",F83/E83)</f>
        <v/>
      </c>
      <c r="H83" s="44" t="str">
        <f t="shared" si="21"/>
        <v/>
      </c>
      <c r="I83" s="45"/>
      <c r="J83" s="46" t="str">
        <f t="shared" si="22"/>
        <v/>
      </c>
      <c r="K83" s="45"/>
      <c r="L83" s="46" t="str">
        <f t="shared" si="23"/>
        <v/>
      </c>
      <c r="M83" s="45"/>
      <c r="N83" s="46" t="str">
        <f t="shared" si="24"/>
        <v/>
      </c>
      <c r="O83" s="45"/>
      <c r="P83" s="46" t="str">
        <f t="shared" si="25"/>
        <v/>
      </c>
      <c r="Q83" s="45"/>
      <c r="R83" s="46" t="str">
        <f t="shared" si="26"/>
        <v/>
      </c>
      <c r="S83" s="47"/>
      <c r="T83" s="46" t="str">
        <f t="shared" si="27"/>
        <v/>
      </c>
      <c r="U83" s="45"/>
      <c r="V83" s="46" t="str">
        <f t="shared" si="28"/>
        <v/>
      </c>
      <c r="W83" s="45"/>
      <c r="X83" s="46" t="str">
        <f t="shared" si="29"/>
        <v/>
      </c>
    </row>
    <row r="84" spans="1:24" x14ac:dyDescent="0.2">
      <c r="A84" s="21">
        <v>74</v>
      </c>
      <c r="B84" s="48">
        <v>46699</v>
      </c>
      <c r="C84" s="54">
        <f t="shared" si="20"/>
        <v>246.91358024691357</v>
      </c>
      <c r="D84" s="42"/>
      <c r="E84" s="54">
        <f>SUM($C$11:C84)</f>
        <v>18271.604938271605</v>
      </c>
      <c r="F84" s="54">
        <f>SUM($D$11:D84)</f>
        <v>0</v>
      </c>
      <c r="G84" s="50" t="str">
        <f>IF(COUNT($D$11:D84)=0,"",F84/E84)</f>
        <v/>
      </c>
      <c r="H84" s="51" t="str">
        <f t="shared" si="21"/>
        <v/>
      </c>
      <c r="I84" s="45"/>
      <c r="J84" s="52" t="str">
        <f t="shared" si="22"/>
        <v/>
      </c>
      <c r="K84" s="45"/>
      <c r="L84" s="52" t="str">
        <f t="shared" si="23"/>
        <v/>
      </c>
      <c r="M84" s="45"/>
      <c r="N84" s="52" t="str">
        <f t="shared" si="24"/>
        <v/>
      </c>
      <c r="O84" s="45"/>
      <c r="P84" s="52" t="str">
        <f t="shared" si="25"/>
        <v/>
      </c>
      <c r="Q84" s="45"/>
      <c r="R84" s="52" t="str">
        <f t="shared" si="26"/>
        <v/>
      </c>
      <c r="S84" s="47"/>
      <c r="T84" s="52" t="str">
        <f t="shared" si="27"/>
        <v/>
      </c>
      <c r="U84" s="45"/>
      <c r="V84" s="52" t="str">
        <f t="shared" si="28"/>
        <v/>
      </c>
      <c r="W84" s="45"/>
      <c r="X84" s="52" t="str">
        <f t="shared" si="29"/>
        <v/>
      </c>
    </row>
    <row r="85" spans="1:24" x14ac:dyDescent="0.2">
      <c r="A85" s="14">
        <v>75</v>
      </c>
      <c r="B85" s="40">
        <v>46706</v>
      </c>
      <c r="C85" s="53">
        <f t="shared" si="20"/>
        <v>246.91358024691357</v>
      </c>
      <c r="D85" s="42"/>
      <c r="E85" s="53">
        <f>SUM($C$11:C85)</f>
        <v>18518.518518518518</v>
      </c>
      <c r="F85" s="53">
        <f>SUM($D$11:D85)</f>
        <v>0</v>
      </c>
      <c r="G85" s="43" t="str">
        <f>IF(COUNT($D$11:D85)=0,"",F85/E85)</f>
        <v/>
      </c>
      <c r="H85" s="44" t="str">
        <f t="shared" si="21"/>
        <v/>
      </c>
      <c r="I85" s="45"/>
      <c r="J85" s="46" t="str">
        <f t="shared" si="22"/>
        <v/>
      </c>
      <c r="K85" s="45"/>
      <c r="L85" s="46" t="str">
        <f t="shared" si="23"/>
        <v/>
      </c>
      <c r="M85" s="45"/>
      <c r="N85" s="46" t="str">
        <f t="shared" si="24"/>
        <v/>
      </c>
      <c r="O85" s="45"/>
      <c r="P85" s="46" t="str">
        <f t="shared" si="25"/>
        <v/>
      </c>
      <c r="Q85" s="45"/>
      <c r="R85" s="46" t="str">
        <f t="shared" si="26"/>
        <v/>
      </c>
      <c r="S85" s="47"/>
      <c r="T85" s="46" t="str">
        <f t="shared" si="27"/>
        <v/>
      </c>
      <c r="U85" s="45"/>
      <c r="V85" s="46" t="str">
        <f t="shared" si="28"/>
        <v/>
      </c>
      <c r="W85" s="45"/>
      <c r="X85" s="46" t="str">
        <f t="shared" si="29"/>
        <v/>
      </c>
    </row>
    <row r="86" spans="1:24" x14ac:dyDescent="0.2">
      <c r="A86" s="21">
        <v>76</v>
      </c>
      <c r="B86" s="48">
        <v>46713</v>
      </c>
      <c r="C86" s="54">
        <f t="shared" si="20"/>
        <v>246.91358024691357</v>
      </c>
      <c r="D86" s="42"/>
      <c r="E86" s="54">
        <f>SUM($C$11:C86)</f>
        <v>18765.432098765432</v>
      </c>
      <c r="F86" s="54">
        <f>SUM($D$11:D86)</f>
        <v>0</v>
      </c>
      <c r="G86" s="50" t="str">
        <f>IF(COUNT($D$11:D86)=0,"",F86/E86)</f>
        <v/>
      </c>
      <c r="H86" s="51" t="str">
        <f t="shared" si="21"/>
        <v/>
      </c>
      <c r="I86" s="45"/>
      <c r="J86" s="52" t="str">
        <f t="shared" si="22"/>
        <v/>
      </c>
      <c r="K86" s="45"/>
      <c r="L86" s="52" t="str">
        <f t="shared" si="23"/>
        <v/>
      </c>
      <c r="M86" s="45"/>
      <c r="N86" s="52" t="str">
        <f t="shared" si="24"/>
        <v/>
      </c>
      <c r="O86" s="45"/>
      <c r="P86" s="52" t="str">
        <f t="shared" si="25"/>
        <v/>
      </c>
      <c r="Q86" s="45"/>
      <c r="R86" s="52" t="str">
        <f t="shared" si="26"/>
        <v/>
      </c>
      <c r="S86" s="47"/>
      <c r="T86" s="52" t="str">
        <f t="shared" si="27"/>
        <v/>
      </c>
      <c r="U86" s="45"/>
      <c r="V86" s="52" t="str">
        <f t="shared" si="28"/>
        <v/>
      </c>
      <c r="W86" s="45"/>
      <c r="X86" s="52" t="str">
        <f t="shared" si="29"/>
        <v/>
      </c>
    </row>
    <row r="87" spans="1:24" x14ac:dyDescent="0.2">
      <c r="A87" s="14">
        <v>77</v>
      </c>
      <c r="B87" s="40">
        <v>46720</v>
      </c>
      <c r="C87" s="53">
        <f t="shared" si="20"/>
        <v>246.91358024691357</v>
      </c>
      <c r="D87" s="42"/>
      <c r="E87" s="53">
        <f>SUM($C$11:C87)</f>
        <v>19012.345679012345</v>
      </c>
      <c r="F87" s="53">
        <f>SUM($D$11:D87)</f>
        <v>0</v>
      </c>
      <c r="G87" s="43" t="str">
        <f>IF(COUNT($D$11:D87)=0,"",F87/E87)</f>
        <v/>
      </c>
      <c r="H87" s="44" t="str">
        <f t="shared" si="21"/>
        <v/>
      </c>
      <c r="I87" s="45"/>
      <c r="J87" s="46" t="str">
        <f t="shared" si="22"/>
        <v/>
      </c>
      <c r="K87" s="45"/>
      <c r="L87" s="46" t="str">
        <f t="shared" si="23"/>
        <v/>
      </c>
      <c r="M87" s="45"/>
      <c r="N87" s="46" t="str">
        <f t="shared" si="24"/>
        <v/>
      </c>
      <c r="O87" s="45"/>
      <c r="P87" s="46" t="str">
        <f t="shared" si="25"/>
        <v/>
      </c>
      <c r="Q87" s="45"/>
      <c r="R87" s="46" t="str">
        <f t="shared" si="26"/>
        <v/>
      </c>
      <c r="S87" s="47"/>
      <c r="T87" s="46" t="str">
        <f t="shared" si="27"/>
        <v/>
      </c>
      <c r="U87" s="45"/>
      <c r="V87" s="46" t="str">
        <f t="shared" si="28"/>
        <v/>
      </c>
      <c r="W87" s="45"/>
      <c r="X87" s="46" t="str">
        <f t="shared" si="29"/>
        <v/>
      </c>
    </row>
    <row r="88" spans="1:24" x14ac:dyDescent="0.2">
      <c r="A88" s="21">
        <v>78</v>
      </c>
      <c r="B88" s="48">
        <v>46727</v>
      </c>
      <c r="C88" s="54">
        <f t="shared" si="20"/>
        <v>246.91358024691357</v>
      </c>
      <c r="D88" s="42"/>
      <c r="E88" s="54">
        <f>SUM($C$11:C88)</f>
        <v>19259.259259259259</v>
      </c>
      <c r="F88" s="54">
        <f>SUM($D$11:D88)</f>
        <v>0</v>
      </c>
      <c r="G88" s="50" t="str">
        <f>IF(COUNT($D$11:D88)=0,"",F88/E88)</f>
        <v/>
      </c>
      <c r="H88" s="51" t="str">
        <f t="shared" si="21"/>
        <v/>
      </c>
      <c r="I88" s="45"/>
      <c r="J88" s="52" t="str">
        <f t="shared" si="22"/>
        <v/>
      </c>
      <c r="K88" s="45"/>
      <c r="L88" s="52" t="str">
        <f t="shared" si="23"/>
        <v/>
      </c>
      <c r="M88" s="45"/>
      <c r="N88" s="52" t="str">
        <f t="shared" si="24"/>
        <v/>
      </c>
      <c r="O88" s="45"/>
      <c r="P88" s="52" t="str">
        <f t="shared" si="25"/>
        <v/>
      </c>
      <c r="Q88" s="45"/>
      <c r="R88" s="52" t="str">
        <f t="shared" si="26"/>
        <v/>
      </c>
      <c r="S88" s="47"/>
      <c r="T88" s="52" t="str">
        <f t="shared" si="27"/>
        <v/>
      </c>
      <c r="U88" s="45"/>
      <c r="V88" s="52" t="str">
        <f t="shared" si="28"/>
        <v/>
      </c>
      <c r="W88" s="45"/>
      <c r="X88" s="52" t="str">
        <f t="shared" si="29"/>
        <v/>
      </c>
    </row>
    <row r="89" spans="1:24" x14ac:dyDescent="0.2">
      <c r="A89" s="14">
        <v>79</v>
      </c>
      <c r="B89" s="40">
        <v>46734</v>
      </c>
      <c r="C89" s="53">
        <f t="shared" si="20"/>
        <v>246.91358024691357</v>
      </c>
      <c r="D89" s="42"/>
      <c r="E89" s="53">
        <f>SUM($C$11:C89)</f>
        <v>19506.172839506173</v>
      </c>
      <c r="F89" s="53">
        <f>SUM($D$11:D89)</f>
        <v>0</v>
      </c>
      <c r="G89" s="43" t="str">
        <f>IF(COUNT($D$11:D89)=0,"",F89/E89)</f>
        <v/>
      </c>
      <c r="H89" s="44" t="str">
        <f t="shared" si="21"/>
        <v/>
      </c>
      <c r="I89" s="45"/>
      <c r="J89" s="46" t="str">
        <f t="shared" si="22"/>
        <v/>
      </c>
      <c r="K89" s="45"/>
      <c r="L89" s="46" t="str">
        <f t="shared" si="23"/>
        <v/>
      </c>
      <c r="M89" s="45"/>
      <c r="N89" s="46" t="str">
        <f t="shared" si="24"/>
        <v/>
      </c>
      <c r="O89" s="45"/>
      <c r="P89" s="46" t="str">
        <f t="shared" si="25"/>
        <v/>
      </c>
      <c r="Q89" s="45"/>
      <c r="R89" s="46" t="str">
        <f t="shared" si="26"/>
        <v/>
      </c>
      <c r="S89" s="47"/>
      <c r="T89" s="46" t="str">
        <f t="shared" si="27"/>
        <v/>
      </c>
      <c r="U89" s="45"/>
      <c r="V89" s="46" t="str">
        <f t="shared" si="28"/>
        <v/>
      </c>
      <c r="W89" s="45"/>
      <c r="X89" s="46" t="str">
        <f t="shared" si="29"/>
        <v/>
      </c>
    </row>
    <row r="90" spans="1:24" x14ac:dyDescent="0.2">
      <c r="A90" s="21">
        <v>80</v>
      </c>
      <c r="B90" s="48">
        <v>46741</v>
      </c>
      <c r="C90" s="54">
        <f t="shared" si="20"/>
        <v>246.91358024691357</v>
      </c>
      <c r="D90" s="42"/>
      <c r="E90" s="54">
        <f>SUM($C$11:C90)</f>
        <v>19753.086419753086</v>
      </c>
      <c r="F90" s="54">
        <f>SUM($D$11:D90)</f>
        <v>0</v>
      </c>
      <c r="G90" s="50" t="str">
        <f>IF(COUNT($D$11:D90)=0,"",F90/E90)</f>
        <v/>
      </c>
      <c r="H90" s="51" t="str">
        <f t="shared" si="21"/>
        <v/>
      </c>
      <c r="I90" s="45"/>
      <c r="J90" s="52" t="str">
        <f t="shared" si="22"/>
        <v/>
      </c>
      <c r="K90" s="45"/>
      <c r="L90" s="52" t="str">
        <f t="shared" si="23"/>
        <v/>
      </c>
      <c r="M90" s="45"/>
      <c r="N90" s="52" t="str">
        <f t="shared" si="24"/>
        <v/>
      </c>
      <c r="O90" s="45"/>
      <c r="P90" s="52" t="str">
        <f t="shared" si="25"/>
        <v/>
      </c>
      <c r="Q90" s="45"/>
      <c r="R90" s="52" t="str">
        <f t="shared" si="26"/>
        <v/>
      </c>
      <c r="S90" s="47"/>
      <c r="T90" s="52" t="str">
        <f t="shared" si="27"/>
        <v/>
      </c>
      <c r="U90" s="45"/>
      <c r="V90" s="52" t="str">
        <f t="shared" si="28"/>
        <v/>
      </c>
      <c r="W90" s="45"/>
      <c r="X90" s="52" t="str">
        <f t="shared" si="29"/>
        <v/>
      </c>
    </row>
    <row r="91" spans="1:24" x14ac:dyDescent="0.2">
      <c r="A91" s="14">
        <v>81</v>
      </c>
      <c r="B91" s="40">
        <v>46748</v>
      </c>
      <c r="C91" s="53">
        <f t="shared" si="20"/>
        <v>246.91358024691357</v>
      </c>
      <c r="D91" s="42"/>
      <c r="E91" s="53">
        <f>SUM($C$11:C91)</f>
        <v>20000</v>
      </c>
      <c r="F91" s="53">
        <f>SUM($D$11:D91)</f>
        <v>0</v>
      </c>
      <c r="G91" s="43" t="str">
        <f>IF(COUNT($D$11:D91)=0,"",F91/E91)</f>
        <v/>
      </c>
      <c r="H91" s="44" t="str">
        <f t="shared" si="21"/>
        <v/>
      </c>
      <c r="I91" s="45"/>
      <c r="J91" s="46" t="str">
        <f t="shared" si="22"/>
        <v/>
      </c>
      <c r="K91" s="45"/>
      <c r="L91" s="46" t="str">
        <f t="shared" si="23"/>
        <v/>
      </c>
      <c r="M91" s="45"/>
      <c r="N91" s="46" t="str">
        <f t="shared" si="24"/>
        <v/>
      </c>
      <c r="O91" s="45"/>
      <c r="P91" s="46" t="str">
        <f t="shared" si="25"/>
        <v/>
      </c>
      <c r="Q91" s="45"/>
      <c r="R91" s="46" t="str">
        <f t="shared" si="26"/>
        <v/>
      </c>
      <c r="S91" s="47"/>
      <c r="T91" s="46" t="str">
        <f t="shared" si="27"/>
        <v/>
      </c>
      <c r="U91" s="45"/>
      <c r="V91" s="46" t="str">
        <f t="shared" si="28"/>
        <v/>
      </c>
      <c r="W91" s="45"/>
      <c r="X91" s="46" t="str">
        <f t="shared" si="29"/>
        <v/>
      </c>
    </row>
  </sheetData>
  <mergeCells count="17">
    <mergeCell ref="A1:X1"/>
    <mergeCell ref="I8:J8"/>
    <mergeCell ref="O9:P9"/>
    <mergeCell ref="I9:J9"/>
    <mergeCell ref="W9:X9"/>
    <mergeCell ref="Q8:R8"/>
    <mergeCell ref="M8:N8"/>
    <mergeCell ref="U8:V8"/>
    <mergeCell ref="S8:T8"/>
    <mergeCell ref="W8:X8"/>
    <mergeCell ref="U9:V9"/>
    <mergeCell ref="K8:L8"/>
    <mergeCell ref="S9:T9"/>
    <mergeCell ref="O8:P8"/>
    <mergeCell ref="K9:L9"/>
    <mergeCell ref="M9:N9"/>
    <mergeCell ref="Q9:R9"/>
  </mergeCells>
  <conditionalFormatting sqref="H11:H91">
    <cfRule type="containsText" dxfId="16" priority="1" operator="containsText" text="En meta">
      <formula>NOT(ISERROR(SEARCH("En meta",H11)))</formula>
    </cfRule>
    <cfRule type="containsText" dxfId="15" priority="2" operator="containsText" text="Riesgo">
      <formula>NOT(ISERROR(SEARCH("Riesgo",H11)))</formula>
    </cfRule>
    <cfRule type="containsText" dxfId="14" priority="3" operator="containsText" text="Atrasado">
      <formula>NOT(ISERROR(SEARCH("Atrasado",H11)))</formula>
    </cfRule>
  </conditionalFormatting>
  <pageMargins left="0.75" right="0.75" top="1" bottom="1" header="0.5" footer="0.5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X91"/>
  <sheetViews>
    <sheetView showGridLines="0" workbookViewId="0">
      <pane xSplit="2" ySplit="10" topLeftCell="C11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5" customWidth="1"/>
    <col min="2" max="2" width="11" customWidth="1"/>
    <col min="3" max="3" width="12" customWidth="1"/>
    <col min="4" max="4" width="11" customWidth="1"/>
    <col min="5" max="6" width="12" customWidth="1"/>
    <col min="7" max="7" width="13" customWidth="1"/>
    <col min="8" max="9" width="11" customWidth="1"/>
    <col min="10" max="10" width="7" customWidth="1"/>
    <col min="11" max="11" width="11" customWidth="1"/>
    <col min="12" max="12" width="7" customWidth="1"/>
    <col min="13" max="13" width="11" customWidth="1"/>
    <col min="14" max="14" width="7" customWidth="1"/>
    <col min="15" max="15" width="11" customWidth="1"/>
    <col min="16" max="16" width="7" customWidth="1"/>
    <col min="17" max="17" width="11" customWidth="1"/>
    <col min="18" max="18" width="7" customWidth="1"/>
    <col min="19" max="19" width="11" customWidth="1"/>
    <col min="20" max="20" width="7" customWidth="1"/>
    <col min="21" max="21" width="11" customWidth="1"/>
    <col min="22" max="22" width="7" customWidth="1"/>
    <col min="23" max="23" width="11" customWidth="1"/>
    <col min="24" max="24" width="7" customWidth="1"/>
  </cols>
  <sheetData>
    <row r="1" spans="1:24" ht="18" x14ac:dyDescent="0.2">
      <c r="A1" s="79" t="s">
        <v>113</v>
      </c>
      <c r="B1" s="73"/>
      <c r="C1" s="73"/>
      <c r="D1" s="73"/>
      <c r="E1" s="73"/>
      <c r="F1" s="73"/>
      <c r="G1" s="73"/>
      <c r="H1" s="73"/>
      <c r="I1" s="73"/>
      <c r="J1" s="73"/>
      <c r="K1" s="73"/>
      <c r="L1" s="73"/>
      <c r="M1" s="73"/>
      <c r="N1" s="73"/>
      <c r="O1" s="73"/>
      <c r="P1" s="73"/>
      <c r="Q1" s="73"/>
      <c r="R1" s="73"/>
      <c r="S1" s="73"/>
      <c r="T1" s="73"/>
      <c r="U1" s="73"/>
      <c r="V1" s="73"/>
      <c r="W1" s="73"/>
      <c r="X1" s="73"/>
    </row>
    <row r="2" spans="1:24" x14ac:dyDescent="0.2">
      <c r="A2" s="1" t="s">
        <v>46</v>
      </c>
      <c r="B2" s="32" t="s">
        <v>114</v>
      </c>
    </row>
    <row r="3" spans="1:24" x14ac:dyDescent="0.2">
      <c r="A3" s="1" t="s">
        <v>48</v>
      </c>
      <c r="B3" s="32" t="s">
        <v>115</v>
      </c>
    </row>
    <row r="4" spans="1:24" x14ac:dyDescent="0.2">
      <c r="A4" s="1" t="s">
        <v>50</v>
      </c>
      <c r="B4" s="33" t="s">
        <v>51</v>
      </c>
      <c r="D4" s="1" t="s">
        <v>52</v>
      </c>
      <c r="E4" s="32" t="s">
        <v>34</v>
      </c>
    </row>
    <row r="5" spans="1:24" x14ac:dyDescent="0.2">
      <c r="A5" s="1" t="s">
        <v>53</v>
      </c>
      <c r="B5" s="34">
        <v>0</v>
      </c>
      <c r="D5" s="1" t="s">
        <v>54</v>
      </c>
      <c r="E5" s="35">
        <v>46188</v>
      </c>
      <c r="G5" s="1" t="s">
        <v>55</v>
      </c>
      <c r="H5" s="35">
        <v>46748</v>
      </c>
    </row>
    <row r="6" spans="1:24" x14ac:dyDescent="0.2">
      <c r="A6" s="1" t="s">
        <v>56</v>
      </c>
      <c r="B6" s="32" t="s">
        <v>57</v>
      </c>
    </row>
    <row r="8" spans="1:24" ht="42" customHeight="1" x14ac:dyDescent="0.2">
      <c r="A8" s="1" t="s">
        <v>58</v>
      </c>
      <c r="B8" s="36">
        <f>COUNT(A11:A91)</f>
        <v>81</v>
      </c>
      <c r="H8" s="37" t="s">
        <v>59</v>
      </c>
      <c r="I8" s="75" t="s">
        <v>116</v>
      </c>
      <c r="J8" s="76"/>
      <c r="K8" s="75" t="s">
        <v>117</v>
      </c>
      <c r="L8" s="76"/>
      <c r="M8" s="75" t="s">
        <v>118</v>
      </c>
      <c r="N8" s="76"/>
      <c r="O8" s="75" t="s">
        <v>119</v>
      </c>
      <c r="P8" s="76"/>
      <c r="Q8" s="75" t="s">
        <v>120</v>
      </c>
      <c r="R8" s="76"/>
      <c r="S8" s="75" t="s">
        <v>121</v>
      </c>
      <c r="T8" s="76"/>
      <c r="U8" s="75" t="s">
        <v>67</v>
      </c>
      <c r="V8" s="76"/>
      <c r="W8" s="75" t="s">
        <v>67</v>
      </c>
      <c r="X8" s="76"/>
    </row>
    <row r="9" spans="1:24" x14ac:dyDescent="0.2">
      <c r="A9" s="38" t="s">
        <v>68</v>
      </c>
      <c r="H9" s="37" t="s">
        <v>69</v>
      </c>
      <c r="I9" s="77">
        <v>1</v>
      </c>
      <c r="J9" s="76"/>
      <c r="K9" s="78">
        <v>2</v>
      </c>
      <c r="L9" s="76"/>
      <c r="M9" s="78">
        <v>3</v>
      </c>
      <c r="N9" s="76"/>
      <c r="O9" s="78">
        <v>1</v>
      </c>
      <c r="P9" s="76"/>
      <c r="Q9" s="77">
        <v>1</v>
      </c>
      <c r="R9" s="76"/>
      <c r="S9" s="78">
        <v>1</v>
      </c>
      <c r="T9" s="76"/>
      <c r="U9" s="78"/>
      <c r="V9" s="76"/>
      <c r="W9" s="78"/>
      <c r="X9" s="76"/>
    </row>
    <row r="10" spans="1:24" x14ac:dyDescent="0.2">
      <c r="A10" s="3" t="s">
        <v>11</v>
      </c>
      <c r="B10" s="3" t="s">
        <v>70</v>
      </c>
      <c r="C10" s="3" t="s">
        <v>15</v>
      </c>
      <c r="D10" s="3" t="s">
        <v>72</v>
      </c>
      <c r="E10" s="3"/>
      <c r="F10" s="3"/>
      <c r="G10" s="3" t="s">
        <v>103</v>
      </c>
      <c r="H10" s="3" t="s">
        <v>9</v>
      </c>
      <c r="I10" s="39" t="s">
        <v>72</v>
      </c>
      <c r="J10" s="39" t="s">
        <v>73</v>
      </c>
      <c r="K10" s="39" t="s">
        <v>72</v>
      </c>
      <c r="L10" s="39" t="s">
        <v>73</v>
      </c>
      <c r="M10" s="39" t="s">
        <v>72</v>
      </c>
      <c r="N10" s="39" t="s">
        <v>73</v>
      </c>
      <c r="O10" s="39" t="s">
        <v>72</v>
      </c>
      <c r="P10" s="39" t="s">
        <v>73</v>
      </c>
      <c r="Q10" s="39" t="s">
        <v>72</v>
      </c>
      <c r="R10" s="39" t="s">
        <v>73</v>
      </c>
      <c r="S10" s="39" t="s">
        <v>72</v>
      </c>
      <c r="T10" s="39" t="s">
        <v>73</v>
      </c>
      <c r="U10" s="39" t="s">
        <v>72</v>
      </c>
      <c r="V10" s="39" t="s">
        <v>73</v>
      </c>
      <c r="W10" s="39" t="s">
        <v>72</v>
      </c>
      <c r="X10" s="39" t="s">
        <v>73</v>
      </c>
    </row>
    <row r="11" spans="1:24" x14ac:dyDescent="0.2">
      <c r="A11" s="14">
        <v>1</v>
      </c>
      <c r="B11" s="40">
        <v>46188</v>
      </c>
      <c r="C11" s="41">
        <f t="shared" ref="C11:C42" si="0">$B$5</f>
        <v>0</v>
      </c>
      <c r="D11" s="42"/>
      <c r="E11" s="14"/>
      <c r="F11" s="14"/>
      <c r="G11" s="59" t="str">
        <f t="shared" ref="G11:G42" si="1">IF(D11="","",D11-C11)</f>
        <v/>
      </c>
      <c r="H11" s="44" t="str">
        <f t="shared" ref="H11:H42" si="2">IF(D11="","",IF(D11&lt;=C11,"En meta",IF(D11&lt;=C11+1,"Riesgo","Atrasado")))</f>
        <v/>
      </c>
      <c r="I11" s="47"/>
      <c r="J11" s="46" t="str">
        <f t="shared" ref="J11:J42" si="3">IF(I11="","",IF($I$9="","",IF($I$9=0,"",I11/$I$9)))</f>
        <v/>
      </c>
      <c r="K11" s="45"/>
      <c r="L11" s="46" t="str">
        <f t="shared" ref="L11:L42" si="4">IF(K11="","",IF($K$9="","",IF($K$9=0,"",K11/$K$9)))</f>
        <v/>
      </c>
      <c r="M11" s="45"/>
      <c r="N11" s="46" t="str">
        <f t="shared" ref="N11:N42" si="5">IF(M11="","",IF($M$9="","",IF($M$9=0,"",M11/$M$9)))</f>
        <v/>
      </c>
      <c r="O11" s="45"/>
      <c r="P11" s="46" t="str">
        <f t="shared" ref="P11:P42" si="6">IF(O11="","",IF($O$9="","",IF($O$9=0,"",O11/$O$9)))</f>
        <v/>
      </c>
      <c r="Q11" s="47"/>
      <c r="R11" s="46" t="str">
        <f t="shared" ref="R11:R42" si="7">IF(Q11="","",IF($Q$9="","",IF($Q$9=0,"",Q11/$Q$9)))</f>
        <v/>
      </c>
      <c r="S11" s="45"/>
      <c r="T11" s="46" t="str">
        <f t="shared" ref="T11:T42" si="8">IF(S11="","",IF($S$9="","",IF($S$9=0,"",S11/$S$9)))</f>
        <v/>
      </c>
      <c r="U11" s="45"/>
      <c r="V11" s="46" t="str">
        <f t="shared" ref="V11:V42" si="9">IF(U11="","",IF($U$9="","",IF($U$9=0,"",U11/$U$9)))</f>
        <v/>
      </c>
      <c r="W11" s="45"/>
      <c r="X11" s="46" t="str">
        <f t="shared" ref="X11:X42" si="10">IF(W11="","",IF($W$9="","",IF($W$9=0,"",W11/$W$9)))</f>
        <v/>
      </c>
    </row>
    <row r="12" spans="1:24" x14ac:dyDescent="0.2">
      <c r="A12" s="21">
        <v>2</v>
      </c>
      <c r="B12" s="48">
        <v>46195</v>
      </c>
      <c r="C12" s="49">
        <f t="shared" si="0"/>
        <v>0</v>
      </c>
      <c r="D12" s="42"/>
      <c r="E12" s="21"/>
      <c r="F12" s="21"/>
      <c r="G12" s="60" t="str">
        <f t="shared" si="1"/>
        <v/>
      </c>
      <c r="H12" s="51" t="str">
        <f t="shared" si="2"/>
        <v/>
      </c>
      <c r="I12" s="47"/>
      <c r="J12" s="52" t="str">
        <f t="shared" si="3"/>
        <v/>
      </c>
      <c r="K12" s="45"/>
      <c r="L12" s="52" t="str">
        <f t="shared" si="4"/>
        <v/>
      </c>
      <c r="M12" s="45"/>
      <c r="N12" s="52" t="str">
        <f t="shared" si="5"/>
        <v/>
      </c>
      <c r="O12" s="45"/>
      <c r="P12" s="52" t="str">
        <f t="shared" si="6"/>
        <v/>
      </c>
      <c r="Q12" s="47"/>
      <c r="R12" s="52" t="str">
        <f t="shared" si="7"/>
        <v/>
      </c>
      <c r="S12" s="45"/>
      <c r="T12" s="52" t="str">
        <f t="shared" si="8"/>
        <v/>
      </c>
      <c r="U12" s="45"/>
      <c r="V12" s="52" t="str">
        <f t="shared" si="9"/>
        <v/>
      </c>
      <c r="W12" s="45"/>
      <c r="X12" s="52" t="str">
        <f t="shared" si="10"/>
        <v/>
      </c>
    </row>
    <row r="13" spans="1:24" x14ac:dyDescent="0.2">
      <c r="A13" s="14">
        <v>3</v>
      </c>
      <c r="B13" s="40">
        <v>46202</v>
      </c>
      <c r="C13" s="41">
        <f t="shared" si="0"/>
        <v>0</v>
      </c>
      <c r="D13" s="42"/>
      <c r="E13" s="14"/>
      <c r="F13" s="14"/>
      <c r="G13" s="59" t="str">
        <f t="shared" si="1"/>
        <v/>
      </c>
      <c r="H13" s="44" t="str">
        <f t="shared" si="2"/>
        <v/>
      </c>
      <c r="I13" s="47"/>
      <c r="J13" s="46" t="str">
        <f t="shared" si="3"/>
        <v/>
      </c>
      <c r="K13" s="45"/>
      <c r="L13" s="46" t="str">
        <f t="shared" si="4"/>
        <v/>
      </c>
      <c r="M13" s="45"/>
      <c r="N13" s="46" t="str">
        <f t="shared" si="5"/>
        <v/>
      </c>
      <c r="O13" s="45"/>
      <c r="P13" s="46" t="str">
        <f t="shared" si="6"/>
        <v/>
      </c>
      <c r="Q13" s="47"/>
      <c r="R13" s="46" t="str">
        <f t="shared" si="7"/>
        <v/>
      </c>
      <c r="S13" s="45"/>
      <c r="T13" s="46" t="str">
        <f t="shared" si="8"/>
        <v/>
      </c>
      <c r="U13" s="45"/>
      <c r="V13" s="46" t="str">
        <f t="shared" si="9"/>
        <v/>
      </c>
      <c r="W13" s="45"/>
      <c r="X13" s="46" t="str">
        <f t="shared" si="10"/>
        <v/>
      </c>
    </row>
    <row r="14" spans="1:24" x14ac:dyDescent="0.2">
      <c r="A14" s="21">
        <v>4</v>
      </c>
      <c r="B14" s="48">
        <v>46209</v>
      </c>
      <c r="C14" s="49">
        <f t="shared" si="0"/>
        <v>0</v>
      </c>
      <c r="D14" s="42"/>
      <c r="E14" s="21"/>
      <c r="F14" s="21"/>
      <c r="G14" s="60" t="str">
        <f t="shared" si="1"/>
        <v/>
      </c>
      <c r="H14" s="51" t="str">
        <f t="shared" si="2"/>
        <v/>
      </c>
      <c r="I14" s="47"/>
      <c r="J14" s="52" t="str">
        <f t="shared" si="3"/>
        <v/>
      </c>
      <c r="K14" s="45"/>
      <c r="L14" s="52" t="str">
        <f t="shared" si="4"/>
        <v/>
      </c>
      <c r="M14" s="45"/>
      <c r="N14" s="52" t="str">
        <f t="shared" si="5"/>
        <v/>
      </c>
      <c r="O14" s="45"/>
      <c r="P14" s="52" t="str">
        <f t="shared" si="6"/>
        <v/>
      </c>
      <c r="Q14" s="47"/>
      <c r="R14" s="52" t="str">
        <f t="shared" si="7"/>
        <v/>
      </c>
      <c r="S14" s="45"/>
      <c r="T14" s="52" t="str">
        <f t="shared" si="8"/>
        <v/>
      </c>
      <c r="U14" s="45"/>
      <c r="V14" s="52" t="str">
        <f t="shared" si="9"/>
        <v/>
      </c>
      <c r="W14" s="45"/>
      <c r="X14" s="52" t="str">
        <f t="shared" si="10"/>
        <v/>
      </c>
    </row>
    <row r="15" spans="1:24" x14ac:dyDescent="0.2">
      <c r="A15" s="14">
        <v>5</v>
      </c>
      <c r="B15" s="40">
        <v>46216</v>
      </c>
      <c r="C15" s="41">
        <f t="shared" si="0"/>
        <v>0</v>
      </c>
      <c r="D15" s="42"/>
      <c r="E15" s="14"/>
      <c r="F15" s="14"/>
      <c r="G15" s="59" t="str">
        <f t="shared" si="1"/>
        <v/>
      </c>
      <c r="H15" s="44" t="str">
        <f t="shared" si="2"/>
        <v/>
      </c>
      <c r="I15" s="47"/>
      <c r="J15" s="46" t="str">
        <f t="shared" si="3"/>
        <v/>
      </c>
      <c r="K15" s="45"/>
      <c r="L15" s="46" t="str">
        <f t="shared" si="4"/>
        <v/>
      </c>
      <c r="M15" s="45"/>
      <c r="N15" s="46" t="str">
        <f t="shared" si="5"/>
        <v/>
      </c>
      <c r="O15" s="45"/>
      <c r="P15" s="46" t="str">
        <f t="shared" si="6"/>
        <v/>
      </c>
      <c r="Q15" s="47"/>
      <c r="R15" s="46" t="str">
        <f t="shared" si="7"/>
        <v/>
      </c>
      <c r="S15" s="45"/>
      <c r="T15" s="46" t="str">
        <f t="shared" si="8"/>
        <v/>
      </c>
      <c r="U15" s="45"/>
      <c r="V15" s="46" t="str">
        <f t="shared" si="9"/>
        <v/>
      </c>
      <c r="W15" s="45"/>
      <c r="X15" s="46" t="str">
        <f t="shared" si="10"/>
        <v/>
      </c>
    </row>
    <row r="16" spans="1:24" x14ac:dyDescent="0.2">
      <c r="A16" s="21">
        <v>6</v>
      </c>
      <c r="B16" s="48">
        <v>46223</v>
      </c>
      <c r="C16" s="49">
        <f t="shared" si="0"/>
        <v>0</v>
      </c>
      <c r="D16" s="42"/>
      <c r="E16" s="21"/>
      <c r="F16" s="21"/>
      <c r="G16" s="60" t="str">
        <f t="shared" si="1"/>
        <v/>
      </c>
      <c r="H16" s="51" t="str">
        <f t="shared" si="2"/>
        <v/>
      </c>
      <c r="I16" s="47"/>
      <c r="J16" s="52" t="str">
        <f t="shared" si="3"/>
        <v/>
      </c>
      <c r="K16" s="45"/>
      <c r="L16" s="52" t="str">
        <f t="shared" si="4"/>
        <v/>
      </c>
      <c r="M16" s="45"/>
      <c r="N16" s="52" t="str">
        <f t="shared" si="5"/>
        <v/>
      </c>
      <c r="O16" s="45"/>
      <c r="P16" s="52" t="str">
        <f t="shared" si="6"/>
        <v/>
      </c>
      <c r="Q16" s="47"/>
      <c r="R16" s="52" t="str">
        <f t="shared" si="7"/>
        <v/>
      </c>
      <c r="S16" s="45"/>
      <c r="T16" s="52" t="str">
        <f t="shared" si="8"/>
        <v/>
      </c>
      <c r="U16" s="45"/>
      <c r="V16" s="52" t="str">
        <f t="shared" si="9"/>
        <v/>
      </c>
      <c r="W16" s="45"/>
      <c r="X16" s="52" t="str">
        <f t="shared" si="10"/>
        <v/>
      </c>
    </row>
    <row r="17" spans="1:24" x14ac:dyDescent="0.2">
      <c r="A17" s="14">
        <v>7</v>
      </c>
      <c r="B17" s="40">
        <v>46230</v>
      </c>
      <c r="C17" s="41">
        <f t="shared" si="0"/>
        <v>0</v>
      </c>
      <c r="D17" s="42"/>
      <c r="E17" s="14"/>
      <c r="F17" s="14"/>
      <c r="G17" s="59" t="str">
        <f t="shared" si="1"/>
        <v/>
      </c>
      <c r="H17" s="44" t="str">
        <f t="shared" si="2"/>
        <v/>
      </c>
      <c r="I17" s="47"/>
      <c r="J17" s="46" t="str">
        <f t="shared" si="3"/>
        <v/>
      </c>
      <c r="K17" s="45"/>
      <c r="L17" s="46" t="str">
        <f t="shared" si="4"/>
        <v/>
      </c>
      <c r="M17" s="45"/>
      <c r="N17" s="46" t="str">
        <f t="shared" si="5"/>
        <v/>
      </c>
      <c r="O17" s="45"/>
      <c r="P17" s="46" t="str">
        <f t="shared" si="6"/>
        <v/>
      </c>
      <c r="Q17" s="47"/>
      <c r="R17" s="46" t="str">
        <f t="shared" si="7"/>
        <v/>
      </c>
      <c r="S17" s="45"/>
      <c r="T17" s="46" t="str">
        <f t="shared" si="8"/>
        <v/>
      </c>
      <c r="U17" s="45"/>
      <c r="V17" s="46" t="str">
        <f t="shared" si="9"/>
        <v/>
      </c>
      <c r="W17" s="45"/>
      <c r="X17" s="46" t="str">
        <f t="shared" si="10"/>
        <v/>
      </c>
    </row>
    <row r="18" spans="1:24" x14ac:dyDescent="0.2">
      <c r="A18" s="21">
        <v>8</v>
      </c>
      <c r="B18" s="48">
        <v>46237</v>
      </c>
      <c r="C18" s="49">
        <f t="shared" si="0"/>
        <v>0</v>
      </c>
      <c r="D18" s="42"/>
      <c r="E18" s="21"/>
      <c r="F18" s="21"/>
      <c r="G18" s="60" t="str">
        <f t="shared" si="1"/>
        <v/>
      </c>
      <c r="H18" s="51" t="str">
        <f t="shared" si="2"/>
        <v/>
      </c>
      <c r="I18" s="47"/>
      <c r="J18" s="52" t="str">
        <f t="shared" si="3"/>
        <v/>
      </c>
      <c r="K18" s="45"/>
      <c r="L18" s="52" t="str">
        <f t="shared" si="4"/>
        <v/>
      </c>
      <c r="M18" s="45"/>
      <c r="N18" s="52" t="str">
        <f t="shared" si="5"/>
        <v/>
      </c>
      <c r="O18" s="45"/>
      <c r="P18" s="52" t="str">
        <f t="shared" si="6"/>
        <v/>
      </c>
      <c r="Q18" s="47"/>
      <c r="R18" s="52" t="str">
        <f t="shared" si="7"/>
        <v/>
      </c>
      <c r="S18" s="45"/>
      <c r="T18" s="52" t="str">
        <f t="shared" si="8"/>
        <v/>
      </c>
      <c r="U18" s="45"/>
      <c r="V18" s="52" t="str">
        <f t="shared" si="9"/>
        <v/>
      </c>
      <c r="W18" s="45"/>
      <c r="X18" s="52" t="str">
        <f t="shared" si="10"/>
        <v/>
      </c>
    </row>
    <row r="19" spans="1:24" x14ac:dyDescent="0.2">
      <c r="A19" s="14">
        <v>9</v>
      </c>
      <c r="B19" s="40">
        <v>46244</v>
      </c>
      <c r="C19" s="41">
        <f t="shared" si="0"/>
        <v>0</v>
      </c>
      <c r="D19" s="42"/>
      <c r="E19" s="14"/>
      <c r="F19" s="14"/>
      <c r="G19" s="59" t="str">
        <f t="shared" si="1"/>
        <v/>
      </c>
      <c r="H19" s="44" t="str">
        <f t="shared" si="2"/>
        <v/>
      </c>
      <c r="I19" s="47"/>
      <c r="J19" s="46" t="str">
        <f t="shared" si="3"/>
        <v/>
      </c>
      <c r="K19" s="45"/>
      <c r="L19" s="46" t="str">
        <f t="shared" si="4"/>
        <v/>
      </c>
      <c r="M19" s="45"/>
      <c r="N19" s="46" t="str">
        <f t="shared" si="5"/>
        <v/>
      </c>
      <c r="O19" s="45"/>
      <c r="P19" s="46" t="str">
        <f t="shared" si="6"/>
        <v/>
      </c>
      <c r="Q19" s="47"/>
      <c r="R19" s="46" t="str">
        <f t="shared" si="7"/>
        <v/>
      </c>
      <c r="S19" s="45"/>
      <c r="T19" s="46" t="str">
        <f t="shared" si="8"/>
        <v/>
      </c>
      <c r="U19" s="45"/>
      <c r="V19" s="46" t="str">
        <f t="shared" si="9"/>
        <v/>
      </c>
      <c r="W19" s="45"/>
      <c r="X19" s="46" t="str">
        <f t="shared" si="10"/>
        <v/>
      </c>
    </row>
    <row r="20" spans="1:24" x14ac:dyDescent="0.2">
      <c r="A20" s="21">
        <v>10</v>
      </c>
      <c r="B20" s="48">
        <v>46251</v>
      </c>
      <c r="C20" s="49">
        <f t="shared" si="0"/>
        <v>0</v>
      </c>
      <c r="D20" s="42"/>
      <c r="E20" s="21"/>
      <c r="F20" s="21"/>
      <c r="G20" s="60" t="str">
        <f t="shared" si="1"/>
        <v/>
      </c>
      <c r="H20" s="51" t="str">
        <f t="shared" si="2"/>
        <v/>
      </c>
      <c r="I20" s="47"/>
      <c r="J20" s="52" t="str">
        <f t="shared" si="3"/>
        <v/>
      </c>
      <c r="K20" s="45"/>
      <c r="L20" s="52" t="str">
        <f t="shared" si="4"/>
        <v/>
      </c>
      <c r="M20" s="45"/>
      <c r="N20" s="52" t="str">
        <f t="shared" si="5"/>
        <v/>
      </c>
      <c r="O20" s="45"/>
      <c r="P20" s="52" t="str">
        <f t="shared" si="6"/>
        <v/>
      </c>
      <c r="Q20" s="47"/>
      <c r="R20" s="52" t="str">
        <f t="shared" si="7"/>
        <v/>
      </c>
      <c r="S20" s="45"/>
      <c r="T20" s="52" t="str">
        <f t="shared" si="8"/>
        <v/>
      </c>
      <c r="U20" s="45"/>
      <c r="V20" s="52" t="str">
        <f t="shared" si="9"/>
        <v/>
      </c>
      <c r="W20" s="45"/>
      <c r="X20" s="52" t="str">
        <f t="shared" si="10"/>
        <v/>
      </c>
    </row>
    <row r="21" spans="1:24" x14ac:dyDescent="0.2">
      <c r="A21" s="14">
        <v>11</v>
      </c>
      <c r="B21" s="40">
        <v>46258</v>
      </c>
      <c r="C21" s="41">
        <f t="shared" si="0"/>
        <v>0</v>
      </c>
      <c r="D21" s="42"/>
      <c r="E21" s="14"/>
      <c r="F21" s="14"/>
      <c r="G21" s="59" t="str">
        <f t="shared" si="1"/>
        <v/>
      </c>
      <c r="H21" s="44" t="str">
        <f t="shared" si="2"/>
        <v/>
      </c>
      <c r="I21" s="47"/>
      <c r="J21" s="46" t="str">
        <f t="shared" si="3"/>
        <v/>
      </c>
      <c r="K21" s="45"/>
      <c r="L21" s="46" t="str">
        <f t="shared" si="4"/>
        <v/>
      </c>
      <c r="M21" s="45"/>
      <c r="N21" s="46" t="str">
        <f t="shared" si="5"/>
        <v/>
      </c>
      <c r="O21" s="45"/>
      <c r="P21" s="46" t="str">
        <f t="shared" si="6"/>
        <v/>
      </c>
      <c r="Q21" s="47"/>
      <c r="R21" s="46" t="str">
        <f t="shared" si="7"/>
        <v/>
      </c>
      <c r="S21" s="45"/>
      <c r="T21" s="46" t="str">
        <f t="shared" si="8"/>
        <v/>
      </c>
      <c r="U21" s="45"/>
      <c r="V21" s="46" t="str">
        <f t="shared" si="9"/>
        <v/>
      </c>
      <c r="W21" s="45"/>
      <c r="X21" s="46" t="str">
        <f t="shared" si="10"/>
        <v/>
      </c>
    </row>
    <row r="22" spans="1:24" x14ac:dyDescent="0.2">
      <c r="A22" s="21">
        <v>12</v>
      </c>
      <c r="B22" s="48">
        <v>46265</v>
      </c>
      <c r="C22" s="49">
        <f t="shared" si="0"/>
        <v>0</v>
      </c>
      <c r="D22" s="42"/>
      <c r="E22" s="21"/>
      <c r="F22" s="21"/>
      <c r="G22" s="60" t="str">
        <f t="shared" si="1"/>
        <v/>
      </c>
      <c r="H22" s="51" t="str">
        <f t="shared" si="2"/>
        <v/>
      </c>
      <c r="I22" s="47"/>
      <c r="J22" s="52" t="str">
        <f t="shared" si="3"/>
        <v/>
      </c>
      <c r="K22" s="45"/>
      <c r="L22" s="52" t="str">
        <f t="shared" si="4"/>
        <v/>
      </c>
      <c r="M22" s="45"/>
      <c r="N22" s="52" t="str">
        <f t="shared" si="5"/>
        <v/>
      </c>
      <c r="O22" s="45"/>
      <c r="P22" s="52" t="str">
        <f t="shared" si="6"/>
        <v/>
      </c>
      <c r="Q22" s="47"/>
      <c r="R22" s="52" t="str">
        <f t="shared" si="7"/>
        <v/>
      </c>
      <c r="S22" s="45"/>
      <c r="T22" s="52" t="str">
        <f t="shared" si="8"/>
        <v/>
      </c>
      <c r="U22" s="45"/>
      <c r="V22" s="52" t="str">
        <f t="shared" si="9"/>
        <v/>
      </c>
      <c r="W22" s="45"/>
      <c r="X22" s="52" t="str">
        <f t="shared" si="10"/>
        <v/>
      </c>
    </row>
    <row r="23" spans="1:24" x14ac:dyDescent="0.2">
      <c r="A23" s="14">
        <v>13</v>
      </c>
      <c r="B23" s="40">
        <v>46272</v>
      </c>
      <c r="C23" s="41">
        <f t="shared" si="0"/>
        <v>0</v>
      </c>
      <c r="D23" s="42"/>
      <c r="E23" s="14"/>
      <c r="F23" s="14"/>
      <c r="G23" s="59" t="str">
        <f t="shared" si="1"/>
        <v/>
      </c>
      <c r="H23" s="44" t="str">
        <f t="shared" si="2"/>
        <v/>
      </c>
      <c r="I23" s="47"/>
      <c r="J23" s="46" t="str">
        <f t="shared" si="3"/>
        <v/>
      </c>
      <c r="K23" s="45"/>
      <c r="L23" s="46" t="str">
        <f t="shared" si="4"/>
        <v/>
      </c>
      <c r="M23" s="45"/>
      <c r="N23" s="46" t="str">
        <f t="shared" si="5"/>
        <v/>
      </c>
      <c r="O23" s="45"/>
      <c r="P23" s="46" t="str">
        <f t="shared" si="6"/>
        <v/>
      </c>
      <c r="Q23" s="47"/>
      <c r="R23" s="46" t="str">
        <f t="shared" si="7"/>
        <v/>
      </c>
      <c r="S23" s="45"/>
      <c r="T23" s="46" t="str">
        <f t="shared" si="8"/>
        <v/>
      </c>
      <c r="U23" s="45"/>
      <c r="V23" s="46" t="str">
        <f t="shared" si="9"/>
        <v/>
      </c>
      <c r="W23" s="45"/>
      <c r="X23" s="46" t="str">
        <f t="shared" si="10"/>
        <v/>
      </c>
    </row>
    <row r="24" spans="1:24" x14ac:dyDescent="0.2">
      <c r="A24" s="21">
        <v>14</v>
      </c>
      <c r="B24" s="48">
        <v>46279</v>
      </c>
      <c r="C24" s="49">
        <f t="shared" si="0"/>
        <v>0</v>
      </c>
      <c r="D24" s="42"/>
      <c r="E24" s="21"/>
      <c r="F24" s="21"/>
      <c r="G24" s="60" t="str">
        <f t="shared" si="1"/>
        <v/>
      </c>
      <c r="H24" s="51" t="str">
        <f t="shared" si="2"/>
        <v/>
      </c>
      <c r="I24" s="47"/>
      <c r="J24" s="52" t="str">
        <f t="shared" si="3"/>
        <v/>
      </c>
      <c r="K24" s="45"/>
      <c r="L24" s="52" t="str">
        <f t="shared" si="4"/>
        <v/>
      </c>
      <c r="M24" s="45"/>
      <c r="N24" s="52" t="str">
        <f t="shared" si="5"/>
        <v/>
      </c>
      <c r="O24" s="45"/>
      <c r="P24" s="52" t="str">
        <f t="shared" si="6"/>
        <v/>
      </c>
      <c r="Q24" s="47"/>
      <c r="R24" s="52" t="str">
        <f t="shared" si="7"/>
        <v/>
      </c>
      <c r="S24" s="45"/>
      <c r="T24" s="52" t="str">
        <f t="shared" si="8"/>
        <v/>
      </c>
      <c r="U24" s="45"/>
      <c r="V24" s="52" t="str">
        <f t="shared" si="9"/>
        <v/>
      </c>
      <c r="W24" s="45"/>
      <c r="X24" s="52" t="str">
        <f t="shared" si="10"/>
        <v/>
      </c>
    </row>
    <row r="25" spans="1:24" x14ac:dyDescent="0.2">
      <c r="A25" s="14">
        <v>15</v>
      </c>
      <c r="B25" s="40">
        <v>46286</v>
      </c>
      <c r="C25" s="41">
        <f t="shared" si="0"/>
        <v>0</v>
      </c>
      <c r="D25" s="42"/>
      <c r="E25" s="14"/>
      <c r="F25" s="14"/>
      <c r="G25" s="59" t="str">
        <f t="shared" si="1"/>
        <v/>
      </c>
      <c r="H25" s="44" t="str">
        <f t="shared" si="2"/>
        <v/>
      </c>
      <c r="I25" s="47"/>
      <c r="J25" s="46" t="str">
        <f t="shared" si="3"/>
        <v/>
      </c>
      <c r="K25" s="45"/>
      <c r="L25" s="46" t="str">
        <f t="shared" si="4"/>
        <v/>
      </c>
      <c r="M25" s="45"/>
      <c r="N25" s="46" t="str">
        <f t="shared" si="5"/>
        <v/>
      </c>
      <c r="O25" s="45"/>
      <c r="P25" s="46" t="str">
        <f t="shared" si="6"/>
        <v/>
      </c>
      <c r="Q25" s="47"/>
      <c r="R25" s="46" t="str">
        <f t="shared" si="7"/>
        <v/>
      </c>
      <c r="S25" s="45"/>
      <c r="T25" s="46" t="str">
        <f t="shared" si="8"/>
        <v/>
      </c>
      <c r="U25" s="45"/>
      <c r="V25" s="46" t="str">
        <f t="shared" si="9"/>
        <v/>
      </c>
      <c r="W25" s="45"/>
      <c r="X25" s="46" t="str">
        <f t="shared" si="10"/>
        <v/>
      </c>
    </row>
    <row r="26" spans="1:24" x14ac:dyDescent="0.2">
      <c r="A26" s="21">
        <v>16</v>
      </c>
      <c r="B26" s="48">
        <v>46293</v>
      </c>
      <c r="C26" s="49">
        <f t="shared" si="0"/>
        <v>0</v>
      </c>
      <c r="D26" s="42"/>
      <c r="E26" s="21"/>
      <c r="F26" s="21"/>
      <c r="G26" s="60" t="str">
        <f t="shared" si="1"/>
        <v/>
      </c>
      <c r="H26" s="51" t="str">
        <f t="shared" si="2"/>
        <v/>
      </c>
      <c r="I26" s="47"/>
      <c r="J26" s="52" t="str">
        <f t="shared" si="3"/>
        <v/>
      </c>
      <c r="K26" s="45"/>
      <c r="L26" s="52" t="str">
        <f t="shared" si="4"/>
        <v/>
      </c>
      <c r="M26" s="45"/>
      <c r="N26" s="52" t="str">
        <f t="shared" si="5"/>
        <v/>
      </c>
      <c r="O26" s="45"/>
      <c r="P26" s="52" t="str">
        <f t="shared" si="6"/>
        <v/>
      </c>
      <c r="Q26" s="47"/>
      <c r="R26" s="52" t="str">
        <f t="shared" si="7"/>
        <v/>
      </c>
      <c r="S26" s="45"/>
      <c r="T26" s="52" t="str">
        <f t="shared" si="8"/>
        <v/>
      </c>
      <c r="U26" s="45"/>
      <c r="V26" s="52" t="str">
        <f t="shared" si="9"/>
        <v/>
      </c>
      <c r="W26" s="45"/>
      <c r="X26" s="52" t="str">
        <f t="shared" si="10"/>
        <v/>
      </c>
    </row>
    <row r="27" spans="1:24" x14ac:dyDescent="0.2">
      <c r="A27" s="14">
        <v>17</v>
      </c>
      <c r="B27" s="40">
        <v>46300</v>
      </c>
      <c r="C27" s="41">
        <f t="shared" si="0"/>
        <v>0</v>
      </c>
      <c r="D27" s="42"/>
      <c r="E27" s="14"/>
      <c r="F27" s="14"/>
      <c r="G27" s="59" t="str">
        <f t="shared" si="1"/>
        <v/>
      </c>
      <c r="H27" s="44" t="str">
        <f t="shared" si="2"/>
        <v/>
      </c>
      <c r="I27" s="47"/>
      <c r="J27" s="46" t="str">
        <f t="shared" si="3"/>
        <v/>
      </c>
      <c r="K27" s="45"/>
      <c r="L27" s="46" t="str">
        <f t="shared" si="4"/>
        <v/>
      </c>
      <c r="M27" s="45"/>
      <c r="N27" s="46" t="str">
        <f t="shared" si="5"/>
        <v/>
      </c>
      <c r="O27" s="45"/>
      <c r="P27" s="46" t="str">
        <f t="shared" si="6"/>
        <v/>
      </c>
      <c r="Q27" s="47"/>
      <c r="R27" s="46" t="str">
        <f t="shared" si="7"/>
        <v/>
      </c>
      <c r="S27" s="45"/>
      <c r="T27" s="46" t="str">
        <f t="shared" si="8"/>
        <v/>
      </c>
      <c r="U27" s="45"/>
      <c r="V27" s="46" t="str">
        <f t="shared" si="9"/>
        <v/>
      </c>
      <c r="W27" s="45"/>
      <c r="X27" s="46" t="str">
        <f t="shared" si="10"/>
        <v/>
      </c>
    </row>
    <row r="28" spans="1:24" x14ac:dyDescent="0.2">
      <c r="A28" s="21">
        <v>18</v>
      </c>
      <c r="B28" s="48">
        <v>46307</v>
      </c>
      <c r="C28" s="49">
        <f t="shared" si="0"/>
        <v>0</v>
      </c>
      <c r="D28" s="42"/>
      <c r="E28" s="21"/>
      <c r="F28" s="21"/>
      <c r="G28" s="60" t="str">
        <f t="shared" si="1"/>
        <v/>
      </c>
      <c r="H28" s="51" t="str">
        <f t="shared" si="2"/>
        <v/>
      </c>
      <c r="I28" s="47"/>
      <c r="J28" s="52" t="str">
        <f t="shared" si="3"/>
        <v/>
      </c>
      <c r="K28" s="45"/>
      <c r="L28" s="52" t="str">
        <f t="shared" si="4"/>
        <v/>
      </c>
      <c r="M28" s="45"/>
      <c r="N28" s="52" t="str">
        <f t="shared" si="5"/>
        <v/>
      </c>
      <c r="O28" s="45"/>
      <c r="P28" s="52" t="str">
        <f t="shared" si="6"/>
        <v/>
      </c>
      <c r="Q28" s="47"/>
      <c r="R28" s="52" t="str">
        <f t="shared" si="7"/>
        <v/>
      </c>
      <c r="S28" s="45"/>
      <c r="T28" s="52" t="str">
        <f t="shared" si="8"/>
        <v/>
      </c>
      <c r="U28" s="45"/>
      <c r="V28" s="52" t="str">
        <f t="shared" si="9"/>
        <v/>
      </c>
      <c r="W28" s="45"/>
      <c r="X28" s="52" t="str">
        <f t="shared" si="10"/>
        <v/>
      </c>
    </row>
    <row r="29" spans="1:24" x14ac:dyDescent="0.2">
      <c r="A29" s="14">
        <v>19</v>
      </c>
      <c r="B29" s="40">
        <v>46314</v>
      </c>
      <c r="C29" s="41">
        <f t="shared" si="0"/>
        <v>0</v>
      </c>
      <c r="D29" s="42"/>
      <c r="E29" s="14"/>
      <c r="F29" s="14"/>
      <c r="G29" s="59" t="str">
        <f t="shared" si="1"/>
        <v/>
      </c>
      <c r="H29" s="44" t="str">
        <f t="shared" si="2"/>
        <v/>
      </c>
      <c r="I29" s="47"/>
      <c r="J29" s="46" t="str">
        <f t="shared" si="3"/>
        <v/>
      </c>
      <c r="K29" s="45"/>
      <c r="L29" s="46" t="str">
        <f t="shared" si="4"/>
        <v/>
      </c>
      <c r="M29" s="45"/>
      <c r="N29" s="46" t="str">
        <f t="shared" si="5"/>
        <v/>
      </c>
      <c r="O29" s="45"/>
      <c r="P29" s="46" t="str">
        <f t="shared" si="6"/>
        <v/>
      </c>
      <c r="Q29" s="47"/>
      <c r="R29" s="46" t="str">
        <f t="shared" si="7"/>
        <v/>
      </c>
      <c r="S29" s="45"/>
      <c r="T29" s="46" t="str">
        <f t="shared" si="8"/>
        <v/>
      </c>
      <c r="U29" s="45"/>
      <c r="V29" s="46" t="str">
        <f t="shared" si="9"/>
        <v/>
      </c>
      <c r="W29" s="45"/>
      <c r="X29" s="46" t="str">
        <f t="shared" si="10"/>
        <v/>
      </c>
    </row>
    <row r="30" spans="1:24" x14ac:dyDescent="0.2">
      <c r="A30" s="21">
        <v>20</v>
      </c>
      <c r="B30" s="48">
        <v>46321</v>
      </c>
      <c r="C30" s="49">
        <f t="shared" si="0"/>
        <v>0</v>
      </c>
      <c r="D30" s="42"/>
      <c r="E30" s="21"/>
      <c r="F30" s="21"/>
      <c r="G30" s="60" t="str">
        <f t="shared" si="1"/>
        <v/>
      </c>
      <c r="H30" s="51" t="str">
        <f t="shared" si="2"/>
        <v/>
      </c>
      <c r="I30" s="47"/>
      <c r="J30" s="52" t="str">
        <f t="shared" si="3"/>
        <v/>
      </c>
      <c r="K30" s="45"/>
      <c r="L30" s="52" t="str">
        <f t="shared" si="4"/>
        <v/>
      </c>
      <c r="M30" s="45"/>
      <c r="N30" s="52" t="str">
        <f t="shared" si="5"/>
        <v/>
      </c>
      <c r="O30" s="45"/>
      <c r="P30" s="52" t="str">
        <f t="shared" si="6"/>
        <v/>
      </c>
      <c r="Q30" s="47"/>
      <c r="R30" s="52" t="str">
        <f t="shared" si="7"/>
        <v/>
      </c>
      <c r="S30" s="45"/>
      <c r="T30" s="52" t="str">
        <f t="shared" si="8"/>
        <v/>
      </c>
      <c r="U30" s="45"/>
      <c r="V30" s="52" t="str">
        <f t="shared" si="9"/>
        <v/>
      </c>
      <c r="W30" s="45"/>
      <c r="X30" s="52" t="str">
        <f t="shared" si="10"/>
        <v/>
      </c>
    </row>
    <row r="31" spans="1:24" x14ac:dyDescent="0.2">
      <c r="A31" s="14">
        <v>21</v>
      </c>
      <c r="B31" s="40">
        <v>46328</v>
      </c>
      <c r="C31" s="41">
        <f t="shared" si="0"/>
        <v>0</v>
      </c>
      <c r="D31" s="42"/>
      <c r="E31" s="14"/>
      <c r="F31" s="14"/>
      <c r="G31" s="59" t="str">
        <f t="shared" si="1"/>
        <v/>
      </c>
      <c r="H31" s="44" t="str">
        <f t="shared" si="2"/>
        <v/>
      </c>
      <c r="I31" s="47"/>
      <c r="J31" s="46" t="str">
        <f t="shared" si="3"/>
        <v/>
      </c>
      <c r="K31" s="45"/>
      <c r="L31" s="46" t="str">
        <f t="shared" si="4"/>
        <v/>
      </c>
      <c r="M31" s="45"/>
      <c r="N31" s="46" t="str">
        <f t="shared" si="5"/>
        <v/>
      </c>
      <c r="O31" s="45"/>
      <c r="P31" s="46" t="str">
        <f t="shared" si="6"/>
        <v/>
      </c>
      <c r="Q31" s="47"/>
      <c r="R31" s="46" t="str">
        <f t="shared" si="7"/>
        <v/>
      </c>
      <c r="S31" s="45"/>
      <c r="T31" s="46" t="str">
        <f t="shared" si="8"/>
        <v/>
      </c>
      <c r="U31" s="45"/>
      <c r="V31" s="46" t="str">
        <f t="shared" si="9"/>
        <v/>
      </c>
      <c r="W31" s="45"/>
      <c r="X31" s="46" t="str">
        <f t="shared" si="10"/>
        <v/>
      </c>
    </row>
    <row r="32" spans="1:24" x14ac:dyDescent="0.2">
      <c r="A32" s="21">
        <v>22</v>
      </c>
      <c r="B32" s="48">
        <v>46335</v>
      </c>
      <c r="C32" s="49">
        <f t="shared" si="0"/>
        <v>0</v>
      </c>
      <c r="D32" s="42"/>
      <c r="E32" s="21"/>
      <c r="F32" s="21"/>
      <c r="G32" s="60" t="str">
        <f t="shared" si="1"/>
        <v/>
      </c>
      <c r="H32" s="51" t="str">
        <f t="shared" si="2"/>
        <v/>
      </c>
      <c r="I32" s="47"/>
      <c r="J32" s="52" t="str">
        <f t="shared" si="3"/>
        <v/>
      </c>
      <c r="K32" s="45"/>
      <c r="L32" s="52" t="str">
        <f t="shared" si="4"/>
        <v/>
      </c>
      <c r="M32" s="45"/>
      <c r="N32" s="52" t="str">
        <f t="shared" si="5"/>
        <v/>
      </c>
      <c r="O32" s="45"/>
      <c r="P32" s="52" t="str">
        <f t="shared" si="6"/>
        <v/>
      </c>
      <c r="Q32" s="47"/>
      <c r="R32" s="52" t="str">
        <f t="shared" si="7"/>
        <v/>
      </c>
      <c r="S32" s="45"/>
      <c r="T32" s="52" t="str">
        <f t="shared" si="8"/>
        <v/>
      </c>
      <c r="U32" s="45"/>
      <c r="V32" s="52" t="str">
        <f t="shared" si="9"/>
        <v/>
      </c>
      <c r="W32" s="45"/>
      <c r="X32" s="52" t="str">
        <f t="shared" si="10"/>
        <v/>
      </c>
    </row>
    <row r="33" spans="1:24" x14ac:dyDescent="0.2">
      <c r="A33" s="14">
        <v>23</v>
      </c>
      <c r="B33" s="40">
        <v>46342</v>
      </c>
      <c r="C33" s="41">
        <f t="shared" si="0"/>
        <v>0</v>
      </c>
      <c r="D33" s="42"/>
      <c r="E33" s="14"/>
      <c r="F33" s="14"/>
      <c r="G33" s="59" t="str">
        <f t="shared" si="1"/>
        <v/>
      </c>
      <c r="H33" s="44" t="str">
        <f t="shared" si="2"/>
        <v/>
      </c>
      <c r="I33" s="47"/>
      <c r="J33" s="46" t="str">
        <f t="shared" si="3"/>
        <v/>
      </c>
      <c r="K33" s="45"/>
      <c r="L33" s="46" t="str">
        <f t="shared" si="4"/>
        <v/>
      </c>
      <c r="M33" s="45"/>
      <c r="N33" s="46" t="str">
        <f t="shared" si="5"/>
        <v/>
      </c>
      <c r="O33" s="45"/>
      <c r="P33" s="46" t="str">
        <f t="shared" si="6"/>
        <v/>
      </c>
      <c r="Q33" s="47"/>
      <c r="R33" s="46" t="str">
        <f t="shared" si="7"/>
        <v/>
      </c>
      <c r="S33" s="45"/>
      <c r="T33" s="46" t="str">
        <f t="shared" si="8"/>
        <v/>
      </c>
      <c r="U33" s="45"/>
      <c r="V33" s="46" t="str">
        <f t="shared" si="9"/>
        <v/>
      </c>
      <c r="W33" s="45"/>
      <c r="X33" s="46" t="str">
        <f t="shared" si="10"/>
        <v/>
      </c>
    </row>
    <row r="34" spans="1:24" x14ac:dyDescent="0.2">
      <c r="A34" s="21">
        <v>24</v>
      </c>
      <c r="B34" s="48">
        <v>46349</v>
      </c>
      <c r="C34" s="49">
        <f t="shared" si="0"/>
        <v>0</v>
      </c>
      <c r="D34" s="42"/>
      <c r="E34" s="21"/>
      <c r="F34" s="21"/>
      <c r="G34" s="60" t="str">
        <f t="shared" si="1"/>
        <v/>
      </c>
      <c r="H34" s="51" t="str">
        <f t="shared" si="2"/>
        <v/>
      </c>
      <c r="I34" s="47"/>
      <c r="J34" s="52" t="str">
        <f t="shared" si="3"/>
        <v/>
      </c>
      <c r="K34" s="45"/>
      <c r="L34" s="52" t="str">
        <f t="shared" si="4"/>
        <v/>
      </c>
      <c r="M34" s="45"/>
      <c r="N34" s="52" t="str">
        <f t="shared" si="5"/>
        <v/>
      </c>
      <c r="O34" s="45"/>
      <c r="P34" s="52" t="str">
        <f t="shared" si="6"/>
        <v/>
      </c>
      <c r="Q34" s="47"/>
      <c r="R34" s="52" t="str">
        <f t="shared" si="7"/>
        <v/>
      </c>
      <c r="S34" s="45"/>
      <c r="T34" s="52" t="str">
        <f t="shared" si="8"/>
        <v/>
      </c>
      <c r="U34" s="45"/>
      <c r="V34" s="52" t="str">
        <f t="shared" si="9"/>
        <v/>
      </c>
      <c r="W34" s="45"/>
      <c r="X34" s="52" t="str">
        <f t="shared" si="10"/>
        <v/>
      </c>
    </row>
    <row r="35" spans="1:24" x14ac:dyDescent="0.2">
      <c r="A35" s="14">
        <v>25</v>
      </c>
      <c r="B35" s="40">
        <v>46356</v>
      </c>
      <c r="C35" s="41">
        <f t="shared" si="0"/>
        <v>0</v>
      </c>
      <c r="D35" s="42"/>
      <c r="E35" s="14"/>
      <c r="F35" s="14"/>
      <c r="G35" s="59" t="str">
        <f t="shared" si="1"/>
        <v/>
      </c>
      <c r="H35" s="44" t="str">
        <f t="shared" si="2"/>
        <v/>
      </c>
      <c r="I35" s="47"/>
      <c r="J35" s="46" t="str">
        <f t="shared" si="3"/>
        <v/>
      </c>
      <c r="K35" s="45"/>
      <c r="L35" s="46" t="str">
        <f t="shared" si="4"/>
        <v/>
      </c>
      <c r="M35" s="45"/>
      <c r="N35" s="46" t="str">
        <f t="shared" si="5"/>
        <v/>
      </c>
      <c r="O35" s="45"/>
      <c r="P35" s="46" t="str">
        <f t="shared" si="6"/>
        <v/>
      </c>
      <c r="Q35" s="47"/>
      <c r="R35" s="46" t="str">
        <f t="shared" si="7"/>
        <v/>
      </c>
      <c r="S35" s="45"/>
      <c r="T35" s="46" t="str">
        <f t="shared" si="8"/>
        <v/>
      </c>
      <c r="U35" s="45"/>
      <c r="V35" s="46" t="str">
        <f t="shared" si="9"/>
        <v/>
      </c>
      <c r="W35" s="45"/>
      <c r="X35" s="46" t="str">
        <f t="shared" si="10"/>
        <v/>
      </c>
    </row>
    <row r="36" spans="1:24" x14ac:dyDescent="0.2">
      <c r="A36" s="21">
        <v>26</v>
      </c>
      <c r="B36" s="48">
        <v>46363</v>
      </c>
      <c r="C36" s="49">
        <f t="shared" si="0"/>
        <v>0</v>
      </c>
      <c r="D36" s="42"/>
      <c r="E36" s="21"/>
      <c r="F36" s="21"/>
      <c r="G36" s="60" t="str">
        <f t="shared" si="1"/>
        <v/>
      </c>
      <c r="H36" s="51" t="str">
        <f t="shared" si="2"/>
        <v/>
      </c>
      <c r="I36" s="47"/>
      <c r="J36" s="52" t="str">
        <f t="shared" si="3"/>
        <v/>
      </c>
      <c r="K36" s="45"/>
      <c r="L36" s="52" t="str">
        <f t="shared" si="4"/>
        <v/>
      </c>
      <c r="M36" s="45"/>
      <c r="N36" s="52" t="str">
        <f t="shared" si="5"/>
        <v/>
      </c>
      <c r="O36" s="45"/>
      <c r="P36" s="52" t="str">
        <f t="shared" si="6"/>
        <v/>
      </c>
      <c r="Q36" s="47"/>
      <c r="R36" s="52" t="str">
        <f t="shared" si="7"/>
        <v/>
      </c>
      <c r="S36" s="45"/>
      <c r="T36" s="52" t="str">
        <f t="shared" si="8"/>
        <v/>
      </c>
      <c r="U36" s="45"/>
      <c r="V36" s="52" t="str">
        <f t="shared" si="9"/>
        <v/>
      </c>
      <c r="W36" s="45"/>
      <c r="X36" s="52" t="str">
        <f t="shared" si="10"/>
        <v/>
      </c>
    </row>
    <row r="37" spans="1:24" x14ac:dyDescent="0.2">
      <c r="A37" s="14">
        <v>27</v>
      </c>
      <c r="B37" s="40">
        <v>46370</v>
      </c>
      <c r="C37" s="41">
        <f t="shared" si="0"/>
        <v>0</v>
      </c>
      <c r="D37" s="42"/>
      <c r="E37" s="14"/>
      <c r="F37" s="14"/>
      <c r="G37" s="59" t="str">
        <f t="shared" si="1"/>
        <v/>
      </c>
      <c r="H37" s="44" t="str">
        <f t="shared" si="2"/>
        <v/>
      </c>
      <c r="I37" s="47"/>
      <c r="J37" s="46" t="str">
        <f t="shared" si="3"/>
        <v/>
      </c>
      <c r="K37" s="45"/>
      <c r="L37" s="46" t="str">
        <f t="shared" si="4"/>
        <v/>
      </c>
      <c r="M37" s="45"/>
      <c r="N37" s="46" t="str">
        <f t="shared" si="5"/>
        <v/>
      </c>
      <c r="O37" s="45"/>
      <c r="P37" s="46" t="str">
        <f t="shared" si="6"/>
        <v/>
      </c>
      <c r="Q37" s="47"/>
      <c r="R37" s="46" t="str">
        <f t="shared" si="7"/>
        <v/>
      </c>
      <c r="S37" s="45"/>
      <c r="T37" s="46" t="str">
        <f t="shared" si="8"/>
        <v/>
      </c>
      <c r="U37" s="45"/>
      <c r="V37" s="46" t="str">
        <f t="shared" si="9"/>
        <v/>
      </c>
      <c r="W37" s="45"/>
      <c r="X37" s="46" t="str">
        <f t="shared" si="10"/>
        <v/>
      </c>
    </row>
    <row r="38" spans="1:24" x14ac:dyDescent="0.2">
      <c r="A38" s="21">
        <v>28</v>
      </c>
      <c r="B38" s="48">
        <v>46377</v>
      </c>
      <c r="C38" s="49">
        <f t="shared" si="0"/>
        <v>0</v>
      </c>
      <c r="D38" s="42"/>
      <c r="E38" s="21"/>
      <c r="F38" s="21"/>
      <c r="G38" s="60" t="str">
        <f t="shared" si="1"/>
        <v/>
      </c>
      <c r="H38" s="51" t="str">
        <f t="shared" si="2"/>
        <v/>
      </c>
      <c r="I38" s="47"/>
      <c r="J38" s="52" t="str">
        <f t="shared" si="3"/>
        <v/>
      </c>
      <c r="K38" s="45"/>
      <c r="L38" s="52" t="str">
        <f t="shared" si="4"/>
        <v/>
      </c>
      <c r="M38" s="45"/>
      <c r="N38" s="52" t="str">
        <f t="shared" si="5"/>
        <v/>
      </c>
      <c r="O38" s="45"/>
      <c r="P38" s="52" t="str">
        <f t="shared" si="6"/>
        <v/>
      </c>
      <c r="Q38" s="47"/>
      <c r="R38" s="52" t="str">
        <f t="shared" si="7"/>
        <v/>
      </c>
      <c r="S38" s="45"/>
      <c r="T38" s="52" t="str">
        <f t="shared" si="8"/>
        <v/>
      </c>
      <c r="U38" s="45"/>
      <c r="V38" s="52" t="str">
        <f t="shared" si="9"/>
        <v/>
      </c>
      <c r="W38" s="45"/>
      <c r="X38" s="52" t="str">
        <f t="shared" si="10"/>
        <v/>
      </c>
    </row>
    <row r="39" spans="1:24" x14ac:dyDescent="0.2">
      <c r="A39" s="14">
        <v>29</v>
      </c>
      <c r="B39" s="40">
        <v>46384</v>
      </c>
      <c r="C39" s="41">
        <f t="shared" si="0"/>
        <v>0</v>
      </c>
      <c r="D39" s="42"/>
      <c r="E39" s="14"/>
      <c r="F39" s="14"/>
      <c r="G39" s="59" t="str">
        <f t="shared" si="1"/>
        <v/>
      </c>
      <c r="H39" s="44" t="str">
        <f t="shared" si="2"/>
        <v/>
      </c>
      <c r="I39" s="47"/>
      <c r="J39" s="46" t="str">
        <f t="shared" si="3"/>
        <v/>
      </c>
      <c r="K39" s="45"/>
      <c r="L39" s="46" t="str">
        <f t="shared" si="4"/>
        <v/>
      </c>
      <c r="M39" s="45"/>
      <c r="N39" s="46" t="str">
        <f t="shared" si="5"/>
        <v/>
      </c>
      <c r="O39" s="45"/>
      <c r="P39" s="46" t="str">
        <f t="shared" si="6"/>
        <v/>
      </c>
      <c r="Q39" s="47"/>
      <c r="R39" s="46" t="str">
        <f t="shared" si="7"/>
        <v/>
      </c>
      <c r="S39" s="45"/>
      <c r="T39" s="46" t="str">
        <f t="shared" si="8"/>
        <v/>
      </c>
      <c r="U39" s="45"/>
      <c r="V39" s="46" t="str">
        <f t="shared" si="9"/>
        <v/>
      </c>
      <c r="W39" s="45"/>
      <c r="X39" s="46" t="str">
        <f t="shared" si="10"/>
        <v/>
      </c>
    </row>
    <row r="40" spans="1:24" x14ac:dyDescent="0.2">
      <c r="A40" s="21">
        <v>30</v>
      </c>
      <c r="B40" s="48">
        <v>46391</v>
      </c>
      <c r="C40" s="49">
        <f t="shared" si="0"/>
        <v>0</v>
      </c>
      <c r="D40" s="42"/>
      <c r="E40" s="21"/>
      <c r="F40" s="21"/>
      <c r="G40" s="60" t="str">
        <f t="shared" si="1"/>
        <v/>
      </c>
      <c r="H40" s="51" t="str">
        <f t="shared" si="2"/>
        <v/>
      </c>
      <c r="I40" s="47"/>
      <c r="J40" s="52" t="str">
        <f t="shared" si="3"/>
        <v/>
      </c>
      <c r="K40" s="45"/>
      <c r="L40" s="52" t="str">
        <f t="shared" si="4"/>
        <v/>
      </c>
      <c r="M40" s="45"/>
      <c r="N40" s="52" t="str">
        <f t="shared" si="5"/>
        <v/>
      </c>
      <c r="O40" s="45"/>
      <c r="P40" s="52" t="str">
        <f t="shared" si="6"/>
        <v/>
      </c>
      <c r="Q40" s="47"/>
      <c r="R40" s="52" t="str">
        <f t="shared" si="7"/>
        <v/>
      </c>
      <c r="S40" s="45"/>
      <c r="T40" s="52" t="str">
        <f t="shared" si="8"/>
        <v/>
      </c>
      <c r="U40" s="45"/>
      <c r="V40" s="52" t="str">
        <f t="shared" si="9"/>
        <v/>
      </c>
      <c r="W40" s="45"/>
      <c r="X40" s="52" t="str">
        <f t="shared" si="10"/>
        <v/>
      </c>
    </row>
    <row r="41" spans="1:24" x14ac:dyDescent="0.2">
      <c r="A41" s="14">
        <v>31</v>
      </c>
      <c r="B41" s="40">
        <v>46398</v>
      </c>
      <c r="C41" s="41">
        <f t="shared" si="0"/>
        <v>0</v>
      </c>
      <c r="D41" s="42"/>
      <c r="E41" s="14"/>
      <c r="F41" s="14"/>
      <c r="G41" s="59" t="str">
        <f t="shared" si="1"/>
        <v/>
      </c>
      <c r="H41" s="44" t="str">
        <f t="shared" si="2"/>
        <v/>
      </c>
      <c r="I41" s="47"/>
      <c r="J41" s="46" t="str">
        <f t="shared" si="3"/>
        <v/>
      </c>
      <c r="K41" s="45"/>
      <c r="L41" s="46" t="str">
        <f t="shared" si="4"/>
        <v/>
      </c>
      <c r="M41" s="45"/>
      <c r="N41" s="46" t="str">
        <f t="shared" si="5"/>
        <v/>
      </c>
      <c r="O41" s="45"/>
      <c r="P41" s="46" t="str">
        <f t="shared" si="6"/>
        <v/>
      </c>
      <c r="Q41" s="47"/>
      <c r="R41" s="46" t="str">
        <f t="shared" si="7"/>
        <v/>
      </c>
      <c r="S41" s="45"/>
      <c r="T41" s="46" t="str">
        <f t="shared" si="8"/>
        <v/>
      </c>
      <c r="U41" s="45"/>
      <c r="V41" s="46" t="str">
        <f t="shared" si="9"/>
        <v/>
      </c>
      <c r="W41" s="45"/>
      <c r="X41" s="46" t="str">
        <f t="shared" si="10"/>
        <v/>
      </c>
    </row>
    <row r="42" spans="1:24" x14ac:dyDescent="0.2">
      <c r="A42" s="21">
        <v>32</v>
      </c>
      <c r="B42" s="48">
        <v>46405</v>
      </c>
      <c r="C42" s="49">
        <f t="shared" si="0"/>
        <v>0</v>
      </c>
      <c r="D42" s="42"/>
      <c r="E42" s="21"/>
      <c r="F42" s="21"/>
      <c r="G42" s="60" t="str">
        <f t="shared" si="1"/>
        <v/>
      </c>
      <c r="H42" s="51" t="str">
        <f t="shared" si="2"/>
        <v/>
      </c>
      <c r="I42" s="47"/>
      <c r="J42" s="52" t="str">
        <f t="shared" si="3"/>
        <v/>
      </c>
      <c r="K42" s="45"/>
      <c r="L42" s="52" t="str">
        <f t="shared" si="4"/>
        <v/>
      </c>
      <c r="M42" s="45"/>
      <c r="N42" s="52" t="str">
        <f t="shared" si="5"/>
        <v/>
      </c>
      <c r="O42" s="45"/>
      <c r="P42" s="52" t="str">
        <f t="shared" si="6"/>
        <v/>
      </c>
      <c r="Q42" s="47"/>
      <c r="R42" s="52" t="str">
        <f t="shared" si="7"/>
        <v/>
      </c>
      <c r="S42" s="45"/>
      <c r="T42" s="52" t="str">
        <f t="shared" si="8"/>
        <v/>
      </c>
      <c r="U42" s="45"/>
      <c r="V42" s="52" t="str">
        <f t="shared" si="9"/>
        <v/>
      </c>
      <c r="W42" s="45"/>
      <c r="X42" s="52" t="str">
        <f t="shared" si="10"/>
        <v/>
      </c>
    </row>
    <row r="43" spans="1:24" x14ac:dyDescent="0.2">
      <c r="A43" s="14">
        <v>33</v>
      </c>
      <c r="B43" s="40">
        <v>46412</v>
      </c>
      <c r="C43" s="41">
        <f t="shared" ref="C43:C74" si="11">$B$5</f>
        <v>0</v>
      </c>
      <c r="D43" s="42"/>
      <c r="E43" s="14"/>
      <c r="F43" s="14"/>
      <c r="G43" s="59" t="str">
        <f t="shared" ref="G43:G74" si="12">IF(D43="","",D43-C43)</f>
        <v/>
      </c>
      <c r="H43" s="44" t="str">
        <f t="shared" ref="H43:H74" si="13">IF(D43="","",IF(D43&lt;=C43,"En meta",IF(D43&lt;=C43+1,"Riesgo","Atrasado")))</f>
        <v/>
      </c>
      <c r="I43" s="47"/>
      <c r="J43" s="46" t="str">
        <f t="shared" ref="J43:J74" si="14">IF(I43="","",IF($I$9="","",IF($I$9=0,"",I43/$I$9)))</f>
        <v/>
      </c>
      <c r="K43" s="45"/>
      <c r="L43" s="46" t="str">
        <f t="shared" ref="L43:L74" si="15">IF(K43="","",IF($K$9="","",IF($K$9=0,"",K43/$K$9)))</f>
        <v/>
      </c>
      <c r="M43" s="45"/>
      <c r="N43" s="46" t="str">
        <f t="shared" ref="N43:N74" si="16">IF(M43="","",IF($M$9="","",IF($M$9=0,"",M43/$M$9)))</f>
        <v/>
      </c>
      <c r="O43" s="45"/>
      <c r="P43" s="46" t="str">
        <f t="shared" ref="P43:P74" si="17">IF(O43="","",IF($O$9="","",IF($O$9=0,"",O43/$O$9)))</f>
        <v/>
      </c>
      <c r="Q43" s="47"/>
      <c r="R43" s="46" t="str">
        <f t="shared" ref="R43:R74" si="18">IF(Q43="","",IF($Q$9="","",IF($Q$9=0,"",Q43/$Q$9)))</f>
        <v/>
      </c>
      <c r="S43" s="45"/>
      <c r="T43" s="46" t="str">
        <f t="shared" ref="T43:T74" si="19">IF(S43="","",IF($S$9="","",IF($S$9=0,"",S43/$S$9)))</f>
        <v/>
      </c>
      <c r="U43" s="45"/>
      <c r="V43" s="46" t="str">
        <f t="shared" ref="V43:V74" si="20">IF(U43="","",IF($U$9="","",IF($U$9=0,"",U43/$U$9)))</f>
        <v/>
      </c>
      <c r="W43" s="45"/>
      <c r="X43" s="46" t="str">
        <f t="shared" ref="X43:X74" si="21">IF(W43="","",IF($W$9="","",IF($W$9=0,"",W43/$W$9)))</f>
        <v/>
      </c>
    </row>
    <row r="44" spans="1:24" x14ac:dyDescent="0.2">
      <c r="A44" s="21">
        <v>34</v>
      </c>
      <c r="B44" s="48">
        <v>46419</v>
      </c>
      <c r="C44" s="49">
        <f t="shared" si="11"/>
        <v>0</v>
      </c>
      <c r="D44" s="42"/>
      <c r="E44" s="21"/>
      <c r="F44" s="21"/>
      <c r="G44" s="60" t="str">
        <f t="shared" si="12"/>
        <v/>
      </c>
      <c r="H44" s="51" t="str">
        <f t="shared" si="13"/>
        <v/>
      </c>
      <c r="I44" s="47"/>
      <c r="J44" s="52" t="str">
        <f t="shared" si="14"/>
        <v/>
      </c>
      <c r="K44" s="45"/>
      <c r="L44" s="52" t="str">
        <f t="shared" si="15"/>
        <v/>
      </c>
      <c r="M44" s="45"/>
      <c r="N44" s="52" t="str">
        <f t="shared" si="16"/>
        <v/>
      </c>
      <c r="O44" s="45"/>
      <c r="P44" s="52" t="str">
        <f t="shared" si="17"/>
        <v/>
      </c>
      <c r="Q44" s="47"/>
      <c r="R44" s="52" t="str">
        <f t="shared" si="18"/>
        <v/>
      </c>
      <c r="S44" s="45"/>
      <c r="T44" s="52" t="str">
        <f t="shared" si="19"/>
        <v/>
      </c>
      <c r="U44" s="45"/>
      <c r="V44" s="52" t="str">
        <f t="shared" si="20"/>
        <v/>
      </c>
      <c r="W44" s="45"/>
      <c r="X44" s="52" t="str">
        <f t="shared" si="21"/>
        <v/>
      </c>
    </row>
    <row r="45" spans="1:24" x14ac:dyDescent="0.2">
      <c r="A45" s="14">
        <v>35</v>
      </c>
      <c r="B45" s="40">
        <v>46426</v>
      </c>
      <c r="C45" s="41">
        <f t="shared" si="11"/>
        <v>0</v>
      </c>
      <c r="D45" s="42"/>
      <c r="E45" s="14"/>
      <c r="F45" s="14"/>
      <c r="G45" s="59" t="str">
        <f t="shared" si="12"/>
        <v/>
      </c>
      <c r="H45" s="44" t="str">
        <f t="shared" si="13"/>
        <v/>
      </c>
      <c r="I45" s="47"/>
      <c r="J45" s="46" t="str">
        <f t="shared" si="14"/>
        <v/>
      </c>
      <c r="K45" s="45"/>
      <c r="L45" s="46" t="str">
        <f t="shared" si="15"/>
        <v/>
      </c>
      <c r="M45" s="45"/>
      <c r="N45" s="46" t="str">
        <f t="shared" si="16"/>
        <v/>
      </c>
      <c r="O45" s="45"/>
      <c r="P45" s="46" t="str">
        <f t="shared" si="17"/>
        <v/>
      </c>
      <c r="Q45" s="47"/>
      <c r="R45" s="46" t="str">
        <f t="shared" si="18"/>
        <v/>
      </c>
      <c r="S45" s="45"/>
      <c r="T45" s="46" t="str">
        <f t="shared" si="19"/>
        <v/>
      </c>
      <c r="U45" s="45"/>
      <c r="V45" s="46" t="str">
        <f t="shared" si="20"/>
        <v/>
      </c>
      <c r="W45" s="45"/>
      <c r="X45" s="46" t="str">
        <f t="shared" si="21"/>
        <v/>
      </c>
    </row>
    <row r="46" spans="1:24" x14ac:dyDescent="0.2">
      <c r="A46" s="21">
        <v>36</v>
      </c>
      <c r="B46" s="48">
        <v>46433</v>
      </c>
      <c r="C46" s="49">
        <f t="shared" si="11"/>
        <v>0</v>
      </c>
      <c r="D46" s="42"/>
      <c r="E46" s="21"/>
      <c r="F46" s="21"/>
      <c r="G46" s="60" t="str">
        <f t="shared" si="12"/>
        <v/>
      </c>
      <c r="H46" s="51" t="str">
        <f t="shared" si="13"/>
        <v/>
      </c>
      <c r="I46" s="47"/>
      <c r="J46" s="52" t="str">
        <f t="shared" si="14"/>
        <v/>
      </c>
      <c r="K46" s="45"/>
      <c r="L46" s="52" t="str">
        <f t="shared" si="15"/>
        <v/>
      </c>
      <c r="M46" s="45"/>
      <c r="N46" s="52" t="str">
        <f t="shared" si="16"/>
        <v/>
      </c>
      <c r="O46" s="45"/>
      <c r="P46" s="52" t="str">
        <f t="shared" si="17"/>
        <v/>
      </c>
      <c r="Q46" s="47"/>
      <c r="R46" s="52" t="str">
        <f t="shared" si="18"/>
        <v/>
      </c>
      <c r="S46" s="45"/>
      <c r="T46" s="52" t="str">
        <f t="shared" si="19"/>
        <v/>
      </c>
      <c r="U46" s="45"/>
      <c r="V46" s="52" t="str">
        <f t="shared" si="20"/>
        <v/>
      </c>
      <c r="W46" s="45"/>
      <c r="X46" s="52" t="str">
        <f t="shared" si="21"/>
        <v/>
      </c>
    </row>
    <row r="47" spans="1:24" x14ac:dyDescent="0.2">
      <c r="A47" s="14">
        <v>37</v>
      </c>
      <c r="B47" s="40">
        <v>46440</v>
      </c>
      <c r="C47" s="41">
        <f t="shared" si="11"/>
        <v>0</v>
      </c>
      <c r="D47" s="42"/>
      <c r="E47" s="14"/>
      <c r="F47" s="14"/>
      <c r="G47" s="59" t="str">
        <f t="shared" si="12"/>
        <v/>
      </c>
      <c r="H47" s="44" t="str">
        <f t="shared" si="13"/>
        <v/>
      </c>
      <c r="I47" s="47"/>
      <c r="J47" s="46" t="str">
        <f t="shared" si="14"/>
        <v/>
      </c>
      <c r="K47" s="45"/>
      <c r="L47" s="46" t="str">
        <f t="shared" si="15"/>
        <v/>
      </c>
      <c r="M47" s="45"/>
      <c r="N47" s="46" t="str">
        <f t="shared" si="16"/>
        <v/>
      </c>
      <c r="O47" s="45"/>
      <c r="P47" s="46" t="str">
        <f t="shared" si="17"/>
        <v/>
      </c>
      <c r="Q47" s="47"/>
      <c r="R47" s="46" t="str">
        <f t="shared" si="18"/>
        <v/>
      </c>
      <c r="S47" s="45"/>
      <c r="T47" s="46" t="str">
        <f t="shared" si="19"/>
        <v/>
      </c>
      <c r="U47" s="45"/>
      <c r="V47" s="46" t="str">
        <f t="shared" si="20"/>
        <v/>
      </c>
      <c r="W47" s="45"/>
      <c r="X47" s="46" t="str">
        <f t="shared" si="21"/>
        <v/>
      </c>
    </row>
    <row r="48" spans="1:24" x14ac:dyDescent="0.2">
      <c r="A48" s="21">
        <v>38</v>
      </c>
      <c r="B48" s="48">
        <v>46447</v>
      </c>
      <c r="C48" s="49">
        <f t="shared" si="11"/>
        <v>0</v>
      </c>
      <c r="D48" s="42"/>
      <c r="E48" s="21"/>
      <c r="F48" s="21"/>
      <c r="G48" s="60" t="str">
        <f t="shared" si="12"/>
        <v/>
      </c>
      <c r="H48" s="51" t="str">
        <f t="shared" si="13"/>
        <v/>
      </c>
      <c r="I48" s="47"/>
      <c r="J48" s="52" t="str">
        <f t="shared" si="14"/>
        <v/>
      </c>
      <c r="K48" s="45"/>
      <c r="L48" s="52" t="str">
        <f t="shared" si="15"/>
        <v/>
      </c>
      <c r="M48" s="45"/>
      <c r="N48" s="52" t="str">
        <f t="shared" si="16"/>
        <v/>
      </c>
      <c r="O48" s="45"/>
      <c r="P48" s="52" t="str">
        <f t="shared" si="17"/>
        <v/>
      </c>
      <c r="Q48" s="47"/>
      <c r="R48" s="52" t="str">
        <f t="shared" si="18"/>
        <v/>
      </c>
      <c r="S48" s="45"/>
      <c r="T48" s="52" t="str">
        <f t="shared" si="19"/>
        <v/>
      </c>
      <c r="U48" s="45"/>
      <c r="V48" s="52" t="str">
        <f t="shared" si="20"/>
        <v/>
      </c>
      <c r="W48" s="45"/>
      <c r="X48" s="52" t="str">
        <f t="shared" si="21"/>
        <v/>
      </c>
    </row>
    <row r="49" spans="1:24" x14ac:dyDescent="0.2">
      <c r="A49" s="14">
        <v>39</v>
      </c>
      <c r="B49" s="40">
        <v>46454</v>
      </c>
      <c r="C49" s="41">
        <f t="shared" si="11"/>
        <v>0</v>
      </c>
      <c r="D49" s="42"/>
      <c r="E49" s="14"/>
      <c r="F49" s="14"/>
      <c r="G49" s="59" t="str">
        <f t="shared" si="12"/>
        <v/>
      </c>
      <c r="H49" s="44" t="str">
        <f t="shared" si="13"/>
        <v/>
      </c>
      <c r="I49" s="47"/>
      <c r="J49" s="46" t="str">
        <f t="shared" si="14"/>
        <v/>
      </c>
      <c r="K49" s="45"/>
      <c r="L49" s="46" t="str">
        <f t="shared" si="15"/>
        <v/>
      </c>
      <c r="M49" s="45"/>
      <c r="N49" s="46" t="str">
        <f t="shared" si="16"/>
        <v/>
      </c>
      <c r="O49" s="45"/>
      <c r="P49" s="46" t="str">
        <f t="shared" si="17"/>
        <v/>
      </c>
      <c r="Q49" s="47"/>
      <c r="R49" s="46" t="str">
        <f t="shared" si="18"/>
        <v/>
      </c>
      <c r="S49" s="45"/>
      <c r="T49" s="46" t="str">
        <f t="shared" si="19"/>
        <v/>
      </c>
      <c r="U49" s="45"/>
      <c r="V49" s="46" t="str">
        <f t="shared" si="20"/>
        <v/>
      </c>
      <c r="W49" s="45"/>
      <c r="X49" s="46" t="str">
        <f t="shared" si="21"/>
        <v/>
      </c>
    </row>
    <row r="50" spans="1:24" x14ac:dyDescent="0.2">
      <c r="A50" s="21">
        <v>40</v>
      </c>
      <c r="B50" s="48">
        <v>46461</v>
      </c>
      <c r="C50" s="49">
        <f t="shared" si="11"/>
        <v>0</v>
      </c>
      <c r="D50" s="42"/>
      <c r="E50" s="21"/>
      <c r="F50" s="21"/>
      <c r="G50" s="60" t="str">
        <f t="shared" si="12"/>
        <v/>
      </c>
      <c r="H50" s="51" t="str">
        <f t="shared" si="13"/>
        <v/>
      </c>
      <c r="I50" s="47"/>
      <c r="J50" s="52" t="str">
        <f t="shared" si="14"/>
        <v/>
      </c>
      <c r="K50" s="45"/>
      <c r="L50" s="52" t="str">
        <f t="shared" si="15"/>
        <v/>
      </c>
      <c r="M50" s="45"/>
      <c r="N50" s="52" t="str">
        <f t="shared" si="16"/>
        <v/>
      </c>
      <c r="O50" s="45"/>
      <c r="P50" s="52" t="str">
        <f t="shared" si="17"/>
        <v/>
      </c>
      <c r="Q50" s="47"/>
      <c r="R50" s="52" t="str">
        <f t="shared" si="18"/>
        <v/>
      </c>
      <c r="S50" s="45"/>
      <c r="T50" s="52" t="str">
        <f t="shared" si="19"/>
        <v/>
      </c>
      <c r="U50" s="45"/>
      <c r="V50" s="52" t="str">
        <f t="shared" si="20"/>
        <v/>
      </c>
      <c r="W50" s="45"/>
      <c r="X50" s="52" t="str">
        <f t="shared" si="21"/>
        <v/>
      </c>
    </row>
    <row r="51" spans="1:24" x14ac:dyDescent="0.2">
      <c r="A51" s="14">
        <v>41</v>
      </c>
      <c r="B51" s="40">
        <v>46468</v>
      </c>
      <c r="C51" s="41">
        <f t="shared" si="11"/>
        <v>0</v>
      </c>
      <c r="D51" s="42"/>
      <c r="E51" s="14"/>
      <c r="F51" s="14"/>
      <c r="G51" s="59" t="str">
        <f t="shared" si="12"/>
        <v/>
      </c>
      <c r="H51" s="44" t="str">
        <f t="shared" si="13"/>
        <v/>
      </c>
      <c r="I51" s="47"/>
      <c r="J51" s="46" t="str">
        <f t="shared" si="14"/>
        <v/>
      </c>
      <c r="K51" s="45"/>
      <c r="L51" s="46" t="str">
        <f t="shared" si="15"/>
        <v/>
      </c>
      <c r="M51" s="45"/>
      <c r="N51" s="46" t="str">
        <f t="shared" si="16"/>
        <v/>
      </c>
      <c r="O51" s="45"/>
      <c r="P51" s="46" t="str">
        <f t="shared" si="17"/>
        <v/>
      </c>
      <c r="Q51" s="47"/>
      <c r="R51" s="46" t="str">
        <f t="shared" si="18"/>
        <v/>
      </c>
      <c r="S51" s="45"/>
      <c r="T51" s="46" t="str">
        <f t="shared" si="19"/>
        <v/>
      </c>
      <c r="U51" s="45"/>
      <c r="V51" s="46" t="str">
        <f t="shared" si="20"/>
        <v/>
      </c>
      <c r="W51" s="45"/>
      <c r="X51" s="46" t="str">
        <f t="shared" si="21"/>
        <v/>
      </c>
    </row>
    <row r="52" spans="1:24" x14ac:dyDescent="0.2">
      <c r="A52" s="21">
        <v>42</v>
      </c>
      <c r="B52" s="48">
        <v>46475</v>
      </c>
      <c r="C52" s="49">
        <f t="shared" si="11"/>
        <v>0</v>
      </c>
      <c r="D52" s="42"/>
      <c r="E52" s="21"/>
      <c r="F52" s="21"/>
      <c r="G52" s="60" t="str">
        <f t="shared" si="12"/>
        <v/>
      </c>
      <c r="H52" s="51" t="str">
        <f t="shared" si="13"/>
        <v/>
      </c>
      <c r="I52" s="47"/>
      <c r="J52" s="52" t="str">
        <f t="shared" si="14"/>
        <v/>
      </c>
      <c r="K52" s="45"/>
      <c r="L52" s="52" t="str">
        <f t="shared" si="15"/>
        <v/>
      </c>
      <c r="M52" s="45"/>
      <c r="N52" s="52" t="str">
        <f t="shared" si="16"/>
        <v/>
      </c>
      <c r="O52" s="45"/>
      <c r="P52" s="52" t="str">
        <f t="shared" si="17"/>
        <v/>
      </c>
      <c r="Q52" s="47"/>
      <c r="R52" s="52" t="str">
        <f t="shared" si="18"/>
        <v/>
      </c>
      <c r="S52" s="45"/>
      <c r="T52" s="52" t="str">
        <f t="shared" si="19"/>
        <v/>
      </c>
      <c r="U52" s="45"/>
      <c r="V52" s="52" t="str">
        <f t="shared" si="20"/>
        <v/>
      </c>
      <c r="W52" s="45"/>
      <c r="X52" s="52" t="str">
        <f t="shared" si="21"/>
        <v/>
      </c>
    </row>
    <row r="53" spans="1:24" x14ac:dyDescent="0.2">
      <c r="A53" s="14">
        <v>43</v>
      </c>
      <c r="B53" s="40">
        <v>46482</v>
      </c>
      <c r="C53" s="41">
        <f t="shared" si="11"/>
        <v>0</v>
      </c>
      <c r="D53" s="42"/>
      <c r="E53" s="14"/>
      <c r="F53" s="14"/>
      <c r="G53" s="59" t="str">
        <f t="shared" si="12"/>
        <v/>
      </c>
      <c r="H53" s="44" t="str">
        <f t="shared" si="13"/>
        <v/>
      </c>
      <c r="I53" s="47"/>
      <c r="J53" s="46" t="str">
        <f t="shared" si="14"/>
        <v/>
      </c>
      <c r="K53" s="45"/>
      <c r="L53" s="46" t="str">
        <f t="shared" si="15"/>
        <v/>
      </c>
      <c r="M53" s="45"/>
      <c r="N53" s="46" t="str">
        <f t="shared" si="16"/>
        <v/>
      </c>
      <c r="O53" s="45"/>
      <c r="P53" s="46" t="str">
        <f t="shared" si="17"/>
        <v/>
      </c>
      <c r="Q53" s="47"/>
      <c r="R53" s="46" t="str">
        <f t="shared" si="18"/>
        <v/>
      </c>
      <c r="S53" s="45"/>
      <c r="T53" s="46" t="str">
        <f t="shared" si="19"/>
        <v/>
      </c>
      <c r="U53" s="45"/>
      <c r="V53" s="46" t="str">
        <f t="shared" si="20"/>
        <v/>
      </c>
      <c r="W53" s="45"/>
      <c r="X53" s="46" t="str">
        <f t="shared" si="21"/>
        <v/>
      </c>
    </row>
    <row r="54" spans="1:24" x14ac:dyDescent="0.2">
      <c r="A54" s="21">
        <v>44</v>
      </c>
      <c r="B54" s="48">
        <v>46489</v>
      </c>
      <c r="C54" s="49">
        <f t="shared" si="11"/>
        <v>0</v>
      </c>
      <c r="D54" s="42"/>
      <c r="E54" s="21"/>
      <c r="F54" s="21"/>
      <c r="G54" s="60" t="str">
        <f t="shared" si="12"/>
        <v/>
      </c>
      <c r="H54" s="51" t="str">
        <f t="shared" si="13"/>
        <v/>
      </c>
      <c r="I54" s="47"/>
      <c r="J54" s="52" t="str">
        <f t="shared" si="14"/>
        <v/>
      </c>
      <c r="K54" s="45"/>
      <c r="L54" s="52" t="str">
        <f t="shared" si="15"/>
        <v/>
      </c>
      <c r="M54" s="45"/>
      <c r="N54" s="52" t="str">
        <f t="shared" si="16"/>
        <v/>
      </c>
      <c r="O54" s="45"/>
      <c r="P54" s="52" t="str">
        <f t="shared" si="17"/>
        <v/>
      </c>
      <c r="Q54" s="47"/>
      <c r="R54" s="52" t="str">
        <f t="shared" si="18"/>
        <v/>
      </c>
      <c r="S54" s="45"/>
      <c r="T54" s="52" t="str">
        <f t="shared" si="19"/>
        <v/>
      </c>
      <c r="U54" s="45"/>
      <c r="V54" s="52" t="str">
        <f t="shared" si="20"/>
        <v/>
      </c>
      <c r="W54" s="45"/>
      <c r="X54" s="52" t="str">
        <f t="shared" si="21"/>
        <v/>
      </c>
    </row>
    <row r="55" spans="1:24" x14ac:dyDescent="0.2">
      <c r="A55" s="14">
        <v>45</v>
      </c>
      <c r="B55" s="40">
        <v>46496</v>
      </c>
      <c r="C55" s="41">
        <f t="shared" si="11"/>
        <v>0</v>
      </c>
      <c r="D55" s="42"/>
      <c r="E55" s="14"/>
      <c r="F55" s="14"/>
      <c r="G55" s="59" t="str">
        <f t="shared" si="12"/>
        <v/>
      </c>
      <c r="H55" s="44" t="str">
        <f t="shared" si="13"/>
        <v/>
      </c>
      <c r="I55" s="47"/>
      <c r="J55" s="46" t="str">
        <f t="shared" si="14"/>
        <v/>
      </c>
      <c r="K55" s="45"/>
      <c r="L55" s="46" t="str">
        <f t="shared" si="15"/>
        <v/>
      </c>
      <c r="M55" s="45"/>
      <c r="N55" s="46" t="str">
        <f t="shared" si="16"/>
        <v/>
      </c>
      <c r="O55" s="45"/>
      <c r="P55" s="46" t="str">
        <f t="shared" si="17"/>
        <v/>
      </c>
      <c r="Q55" s="47"/>
      <c r="R55" s="46" t="str">
        <f t="shared" si="18"/>
        <v/>
      </c>
      <c r="S55" s="45"/>
      <c r="T55" s="46" t="str">
        <f t="shared" si="19"/>
        <v/>
      </c>
      <c r="U55" s="45"/>
      <c r="V55" s="46" t="str">
        <f t="shared" si="20"/>
        <v/>
      </c>
      <c r="W55" s="45"/>
      <c r="X55" s="46" t="str">
        <f t="shared" si="21"/>
        <v/>
      </c>
    </row>
    <row r="56" spans="1:24" x14ac:dyDescent="0.2">
      <c r="A56" s="21">
        <v>46</v>
      </c>
      <c r="B56" s="48">
        <v>46503</v>
      </c>
      <c r="C56" s="49">
        <f t="shared" si="11"/>
        <v>0</v>
      </c>
      <c r="D56" s="42"/>
      <c r="E56" s="21"/>
      <c r="F56" s="21"/>
      <c r="G56" s="60" t="str">
        <f t="shared" si="12"/>
        <v/>
      </c>
      <c r="H56" s="51" t="str">
        <f t="shared" si="13"/>
        <v/>
      </c>
      <c r="I56" s="47"/>
      <c r="J56" s="52" t="str">
        <f t="shared" si="14"/>
        <v/>
      </c>
      <c r="K56" s="45"/>
      <c r="L56" s="52" t="str">
        <f t="shared" si="15"/>
        <v/>
      </c>
      <c r="M56" s="45"/>
      <c r="N56" s="52" t="str">
        <f t="shared" si="16"/>
        <v/>
      </c>
      <c r="O56" s="45"/>
      <c r="P56" s="52" t="str">
        <f t="shared" si="17"/>
        <v/>
      </c>
      <c r="Q56" s="47"/>
      <c r="R56" s="52" t="str">
        <f t="shared" si="18"/>
        <v/>
      </c>
      <c r="S56" s="45"/>
      <c r="T56" s="52" t="str">
        <f t="shared" si="19"/>
        <v/>
      </c>
      <c r="U56" s="45"/>
      <c r="V56" s="52" t="str">
        <f t="shared" si="20"/>
        <v/>
      </c>
      <c r="W56" s="45"/>
      <c r="X56" s="52" t="str">
        <f t="shared" si="21"/>
        <v/>
      </c>
    </row>
    <row r="57" spans="1:24" x14ac:dyDescent="0.2">
      <c r="A57" s="14">
        <v>47</v>
      </c>
      <c r="B57" s="40">
        <v>46510</v>
      </c>
      <c r="C57" s="41">
        <f t="shared" si="11"/>
        <v>0</v>
      </c>
      <c r="D57" s="42"/>
      <c r="E57" s="14"/>
      <c r="F57" s="14"/>
      <c r="G57" s="59" t="str">
        <f t="shared" si="12"/>
        <v/>
      </c>
      <c r="H57" s="44" t="str">
        <f t="shared" si="13"/>
        <v/>
      </c>
      <c r="I57" s="47"/>
      <c r="J57" s="46" t="str">
        <f t="shared" si="14"/>
        <v/>
      </c>
      <c r="K57" s="45"/>
      <c r="L57" s="46" t="str">
        <f t="shared" si="15"/>
        <v/>
      </c>
      <c r="M57" s="45"/>
      <c r="N57" s="46" t="str">
        <f t="shared" si="16"/>
        <v/>
      </c>
      <c r="O57" s="45"/>
      <c r="P57" s="46" t="str">
        <f t="shared" si="17"/>
        <v/>
      </c>
      <c r="Q57" s="47"/>
      <c r="R57" s="46" t="str">
        <f t="shared" si="18"/>
        <v/>
      </c>
      <c r="S57" s="45"/>
      <c r="T57" s="46" t="str">
        <f t="shared" si="19"/>
        <v/>
      </c>
      <c r="U57" s="45"/>
      <c r="V57" s="46" t="str">
        <f t="shared" si="20"/>
        <v/>
      </c>
      <c r="W57" s="45"/>
      <c r="X57" s="46" t="str">
        <f t="shared" si="21"/>
        <v/>
      </c>
    </row>
    <row r="58" spans="1:24" x14ac:dyDescent="0.2">
      <c r="A58" s="21">
        <v>48</v>
      </c>
      <c r="B58" s="48">
        <v>46517</v>
      </c>
      <c r="C58" s="49">
        <f t="shared" si="11"/>
        <v>0</v>
      </c>
      <c r="D58" s="42"/>
      <c r="E58" s="21"/>
      <c r="F58" s="21"/>
      <c r="G58" s="60" t="str">
        <f t="shared" si="12"/>
        <v/>
      </c>
      <c r="H58" s="51" t="str">
        <f t="shared" si="13"/>
        <v/>
      </c>
      <c r="I58" s="47"/>
      <c r="J58" s="52" t="str">
        <f t="shared" si="14"/>
        <v/>
      </c>
      <c r="K58" s="45"/>
      <c r="L58" s="52" t="str">
        <f t="shared" si="15"/>
        <v/>
      </c>
      <c r="M58" s="45"/>
      <c r="N58" s="52" t="str">
        <f t="shared" si="16"/>
        <v/>
      </c>
      <c r="O58" s="45"/>
      <c r="P58" s="52" t="str">
        <f t="shared" si="17"/>
        <v/>
      </c>
      <c r="Q58" s="47"/>
      <c r="R58" s="52" t="str">
        <f t="shared" si="18"/>
        <v/>
      </c>
      <c r="S58" s="45"/>
      <c r="T58" s="52" t="str">
        <f t="shared" si="19"/>
        <v/>
      </c>
      <c r="U58" s="45"/>
      <c r="V58" s="52" t="str">
        <f t="shared" si="20"/>
        <v/>
      </c>
      <c r="W58" s="45"/>
      <c r="X58" s="52" t="str">
        <f t="shared" si="21"/>
        <v/>
      </c>
    </row>
    <row r="59" spans="1:24" x14ac:dyDescent="0.2">
      <c r="A59" s="14">
        <v>49</v>
      </c>
      <c r="B59" s="40">
        <v>46524</v>
      </c>
      <c r="C59" s="41">
        <f t="shared" si="11"/>
        <v>0</v>
      </c>
      <c r="D59" s="42"/>
      <c r="E59" s="14"/>
      <c r="F59" s="14"/>
      <c r="G59" s="59" t="str">
        <f t="shared" si="12"/>
        <v/>
      </c>
      <c r="H59" s="44" t="str">
        <f t="shared" si="13"/>
        <v/>
      </c>
      <c r="I59" s="47"/>
      <c r="J59" s="46" t="str">
        <f t="shared" si="14"/>
        <v/>
      </c>
      <c r="K59" s="45"/>
      <c r="L59" s="46" t="str">
        <f t="shared" si="15"/>
        <v/>
      </c>
      <c r="M59" s="45"/>
      <c r="N59" s="46" t="str">
        <f t="shared" si="16"/>
        <v/>
      </c>
      <c r="O59" s="45"/>
      <c r="P59" s="46" t="str">
        <f t="shared" si="17"/>
        <v/>
      </c>
      <c r="Q59" s="47"/>
      <c r="R59" s="46" t="str">
        <f t="shared" si="18"/>
        <v/>
      </c>
      <c r="S59" s="45"/>
      <c r="T59" s="46" t="str">
        <f t="shared" si="19"/>
        <v/>
      </c>
      <c r="U59" s="45"/>
      <c r="V59" s="46" t="str">
        <f t="shared" si="20"/>
        <v/>
      </c>
      <c r="W59" s="45"/>
      <c r="X59" s="46" t="str">
        <f t="shared" si="21"/>
        <v/>
      </c>
    </row>
    <row r="60" spans="1:24" x14ac:dyDescent="0.2">
      <c r="A60" s="21">
        <v>50</v>
      </c>
      <c r="B60" s="48">
        <v>46531</v>
      </c>
      <c r="C60" s="49">
        <f t="shared" si="11"/>
        <v>0</v>
      </c>
      <c r="D60" s="42"/>
      <c r="E60" s="21"/>
      <c r="F60" s="21"/>
      <c r="G60" s="60" t="str">
        <f t="shared" si="12"/>
        <v/>
      </c>
      <c r="H60" s="51" t="str">
        <f t="shared" si="13"/>
        <v/>
      </c>
      <c r="I60" s="47"/>
      <c r="J60" s="52" t="str">
        <f t="shared" si="14"/>
        <v/>
      </c>
      <c r="K60" s="45"/>
      <c r="L60" s="52" t="str">
        <f t="shared" si="15"/>
        <v/>
      </c>
      <c r="M60" s="45"/>
      <c r="N60" s="52" t="str">
        <f t="shared" si="16"/>
        <v/>
      </c>
      <c r="O60" s="45"/>
      <c r="P60" s="52" t="str">
        <f t="shared" si="17"/>
        <v/>
      </c>
      <c r="Q60" s="47"/>
      <c r="R60" s="52" t="str">
        <f t="shared" si="18"/>
        <v/>
      </c>
      <c r="S60" s="45"/>
      <c r="T60" s="52" t="str">
        <f t="shared" si="19"/>
        <v/>
      </c>
      <c r="U60" s="45"/>
      <c r="V60" s="52" t="str">
        <f t="shared" si="20"/>
        <v/>
      </c>
      <c r="W60" s="45"/>
      <c r="X60" s="52" t="str">
        <f t="shared" si="21"/>
        <v/>
      </c>
    </row>
    <row r="61" spans="1:24" x14ac:dyDescent="0.2">
      <c r="A61" s="14">
        <v>51</v>
      </c>
      <c r="B61" s="40">
        <v>46538</v>
      </c>
      <c r="C61" s="41">
        <f t="shared" si="11"/>
        <v>0</v>
      </c>
      <c r="D61" s="42"/>
      <c r="E61" s="14"/>
      <c r="F61" s="14"/>
      <c r="G61" s="59" t="str">
        <f t="shared" si="12"/>
        <v/>
      </c>
      <c r="H61" s="44" t="str">
        <f t="shared" si="13"/>
        <v/>
      </c>
      <c r="I61" s="47"/>
      <c r="J61" s="46" t="str">
        <f t="shared" si="14"/>
        <v/>
      </c>
      <c r="K61" s="45"/>
      <c r="L61" s="46" t="str">
        <f t="shared" si="15"/>
        <v/>
      </c>
      <c r="M61" s="45"/>
      <c r="N61" s="46" t="str">
        <f t="shared" si="16"/>
        <v/>
      </c>
      <c r="O61" s="45"/>
      <c r="P61" s="46" t="str">
        <f t="shared" si="17"/>
        <v/>
      </c>
      <c r="Q61" s="47"/>
      <c r="R61" s="46" t="str">
        <f t="shared" si="18"/>
        <v/>
      </c>
      <c r="S61" s="45"/>
      <c r="T61" s="46" t="str">
        <f t="shared" si="19"/>
        <v/>
      </c>
      <c r="U61" s="45"/>
      <c r="V61" s="46" t="str">
        <f t="shared" si="20"/>
        <v/>
      </c>
      <c r="W61" s="45"/>
      <c r="X61" s="46" t="str">
        <f t="shared" si="21"/>
        <v/>
      </c>
    </row>
    <row r="62" spans="1:24" x14ac:dyDescent="0.2">
      <c r="A62" s="21">
        <v>52</v>
      </c>
      <c r="B62" s="48">
        <v>46545</v>
      </c>
      <c r="C62" s="49">
        <f t="shared" si="11"/>
        <v>0</v>
      </c>
      <c r="D62" s="42"/>
      <c r="E62" s="21"/>
      <c r="F62" s="21"/>
      <c r="G62" s="60" t="str">
        <f t="shared" si="12"/>
        <v/>
      </c>
      <c r="H62" s="51" t="str">
        <f t="shared" si="13"/>
        <v/>
      </c>
      <c r="I62" s="47"/>
      <c r="J62" s="52" t="str">
        <f t="shared" si="14"/>
        <v/>
      </c>
      <c r="K62" s="45"/>
      <c r="L62" s="52" t="str">
        <f t="shared" si="15"/>
        <v/>
      </c>
      <c r="M62" s="45"/>
      <c r="N62" s="52" t="str">
        <f t="shared" si="16"/>
        <v/>
      </c>
      <c r="O62" s="45"/>
      <c r="P62" s="52" t="str">
        <f t="shared" si="17"/>
        <v/>
      </c>
      <c r="Q62" s="47"/>
      <c r="R62" s="52" t="str">
        <f t="shared" si="18"/>
        <v/>
      </c>
      <c r="S62" s="45"/>
      <c r="T62" s="52" t="str">
        <f t="shared" si="19"/>
        <v/>
      </c>
      <c r="U62" s="45"/>
      <c r="V62" s="52" t="str">
        <f t="shared" si="20"/>
        <v/>
      </c>
      <c r="W62" s="45"/>
      <c r="X62" s="52" t="str">
        <f t="shared" si="21"/>
        <v/>
      </c>
    </row>
    <row r="63" spans="1:24" x14ac:dyDescent="0.2">
      <c r="A63" s="14">
        <v>53</v>
      </c>
      <c r="B63" s="40">
        <v>46552</v>
      </c>
      <c r="C63" s="41">
        <f t="shared" si="11"/>
        <v>0</v>
      </c>
      <c r="D63" s="42"/>
      <c r="E63" s="14"/>
      <c r="F63" s="14"/>
      <c r="G63" s="59" t="str">
        <f t="shared" si="12"/>
        <v/>
      </c>
      <c r="H63" s="44" t="str">
        <f t="shared" si="13"/>
        <v/>
      </c>
      <c r="I63" s="47"/>
      <c r="J63" s="46" t="str">
        <f t="shared" si="14"/>
        <v/>
      </c>
      <c r="K63" s="45"/>
      <c r="L63" s="46" t="str">
        <f t="shared" si="15"/>
        <v/>
      </c>
      <c r="M63" s="45"/>
      <c r="N63" s="46" t="str">
        <f t="shared" si="16"/>
        <v/>
      </c>
      <c r="O63" s="45"/>
      <c r="P63" s="46" t="str">
        <f t="shared" si="17"/>
        <v/>
      </c>
      <c r="Q63" s="47"/>
      <c r="R63" s="46" t="str">
        <f t="shared" si="18"/>
        <v/>
      </c>
      <c r="S63" s="45"/>
      <c r="T63" s="46" t="str">
        <f t="shared" si="19"/>
        <v/>
      </c>
      <c r="U63" s="45"/>
      <c r="V63" s="46" t="str">
        <f t="shared" si="20"/>
        <v/>
      </c>
      <c r="W63" s="45"/>
      <c r="X63" s="46" t="str">
        <f t="shared" si="21"/>
        <v/>
      </c>
    </row>
    <row r="64" spans="1:24" x14ac:dyDescent="0.2">
      <c r="A64" s="21">
        <v>54</v>
      </c>
      <c r="B64" s="48">
        <v>46559</v>
      </c>
      <c r="C64" s="49">
        <f t="shared" si="11"/>
        <v>0</v>
      </c>
      <c r="D64" s="42"/>
      <c r="E64" s="21"/>
      <c r="F64" s="21"/>
      <c r="G64" s="60" t="str">
        <f t="shared" si="12"/>
        <v/>
      </c>
      <c r="H64" s="51" t="str">
        <f t="shared" si="13"/>
        <v/>
      </c>
      <c r="I64" s="47"/>
      <c r="J64" s="52" t="str">
        <f t="shared" si="14"/>
        <v/>
      </c>
      <c r="K64" s="45"/>
      <c r="L64" s="52" t="str">
        <f t="shared" si="15"/>
        <v/>
      </c>
      <c r="M64" s="45"/>
      <c r="N64" s="52" t="str">
        <f t="shared" si="16"/>
        <v/>
      </c>
      <c r="O64" s="45"/>
      <c r="P64" s="52" t="str">
        <f t="shared" si="17"/>
        <v/>
      </c>
      <c r="Q64" s="47"/>
      <c r="R64" s="52" t="str">
        <f t="shared" si="18"/>
        <v/>
      </c>
      <c r="S64" s="45"/>
      <c r="T64" s="52" t="str">
        <f t="shared" si="19"/>
        <v/>
      </c>
      <c r="U64" s="45"/>
      <c r="V64" s="52" t="str">
        <f t="shared" si="20"/>
        <v/>
      </c>
      <c r="W64" s="45"/>
      <c r="X64" s="52" t="str">
        <f t="shared" si="21"/>
        <v/>
      </c>
    </row>
    <row r="65" spans="1:24" x14ac:dyDescent="0.2">
      <c r="A65" s="14">
        <v>55</v>
      </c>
      <c r="B65" s="40">
        <v>46566</v>
      </c>
      <c r="C65" s="41">
        <f t="shared" si="11"/>
        <v>0</v>
      </c>
      <c r="D65" s="42"/>
      <c r="E65" s="14"/>
      <c r="F65" s="14"/>
      <c r="G65" s="59" t="str">
        <f t="shared" si="12"/>
        <v/>
      </c>
      <c r="H65" s="44" t="str">
        <f t="shared" si="13"/>
        <v/>
      </c>
      <c r="I65" s="47"/>
      <c r="J65" s="46" t="str">
        <f t="shared" si="14"/>
        <v/>
      </c>
      <c r="K65" s="45"/>
      <c r="L65" s="46" t="str">
        <f t="shared" si="15"/>
        <v/>
      </c>
      <c r="M65" s="45"/>
      <c r="N65" s="46" t="str">
        <f t="shared" si="16"/>
        <v/>
      </c>
      <c r="O65" s="45"/>
      <c r="P65" s="46" t="str">
        <f t="shared" si="17"/>
        <v/>
      </c>
      <c r="Q65" s="47"/>
      <c r="R65" s="46" t="str">
        <f t="shared" si="18"/>
        <v/>
      </c>
      <c r="S65" s="45"/>
      <c r="T65" s="46" t="str">
        <f t="shared" si="19"/>
        <v/>
      </c>
      <c r="U65" s="45"/>
      <c r="V65" s="46" t="str">
        <f t="shared" si="20"/>
        <v/>
      </c>
      <c r="W65" s="45"/>
      <c r="X65" s="46" t="str">
        <f t="shared" si="21"/>
        <v/>
      </c>
    </row>
    <row r="66" spans="1:24" x14ac:dyDescent="0.2">
      <c r="A66" s="21">
        <v>56</v>
      </c>
      <c r="B66" s="48">
        <v>46573</v>
      </c>
      <c r="C66" s="49">
        <f t="shared" si="11"/>
        <v>0</v>
      </c>
      <c r="D66" s="42"/>
      <c r="E66" s="21"/>
      <c r="F66" s="21"/>
      <c r="G66" s="60" t="str">
        <f t="shared" si="12"/>
        <v/>
      </c>
      <c r="H66" s="51" t="str">
        <f t="shared" si="13"/>
        <v/>
      </c>
      <c r="I66" s="47"/>
      <c r="J66" s="52" t="str">
        <f t="shared" si="14"/>
        <v/>
      </c>
      <c r="K66" s="45"/>
      <c r="L66" s="52" t="str">
        <f t="shared" si="15"/>
        <v/>
      </c>
      <c r="M66" s="45"/>
      <c r="N66" s="52" t="str">
        <f t="shared" si="16"/>
        <v/>
      </c>
      <c r="O66" s="45"/>
      <c r="P66" s="52" t="str">
        <f t="shared" si="17"/>
        <v/>
      </c>
      <c r="Q66" s="47"/>
      <c r="R66" s="52" t="str">
        <f t="shared" si="18"/>
        <v/>
      </c>
      <c r="S66" s="45"/>
      <c r="T66" s="52" t="str">
        <f t="shared" si="19"/>
        <v/>
      </c>
      <c r="U66" s="45"/>
      <c r="V66" s="52" t="str">
        <f t="shared" si="20"/>
        <v/>
      </c>
      <c r="W66" s="45"/>
      <c r="X66" s="52" t="str">
        <f t="shared" si="21"/>
        <v/>
      </c>
    </row>
    <row r="67" spans="1:24" x14ac:dyDescent="0.2">
      <c r="A67" s="14">
        <v>57</v>
      </c>
      <c r="B67" s="40">
        <v>46580</v>
      </c>
      <c r="C67" s="41">
        <f t="shared" si="11"/>
        <v>0</v>
      </c>
      <c r="D67" s="42"/>
      <c r="E67" s="14"/>
      <c r="F67" s="14"/>
      <c r="G67" s="59" t="str">
        <f t="shared" si="12"/>
        <v/>
      </c>
      <c r="H67" s="44" t="str">
        <f t="shared" si="13"/>
        <v/>
      </c>
      <c r="I67" s="47"/>
      <c r="J67" s="46" t="str">
        <f t="shared" si="14"/>
        <v/>
      </c>
      <c r="K67" s="45"/>
      <c r="L67" s="46" t="str">
        <f t="shared" si="15"/>
        <v/>
      </c>
      <c r="M67" s="45"/>
      <c r="N67" s="46" t="str">
        <f t="shared" si="16"/>
        <v/>
      </c>
      <c r="O67" s="45"/>
      <c r="P67" s="46" t="str">
        <f t="shared" si="17"/>
        <v/>
      </c>
      <c r="Q67" s="47"/>
      <c r="R67" s="46" t="str">
        <f t="shared" si="18"/>
        <v/>
      </c>
      <c r="S67" s="45"/>
      <c r="T67" s="46" t="str">
        <f t="shared" si="19"/>
        <v/>
      </c>
      <c r="U67" s="45"/>
      <c r="V67" s="46" t="str">
        <f t="shared" si="20"/>
        <v/>
      </c>
      <c r="W67" s="45"/>
      <c r="X67" s="46" t="str">
        <f t="shared" si="21"/>
        <v/>
      </c>
    </row>
    <row r="68" spans="1:24" x14ac:dyDescent="0.2">
      <c r="A68" s="21">
        <v>58</v>
      </c>
      <c r="B68" s="48">
        <v>46587</v>
      </c>
      <c r="C68" s="49">
        <f t="shared" si="11"/>
        <v>0</v>
      </c>
      <c r="D68" s="42"/>
      <c r="E68" s="21"/>
      <c r="F68" s="21"/>
      <c r="G68" s="60" t="str">
        <f t="shared" si="12"/>
        <v/>
      </c>
      <c r="H68" s="51" t="str">
        <f t="shared" si="13"/>
        <v/>
      </c>
      <c r="I68" s="47"/>
      <c r="J68" s="52" t="str">
        <f t="shared" si="14"/>
        <v/>
      </c>
      <c r="K68" s="45"/>
      <c r="L68" s="52" t="str">
        <f t="shared" si="15"/>
        <v/>
      </c>
      <c r="M68" s="45"/>
      <c r="N68" s="52" t="str">
        <f t="shared" si="16"/>
        <v/>
      </c>
      <c r="O68" s="45"/>
      <c r="P68" s="52" t="str">
        <f t="shared" si="17"/>
        <v/>
      </c>
      <c r="Q68" s="47"/>
      <c r="R68" s="52" t="str">
        <f t="shared" si="18"/>
        <v/>
      </c>
      <c r="S68" s="45"/>
      <c r="T68" s="52" t="str">
        <f t="shared" si="19"/>
        <v/>
      </c>
      <c r="U68" s="45"/>
      <c r="V68" s="52" t="str">
        <f t="shared" si="20"/>
        <v/>
      </c>
      <c r="W68" s="45"/>
      <c r="X68" s="52" t="str">
        <f t="shared" si="21"/>
        <v/>
      </c>
    </row>
    <row r="69" spans="1:24" x14ac:dyDescent="0.2">
      <c r="A69" s="14">
        <v>59</v>
      </c>
      <c r="B69" s="40">
        <v>46594</v>
      </c>
      <c r="C69" s="41">
        <f t="shared" si="11"/>
        <v>0</v>
      </c>
      <c r="D69" s="42"/>
      <c r="E69" s="14"/>
      <c r="F69" s="14"/>
      <c r="G69" s="59" t="str">
        <f t="shared" si="12"/>
        <v/>
      </c>
      <c r="H69" s="44" t="str">
        <f t="shared" si="13"/>
        <v/>
      </c>
      <c r="I69" s="47"/>
      <c r="J69" s="46" t="str">
        <f t="shared" si="14"/>
        <v/>
      </c>
      <c r="K69" s="45"/>
      <c r="L69" s="46" t="str">
        <f t="shared" si="15"/>
        <v/>
      </c>
      <c r="M69" s="45"/>
      <c r="N69" s="46" t="str">
        <f t="shared" si="16"/>
        <v/>
      </c>
      <c r="O69" s="45"/>
      <c r="P69" s="46" t="str">
        <f t="shared" si="17"/>
        <v/>
      </c>
      <c r="Q69" s="47"/>
      <c r="R69" s="46" t="str">
        <f t="shared" si="18"/>
        <v/>
      </c>
      <c r="S69" s="45"/>
      <c r="T69" s="46" t="str">
        <f t="shared" si="19"/>
        <v/>
      </c>
      <c r="U69" s="45"/>
      <c r="V69" s="46" t="str">
        <f t="shared" si="20"/>
        <v/>
      </c>
      <c r="W69" s="45"/>
      <c r="X69" s="46" t="str">
        <f t="shared" si="21"/>
        <v/>
      </c>
    </row>
    <row r="70" spans="1:24" x14ac:dyDescent="0.2">
      <c r="A70" s="21">
        <v>60</v>
      </c>
      <c r="B70" s="48">
        <v>46601</v>
      </c>
      <c r="C70" s="49">
        <f t="shared" si="11"/>
        <v>0</v>
      </c>
      <c r="D70" s="42"/>
      <c r="E70" s="21"/>
      <c r="F70" s="21"/>
      <c r="G70" s="60" t="str">
        <f t="shared" si="12"/>
        <v/>
      </c>
      <c r="H70" s="51" t="str">
        <f t="shared" si="13"/>
        <v/>
      </c>
      <c r="I70" s="47"/>
      <c r="J70" s="52" t="str">
        <f t="shared" si="14"/>
        <v/>
      </c>
      <c r="K70" s="45"/>
      <c r="L70" s="52" t="str">
        <f t="shared" si="15"/>
        <v/>
      </c>
      <c r="M70" s="45"/>
      <c r="N70" s="52" t="str">
        <f t="shared" si="16"/>
        <v/>
      </c>
      <c r="O70" s="45"/>
      <c r="P70" s="52" t="str">
        <f t="shared" si="17"/>
        <v/>
      </c>
      <c r="Q70" s="47"/>
      <c r="R70" s="52" t="str">
        <f t="shared" si="18"/>
        <v/>
      </c>
      <c r="S70" s="45"/>
      <c r="T70" s="52" t="str">
        <f t="shared" si="19"/>
        <v/>
      </c>
      <c r="U70" s="45"/>
      <c r="V70" s="52" t="str">
        <f t="shared" si="20"/>
        <v/>
      </c>
      <c r="W70" s="45"/>
      <c r="X70" s="52" t="str">
        <f t="shared" si="21"/>
        <v/>
      </c>
    </row>
    <row r="71" spans="1:24" x14ac:dyDescent="0.2">
      <c r="A71" s="14">
        <v>61</v>
      </c>
      <c r="B71" s="40">
        <v>46608</v>
      </c>
      <c r="C71" s="41">
        <f t="shared" si="11"/>
        <v>0</v>
      </c>
      <c r="D71" s="42"/>
      <c r="E71" s="14"/>
      <c r="F71" s="14"/>
      <c r="G71" s="59" t="str">
        <f t="shared" si="12"/>
        <v/>
      </c>
      <c r="H71" s="44" t="str">
        <f t="shared" si="13"/>
        <v/>
      </c>
      <c r="I71" s="47"/>
      <c r="J71" s="46" t="str">
        <f t="shared" si="14"/>
        <v/>
      </c>
      <c r="K71" s="45"/>
      <c r="L71" s="46" t="str">
        <f t="shared" si="15"/>
        <v/>
      </c>
      <c r="M71" s="45"/>
      <c r="N71" s="46" t="str">
        <f t="shared" si="16"/>
        <v/>
      </c>
      <c r="O71" s="45"/>
      <c r="P71" s="46" t="str">
        <f t="shared" si="17"/>
        <v/>
      </c>
      <c r="Q71" s="47"/>
      <c r="R71" s="46" t="str">
        <f t="shared" si="18"/>
        <v/>
      </c>
      <c r="S71" s="45"/>
      <c r="T71" s="46" t="str">
        <f t="shared" si="19"/>
        <v/>
      </c>
      <c r="U71" s="45"/>
      <c r="V71" s="46" t="str">
        <f t="shared" si="20"/>
        <v/>
      </c>
      <c r="W71" s="45"/>
      <c r="X71" s="46" t="str">
        <f t="shared" si="21"/>
        <v/>
      </c>
    </row>
    <row r="72" spans="1:24" x14ac:dyDescent="0.2">
      <c r="A72" s="21">
        <v>62</v>
      </c>
      <c r="B72" s="48">
        <v>46615</v>
      </c>
      <c r="C72" s="49">
        <f t="shared" si="11"/>
        <v>0</v>
      </c>
      <c r="D72" s="42"/>
      <c r="E72" s="21"/>
      <c r="F72" s="21"/>
      <c r="G72" s="60" t="str">
        <f t="shared" si="12"/>
        <v/>
      </c>
      <c r="H72" s="51" t="str">
        <f t="shared" si="13"/>
        <v/>
      </c>
      <c r="I72" s="47"/>
      <c r="J72" s="52" t="str">
        <f t="shared" si="14"/>
        <v/>
      </c>
      <c r="K72" s="45"/>
      <c r="L72" s="52" t="str">
        <f t="shared" si="15"/>
        <v/>
      </c>
      <c r="M72" s="45"/>
      <c r="N72" s="52" t="str">
        <f t="shared" si="16"/>
        <v/>
      </c>
      <c r="O72" s="45"/>
      <c r="P72" s="52" t="str">
        <f t="shared" si="17"/>
        <v/>
      </c>
      <c r="Q72" s="47"/>
      <c r="R72" s="52" t="str">
        <f t="shared" si="18"/>
        <v/>
      </c>
      <c r="S72" s="45"/>
      <c r="T72" s="52" t="str">
        <f t="shared" si="19"/>
        <v/>
      </c>
      <c r="U72" s="45"/>
      <c r="V72" s="52" t="str">
        <f t="shared" si="20"/>
        <v/>
      </c>
      <c r="W72" s="45"/>
      <c r="X72" s="52" t="str">
        <f t="shared" si="21"/>
        <v/>
      </c>
    </row>
    <row r="73" spans="1:24" x14ac:dyDescent="0.2">
      <c r="A73" s="14">
        <v>63</v>
      </c>
      <c r="B73" s="40">
        <v>46622</v>
      </c>
      <c r="C73" s="41">
        <f t="shared" si="11"/>
        <v>0</v>
      </c>
      <c r="D73" s="42"/>
      <c r="E73" s="14"/>
      <c r="F73" s="14"/>
      <c r="G73" s="59" t="str">
        <f t="shared" si="12"/>
        <v/>
      </c>
      <c r="H73" s="44" t="str">
        <f t="shared" si="13"/>
        <v/>
      </c>
      <c r="I73" s="47"/>
      <c r="J73" s="46" t="str">
        <f t="shared" si="14"/>
        <v/>
      </c>
      <c r="K73" s="45"/>
      <c r="L73" s="46" t="str">
        <f t="shared" si="15"/>
        <v/>
      </c>
      <c r="M73" s="45"/>
      <c r="N73" s="46" t="str">
        <f t="shared" si="16"/>
        <v/>
      </c>
      <c r="O73" s="45"/>
      <c r="P73" s="46" t="str">
        <f t="shared" si="17"/>
        <v/>
      </c>
      <c r="Q73" s="47"/>
      <c r="R73" s="46" t="str">
        <f t="shared" si="18"/>
        <v/>
      </c>
      <c r="S73" s="45"/>
      <c r="T73" s="46" t="str">
        <f t="shared" si="19"/>
        <v/>
      </c>
      <c r="U73" s="45"/>
      <c r="V73" s="46" t="str">
        <f t="shared" si="20"/>
        <v/>
      </c>
      <c r="W73" s="45"/>
      <c r="X73" s="46" t="str">
        <f t="shared" si="21"/>
        <v/>
      </c>
    </row>
    <row r="74" spans="1:24" x14ac:dyDescent="0.2">
      <c r="A74" s="21">
        <v>64</v>
      </c>
      <c r="B74" s="48">
        <v>46629</v>
      </c>
      <c r="C74" s="49">
        <f t="shared" si="11"/>
        <v>0</v>
      </c>
      <c r="D74" s="42"/>
      <c r="E74" s="21"/>
      <c r="F74" s="21"/>
      <c r="G74" s="60" t="str">
        <f t="shared" si="12"/>
        <v/>
      </c>
      <c r="H74" s="51" t="str">
        <f t="shared" si="13"/>
        <v/>
      </c>
      <c r="I74" s="47"/>
      <c r="J74" s="52" t="str">
        <f t="shared" si="14"/>
        <v/>
      </c>
      <c r="K74" s="45"/>
      <c r="L74" s="52" t="str">
        <f t="shared" si="15"/>
        <v/>
      </c>
      <c r="M74" s="45"/>
      <c r="N74" s="52" t="str">
        <f t="shared" si="16"/>
        <v/>
      </c>
      <c r="O74" s="45"/>
      <c r="P74" s="52" t="str">
        <f t="shared" si="17"/>
        <v/>
      </c>
      <c r="Q74" s="47"/>
      <c r="R74" s="52" t="str">
        <f t="shared" si="18"/>
        <v/>
      </c>
      <c r="S74" s="45"/>
      <c r="T74" s="52" t="str">
        <f t="shared" si="19"/>
        <v/>
      </c>
      <c r="U74" s="45"/>
      <c r="V74" s="52" t="str">
        <f t="shared" si="20"/>
        <v/>
      </c>
      <c r="W74" s="45"/>
      <c r="X74" s="52" t="str">
        <f t="shared" si="21"/>
        <v/>
      </c>
    </row>
    <row r="75" spans="1:24" x14ac:dyDescent="0.2">
      <c r="A75" s="14">
        <v>65</v>
      </c>
      <c r="B75" s="40">
        <v>46636</v>
      </c>
      <c r="C75" s="41">
        <f t="shared" ref="C75:C91" si="22">$B$5</f>
        <v>0</v>
      </c>
      <c r="D75" s="42"/>
      <c r="E75" s="14"/>
      <c r="F75" s="14"/>
      <c r="G75" s="59" t="str">
        <f t="shared" ref="G75:G91" si="23">IF(D75="","",D75-C75)</f>
        <v/>
      </c>
      <c r="H75" s="44" t="str">
        <f t="shared" ref="H75:H91" si="24">IF(D75="","",IF(D75&lt;=C75,"En meta",IF(D75&lt;=C75+1,"Riesgo","Atrasado")))</f>
        <v/>
      </c>
      <c r="I75" s="47"/>
      <c r="J75" s="46" t="str">
        <f t="shared" ref="J75:J106" si="25">IF(I75="","",IF($I$9="","",IF($I$9=0,"",I75/$I$9)))</f>
        <v/>
      </c>
      <c r="K75" s="45"/>
      <c r="L75" s="46" t="str">
        <f t="shared" ref="L75:L106" si="26">IF(K75="","",IF($K$9="","",IF($K$9=0,"",K75/$K$9)))</f>
        <v/>
      </c>
      <c r="M75" s="45"/>
      <c r="N75" s="46" t="str">
        <f t="shared" ref="N75:N106" si="27">IF(M75="","",IF($M$9="","",IF($M$9=0,"",M75/$M$9)))</f>
        <v/>
      </c>
      <c r="O75" s="45"/>
      <c r="P75" s="46" t="str">
        <f t="shared" ref="P75:P106" si="28">IF(O75="","",IF($O$9="","",IF($O$9=0,"",O75/$O$9)))</f>
        <v/>
      </c>
      <c r="Q75" s="47"/>
      <c r="R75" s="46" t="str">
        <f t="shared" ref="R75:R106" si="29">IF(Q75="","",IF($Q$9="","",IF($Q$9=0,"",Q75/$Q$9)))</f>
        <v/>
      </c>
      <c r="S75" s="45"/>
      <c r="T75" s="46" t="str">
        <f t="shared" ref="T75:T106" si="30">IF(S75="","",IF($S$9="","",IF($S$9=0,"",S75/$S$9)))</f>
        <v/>
      </c>
      <c r="U75" s="45"/>
      <c r="V75" s="46" t="str">
        <f t="shared" ref="V75:V106" si="31">IF(U75="","",IF($U$9="","",IF($U$9=0,"",U75/$U$9)))</f>
        <v/>
      </c>
      <c r="W75" s="45"/>
      <c r="X75" s="46" t="str">
        <f t="shared" ref="X75:X106" si="32">IF(W75="","",IF($W$9="","",IF($W$9=0,"",W75/$W$9)))</f>
        <v/>
      </c>
    </row>
    <row r="76" spans="1:24" x14ac:dyDescent="0.2">
      <c r="A76" s="21">
        <v>66</v>
      </c>
      <c r="B76" s="48">
        <v>46643</v>
      </c>
      <c r="C76" s="49">
        <f t="shared" si="22"/>
        <v>0</v>
      </c>
      <c r="D76" s="42"/>
      <c r="E76" s="21"/>
      <c r="F76" s="21"/>
      <c r="G76" s="60" t="str">
        <f t="shared" si="23"/>
        <v/>
      </c>
      <c r="H76" s="51" t="str">
        <f t="shared" si="24"/>
        <v/>
      </c>
      <c r="I76" s="47"/>
      <c r="J76" s="52" t="str">
        <f t="shared" si="25"/>
        <v/>
      </c>
      <c r="K76" s="45"/>
      <c r="L76" s="52" t="str">
        <f t="shared" si="26"/>
        <v/>
      </c>
      <c r="M76" s="45"/>
      <c r="N76" s="52" t="str">
        <f t="shared" si="27"/>
        <v/>
      </c>
      <c r="O76" s="45"/>
      <c r="P76" s="52" t="str">
        <f t="shared" si="28"/>
        <v/>
      </c>
      <c r="Q76" s="47"/>
      <c r="R76" s="52" t="str">
        <f t="shared" si="29"/>
        <v/>
      </c>
      <c r="S76" s="45"/>
      <c r="T76" s="52" t="str">
        <f t="shared" si="30"/>
        <v/>
      </c>
      <c r="U76" s="45"/>
      <c r="V76" s="52" t="str">
        <f t="shared" si="31"/>
        <v/>
      </c>
      <c r="W76" s="45"/>
      <c r="X76" s="52" t="str">
        <f t="shared" si="32"/>
        <v/>
      </c>
    </row>
    <row r="77" spans="1:24" x14ac:dyDescent="0.2">
      <c r="A77" s="14">
        <v>67</v>
      </c>
      <c r="B77" s="40">
        <v>46650</v>
      </c>
      <c r="C77" s="41">
        <f t="shared" si="22"/>
        <v>0</v>
      </c>
      <c r="D77" s="42"/>
      <c r="E77" s="14"/>
      <c r="F77" s="14"/>
      <c r="G77" s="59" t="str">
        <f t="shared" si="23"/>
        <v/>
      </c>
      <c r="H77" s="44" t="str">
        <f t="shared" si="24"/>
        <v/>
      </c>
      <c r="I77" s="47"/>
      <c r="J77" s="46" t="str">
        <f t="shared" si="25"/>
        <v/>
      </c>
      <c r="K77" s="45"/>
      <c r="L77" s="46" t="str">
        <f t="shared" si="26"/>
        <v/>
      </c>
      <c r="M77" s="45"/>
      <c r="N77" s="46" t="str">
        <f t="shared" si="27"/>
        <v/>
      </c>
      <c r="O77" s="45"/>
      <c r="P77" s="46" t="str">
        <f t="shared" si="28"/>
        <v/>
      </c>
      <c r="Q77" s="47"/>
      <c r="R77" s="46" t="str">
        <f t="shared" si="29"/>
        <v/>
      </c>
      <c r="S77" s="45"/>
      <c r="T77" s="46" t="str">
        <f t="shared" si="30"/>
        <v/>
      </c>
      <c r="U77" s="45"/>
      <c r="V77" s="46" t="str">
        <f t="shared" si="31"/>
        <v/>
      </c>
      <c r="W77" s="45"/>
      <c r="X77" s="46" t="str">
        <f t="shared" si="32"/>
        <v/>
      </c>
    </row>
    <row r="78" spans="1:24" x14ac:dyDescent="0.2">
      <c r="A78" s="21">
        <v>68</v>
      </c>
      <c r="B78" s="48">
        <v>46657</v>
      </c>
      <c r="C78" s="49">
        <f t="shared" si="22"/>
        <v>0</v>
      </c>
      <c r="D78" s="42"/>
      <c r="E78" s="21"/>
      <c r="F78" s="21"/>
      <c r="G78" s="60" t="str">
        <f t="shared" si="23"/>
        <v/>
      </c>
      <c r="H78" s="51" t="str">
        <f t="shared" si="24"/>
        <v/>
      </c>
      <c r="I78" s="47"/>
      <c r="J78" s="52" t="str">
        <f t="shared" si="25"/>
        <v/>
      </c>
      <c r="K78" s="45"/>
      <c r="L78" s="52" t="str">
        <f t="shared" si="26"/>
        <v/>
      </c>
      <c r="M78" s="45"/>
      <c r="N78" s="52" t="str">
        <f t="shared" si="27"/>
        <v/>
      </c>
      <c r="O78" s="45"/>
      <c r="P78" s="52" t="str">
        <f t="shared" si="28"/>
        <v/>
      </c>
      <c r="Q78" s="47"/>
      <c r="R78" s="52" t="str">
        <f t="shared" si="29"/>
        <v/>
      </c>
      <c r="S78" s="45"/>
      <c r="T78" s="52" t="str">
        <f t="shared" si="30"/>
        <v/>
      </c>
      <c r="U78" s="45"/>
      <c r="V78" s="52" t="str">
        <f t="shared" si="31"/>
        <v/>
      </c>
      <c r="W78" s="45"/>
      <c r="X78" s="52" t="str">
        <f t="shared" si="32"/>
        <v/>
      </c>
    </row>
    <row r="79" spans="1:24" x14ac:dyDescent="0.2">
      <c r="A79" s="14">
        <v>69</v>
      </c>
      <c r="B79" s="40">
        <v>46664</v>
      </c>
      <c r="C79" s="41">
        <f t="shared" si="22"/>
        <v>0</v>
      </c>
      <c r="D79" s="42"/>
      <c r="E79" s="14"/>
      <c r="F79" s="14"/>
      <c r="G79" s="59" t="str">
        <f t="shared" si="23"/>
        <v/>
      </c>
      <c r="H79" s="44" t="str">
        <f t="shared" si="24"/>
        <v/>
      </c>
      <c r="I79" s="47"/>
      <c r="J79" s="46" t="str">
        <f t="shared" si="25"/>
        <v/>
      </c>
      <c r="K79" s="45"/>
      <c r="L79" s="46" t="str">
        <f t="shared" si="26"/>
        <v/>
      </c>
      <c r="M79" s="45"/>
      <c r="N79" s="46" t="str">
        <f t="shared" si="27"/>
        <v/>
      </c>
      <c r="O79" s="45"/>
      <c r="P79" s="46" t="str">
        <f t="shared" si="28"/>
        <v/>
      </c>
      <c r="Q79" s="47"/>
      <c r="R79" s="46" t="str">
        <f t="shared" si="29"/>
        <v/>
      </c>
      <c r="S79" s="45"/>
      <c r="T79" s="46" t="str">
        <f t="shared" si="30"/>
        <v/>
      </c>
      <c r="U79" s="45"/>
      <c r="V79" s="46" t="str">
        <f t="shared" si="31"/>
        <v/>
      </c>
      <c r="W79" s="45"/>
      <c r="X79" s="46" t="str">
        <f t="shared" si="32"/>
        <v/>
      </c>
    </row>
    <row r="80" spans="1:24" x14ac:dyDescent="0.2">
      <c r="A80" s="21">
        <v>70</v>
      </c>
      <c r="B80" s="48">
        <v>46671</v>
      </c>
      <c r="C80" s="49">
        <f t="shared" si="22"/>
        <v>0</v>
      </c>
      <c r="D80" s="42"/>
      <c r="E80" s="21"/>
      <c r="F80" s="21"/>
      <c r="G80" s="60" t="str">
        <f t="shared" si="23"/>
        <v/>
      </c>
      <c r="H80" s="51" t="str">
        <f t="shared" si="24"/>
        <v/>
      </c>
      <c r="I80" s="47"/>
      <c r="J80" s="52" t="str">
        <f t="shared" si="25"/>
        <v/>
      </c>
      <c r="K80" s="45"/>
      <c r="L80" s="52" t="str">
        <f t="shared" si="26"/>
        <v/>
      </c>
      <c r="M80" s="45"/>
      <c r="N80" s="52" t="str">
        <f t="shared" si="27"/>
        <v/>
      </c>
      <c r="O80" s="45"/>
      <c r="P80" s="52" t="str">
        <f t="shared" si="28"/>
        <v/>
      </c>
      <c r="Q80" s="47"/>
      <c r="R80" s="52" t="str">
        <f t="shared" si="29"/>
        <v/>
      </c>
      <c r="S80" s="45"/>
      <c r="T80" s="52" t="str">
        <f t="shared" si="30"/>
        <v/>
      </c>
      <c r="U80" s="45"/>
      <c r="V80" s="52" t="str">
        <f t="shared" si="31"/>
        <v/>
      </c>
      <c r="W80" s="45"/>
      <c r="X80" s="52" t="str">
        <f t="shared" si="32"/>
        <v/>
      </c>
    </row>
    <row r="81" spans="1:24" x14ac:dyDescent="0.2">
      <c r="A81" s="14">
        <v>71</v>
      </c>
      <c r="B81" s="40">
        <v>46678</v>
      </c>
      <c r="C81" s="41">
        <f t="shared" si="22"/>
        <v>0</v>
      </c>
      <c r="D81" s="42"/>
      <c r="E81" s="14"/>
      <c r="F81" s="14"/>
      <c r="G81" s="59" t="str">
        <f t="shared" si="23"/>
        <v/>
      </c>
      <c r="H81" s="44" t="str">
        <f t="shared" si="24"/>
        <v/>
      </c>
      <c r="I81" s="47"/>
      <c r="J81" s="46" t="str">
        <f t="shared" si="25"/>
        <v/>
      </c>
      <c r="K81" s="45"/>
      <c r="L81" s="46" t="str">
        <f t="shared" si="26"/>
        <v/>
      </c>
      <c r="M81" s="45"/>
      <c r="N81" s="46" t="str">
        <f t="shared" si="27"/>
        <v/>
      </c>
      <c r="O81" s="45"/>
      <c r="P81" s="46" t="str">
        <f t="shared" si="28"/>
        <v/>
      </c>
      <c r="Q81" s="47"/>
      <c r="R81" s="46" t="str">
        <f t="shared" si="29"/>
        <v/>
      </c>
      <c r="S81" s="45"/>
      <c r="T81" s="46" t="str">
        <f t="shared" si="30"/>
        <v/>
      </c>
      <c r="U81" s="45"/>
      <c r="V81" s="46" t="str">
        <f t="shared" si="31"/>
        <v/>
      </c>
      <c r="W81" s="45"/>
      <c r="X81" s="46" t="str">
        <f t="shared" si="32"/>
        <v/>
      </c>
    </row>
    <row r="82" spans="1:24" x14ac:dyDescent="0.2">
      <c r="A82" s="21">
        <v>72</v>
      </c>
      <c r="B82" s="48">
        <v>46685</v>
      </c>
      <c r="C82" s="49">
        <f t="shared" si="22"/>
        <v>0</v>
      </c>
      <c r="D82" s="42"/>
      <c r="E82" s="21"/>
      <c r="F82" s="21"/>
      <c r="G82" s="60" t="str">
        <f t="shared" si="23"/>
        <v/>
      </c>
      <c r="H82" s="51" t="str">
        <f t="shared" si="24"/>
        <v/>
      </c>
      <c r="I82" s="47"/>
      <c r="J82" s="52" t="str">
        <f t="shared" si="25"/>
        <v/>
      </c>
      <c r="K82" s="45"/>
      <c r="L82" s="52" t="str">
        <f t="shared" si="26"/>
        <v/>
      </c>
      <c r="M82" s="45"/>
      <c r="N82" s="52" t="str">
        <f t="shared" si="27"/>
        <v/>
      </c>
      <c r="O82" s="45"/>
      <c r="P82" s="52" t="str">
        <f t="shared" si="28"/>
        <v/>
      </c>
      <c r="Q82" s="47"/>
      <c r="R82" s="52" t="str">
        <f t="shared" si="29"/>
        <v/>
      </c>
      <c r="S82" s="45"/>
      <c r="T82" s="52" t="str">
        <f t="shared" si="30"/>
        <v/>
      </c>
      <c r="U82" s="45"/>
      <c r="V82" s="52" t="str">
        <f t="shared" si="31"/>
        <v/>
      </c>
      <c r="W82" s="45"/>
      <c r="X82" s="52" t="str">
        <f t="shared" si="32"/>
        <v/>
      </c>
    </row>
    <row r="83" spans="1:24" x14ac:dyDescent="0.2">
      <c r="A83" s="14">
        <v>73</v>
      </c>
      <c r="B83" s="40">
        <v>46692</v>
      </c>
      <c r="C83" s="41">
        <f t="shared" si="22"/>
        <v>0</v>
      </c>
      <c r="D83" s="42"/>
      <c r="E83" s="14"/>
      <c r="F83" s="14"/>
      <c r="G83" s="59" t="str">
        <f t="shared" si="23"/>
        <v/>
      </c>
      <c r="H83" s="44" t="str">
        <f t="shared" si="24"/>
        <v/>
      </c>
      <c r="I83" s="47"/>
      <c r="J83" s="46" t="str">
        <f t="shared" si="25"/>
        <v/>
      </c>
      <c r="K83" s="45"/>
      <c r="L83" s="46" t="str">
        <f t="shared" si="26"/>
        <v/>
      </c>
      <c r="M83" s="45"/>
      <c r="N83" s="46" t="str">
        <f t="shared" si="27"/>
        <v/>
      </c>
      <c r="O83" s="45"/>
      <c r="P83" s="46" t="str">
        <f t="shared" si="28"/>
        <v/>
      </c>
      <c r="Q83" s="47"/>
      <c r="R83" s="46" t="str">
        <f t="shared" si="29"/>
        <v/>
      </c>
      <c r="S83" s="45"/>
      <c r="T83" s="46" t="str">
        <f t="shared" si="30"/>
        <v/>
      </c>
      <c r="U83" s="45"/>
      <c r="V83" s="46" t="str">
        <f t="shared" si="31"/>
        <v/>
      </c>
      <c r="W83" s="45"/>
      <c r="X83" s="46" t="str">
        <f t="shared" si="32"/>
        <v/>
      </c>
    </row>
    <row r="84" spans="1:24" x14ac:dyDescent="0.2">
      <c r="A84" s="21">
        <v>74</v>
      </c>
      <c r="B84" s="48">
        <v>46699</v>
      </c>
      <c r="C84" s="49">
        <f t="shared" si="22"/>
        <v>0</v>
      </c>
      <c r="D84" s="42"/>
      <c r="E84" s="21"/>
      <c r="F84" s="21"/>
      <c r="G84" s="60" t="str">
        <f t="shared" si="23"/>
        <v/>
      </c>
      <c r="H84" s="51" t="str">
        <f t="shared" si="24"/>
        <v/>
      </c>
      <c r="I84" s="47"/>
      <c r="J84" s="52" t="str">
        <f t="shared" si="25"/>
        <v/>
      </c>
      <c r="K84" s="45"/>
      <c r="L84" s="52" t="str">
        <f t="shared" si="26"/>
        <v/>
      </c>
      <c r="M84" s="45"/>
      <c r="N84" s="52" t="str">
        <f t="shared" si="27"/>
        <v/>
      </c>
      <c r="O84" s="45"/>
      <c r="P84" s="52" t="str">
        <f t="shared" si="28"/>
        <v/>
      </c>
      <c r="Q84" s="47"/>
      <c r="R84" s="52" t="str">
        <f t="shared" si="29"/>
        <v/>
      </c>
      <c r="S84" s="45"/>
      <c r="T84" s="52" t="str">
        <f t="shared" si="30"/>
        <v/>
      </c>
      <c r="U84" s="45"/>
      <c r="V84" s="52" t="str">
        <f t="shared" si="31"/>
        <v/>
      </c>
      <c r="W84" s="45"/>
      <c r="X84" s="52" t="str">
        <f t="shared" si="32"/>
        <v/>
      </c>
    </row>
    <row r="85" spans="1:24" x14ac:dyDescent="0.2">
      <c r="A85" s="14">
        <v>75</v>
      </c>
      <c r="B85" s="40">
        <v>46706</v>
      </c>
      <c r="C85" s="41">
        <f t="shared" si="22"/>
        <v>0</v>
      </c>
      <c r="D85" s="42"/>
      <c r="E85" s="14"/>
      <c r="F85" s="14"/>
      <c r="G85" s="59" t="str">
        <f t="shared" si="23"/>
        <v/>
      </c>
      <c r="H85" s="44" t="str">
        <f t="shared" si="24"/>
        <v/>
      </c>
      <c r="I85" s="47"/>
      <c r="J85" s="46" t="str">
        <f t="shared" si="25"/>
        <v/>
      </c>
      <c r="K85" s="45"/>
      <c r="L85" s="46" t="str">
        <f t="shared" si="26"/>
        <v/>
      </c>
      <c r="M85" s="45"/>
      <c r="N85" s="46" t="str">
        <f t="shared" si="27"/>
        <v/>
      </c>
      <c r="O85" s="45"/>
      <c r="P85" s="46" t="str">
        <f t="shared" si="28"/>
        <v/>
      </c>
      <c r="Q85" s="47"/>
      <c r="R85" s="46" t="str">
        <f t="shared" si="29"/>
        <v/>
      </c>
      <c r="S85" s="45"/>
      <c r="T85" s="46" t="str">
        <f t="shared" si="30"/>
        <v/>
      </c>
      <c r="U85" s="45"/>
      <c r="V85" s="46" t="str">
        <f t="shared" si="31"/>
        <v/>
      </c>
      <c r="W85" s="45"/>
      <c r="X85" s="46" t="str">
        <f t="shared" si="32"/>
        <v/>
      </c>
    </row>
    <row r="86" spans="1:24" x14ac:dyDescent="0.2">
      <c r="A86" s="21">
        <v>76</v>
      </c>
      <c r="B86" s="48">
        <v>46713</v>
      </c>
      <c r="C86" s="49">
        <f t="shared" si="22"/>
        <v>0</v>
      </c>
      <c r="D86" s="42"/>
      <c r="E86" s="21"/>
      <c r="F86" s="21"/>
      <c r="G86" s="60" t="str">
        <f t="shared" si="23"/>
        <v/>
      </c>
      <c r="H86" s="51" t="str">
        <f t="shared" si="24"/>
        <v/>
      </c>
      <c r="I86" s="47"/>
      <c r="J86" s="52" t="str">
        <f t="shared" si="25"/>
        <v/>
      </c>
      <c r="K86" s="45"/>
      <c r="L86" s="52" t="str">
        <f t="shared" si="26"/>
        <v/>
      </c>
      <c r="M86" s="45"/>
      <c r="N86" s="52" t="str">
        <f t="shared" si="27"/>
        <v/>
      </c>
      <c r="O86" s="45"/>
      <c r="P86" s="52" t="str">
        <f t="shared" si="28"/>
        <v/>
      </c>
      <c r="Q86" s="47"/>
      <c r="R86" s="52" t="str">
        <f t="shared" si="29"/>
        <v/>
      </c>
      <c r="S86" s="45"/>
      <c r="T86" s="52" t="str">
        <f t="shared" si="30"/>
        <v/>
      </c>
      <c r="U86" s="45"/>
      <c r="V86" s="52" t="str">
        <f t="shared" si="31"/>
        <v/>
      </c>
      <c r="W86" s="45"/>
      <c r="X86" s="52" t="str">
        <f t="shared" si="32"/>
        <v/>
      </c>
    </row>
    <row r="87" spans="1:24" x14ac:dyDescent="0.2">
      <c r="A87" s="14">
        <v>77</v>
      </c>
      <c r="B87" s="40">
        <v>46720</v>
      </c>
      <c r="C87" s="41">
        <f t="shared" si="22"/>
        <v>0</v>
      </c>
      <c r="D87" s="42"/>
      <c r="E87" s="14"/>
      <c r="F87" s="14"/>
      <c r="G87" s="59" t="str">
        <f t="shared" si="23"/>
        <v/>
      </c>
      <c r="H87" s="44" t="str">
        <f t="shared" si="24"/>
        <v/>
      </c>
      <c r="I87" s="47"/>
      <c r="J87" s="46" t="str">
        <f t="shared" si="25"/>
        <v/>
      </c>
      <c r="K87" s="45"/>
      <c r="L87" s="46" t="str">
        <f t="shared" si="26"/>
        <v/>
      </c>
      <c r="M87" s="45"/>
      <c r="N87" s="46" t="str">
        <f t="shared" si="27"/>
        <v/>
      </c>
      <c r="O87" s="45"/>
      <c r="P87" s="46" t="str">
        <f t="shared" si="28"/>
        <v/>
      </c>
      <c r="Q87" s="47"/>
      <c r="R87" s="46" t="str">
        <f t="shared" si="29"/>
        <v/>
      </c>
      <c r="S87" s="45"/>
      <c r="T87" s="46" t="str">
        <f t="shared" si="30"/>
        <v/>
      </c>
      <c r="U87" s="45"/>
      <c r="V87" s="46" t="str">
        <f t="shared" si="31"/>
        <v/>
      </c>
      <c r="W87" s="45"/>
      <c r="X87" s="46" t="str">
        <f t="shared" si="32"/>
        <v/>
      </c>
    </row>
    <row r="88" spans="1:24" x14ac:dyDescent="0.2">
      <c r="A88" s="21">
        <v>78</v>
      </c>
      <c r="B88" s="48">
        <v>46727</v>
      </c>
      <c r="C88" s="49">
        <f t="shared" si="22"/>
        <v>0</v>
      </c>
      <c r="D88" s="42"/>
      <c r="E88" s="21"/>
      <c r="F88" s="21"/>
      <c r="G88" s="60" t="str">
        <f t="shared" si="23"/>
        <v/>
      </c>
      <c r="H88" s="51" t="str">
        <f t="shared" si="24"/>
        <v/>
      </c>
      <c r="I88" s="47"/>
      <c r="J88" s="52" t="str">
        <f t="shared" si="25"/>
        <v/>
      </c>
      <c r="K88" s="45"/>
      <c r="L88" s="52" t="str">
        <f t="shared" si="26"/>
        <v/>
      </c>
      <c r="M88" s="45"/>
      <c r="N88" s="52" t="str">
        <f t="shared" si="27"/>
        <v/>
      </c>
      <c r="O88" s="45"/>
      <c r="P88" s="52" t="str">
        <f t="shared" si="28"/>
        <v/>
      </c>
      <c r="Q88" s="47"/>
      <c r="R88" s="52" t="str">
        <f t="shared" si="29"/>
        <v/>
      </c>
      <c r="S88" s="45"/>
      <c r="T88" s="52" t="str">
        <f t="shared" si="30"/>
        <v/>
      </c>
      <c r="U88" s="45"/>
      <c r="V88" s="52" t="str">
        <f t="shared" si="31"/>
        <v/>
      </c>
      <c r="W88" s="45"/>
      <c r="X88" s="52" t="str">
        <f t="shared" si="32"/>
        <v/>
      </c>
    </row>
    <row r="89" spans="1:24" x14ac:dyDescent="0.2">
      <c r="A89" s="14">
        <v>79</v>
      </c>
      <c r="B89" s="40">
        <v>46734</v>
      </c>
      <c r="C89" s="41">
        <f t="shared" si="22"/>
        <v>0</v>
      </c>
      <c r="D89" s="42"/>
      <c r="E89" s="14"/>
      <c r="F89" s="14"/>
      <c r="G89" s="59" t="str">
        <f t="shared" si="23"/>
        <v/>
      </c>
      <c r="H89" s="44" t="str">
        <f t="shared" si="24"/>
        <v/>
      </c>
      <c r="I89" s="47"/>
      <c r="J89" s="46" t="str">
        <f t="shared" si="25"/>
        <v/>
      </c>
      <c r="K89" s="45"/>
      <c r="L89" s="46" t="str">
        <f t="shared" si="26"/>
        <v/>
      </c>
      <c r="M89" s="45"/>
      <c r="N89" s="46" t="str">
        <f t="shared" si="27"/>
        <v/>
      </c>
      <c r="O89" s="45"/>
      <c r="P89" s="46" t="str">
        <f t="shared" si="28"/>
        <v/>
      </c>
      <c r="Q89" s="47"/>
      <c r="R89" s="46" t="str">
        <f t="shared" si="29"/>
        <v/>
      </c>
      <c r="S89" s="45"/>
      <c r="T89" s="46" t="str">
        <f t="shared" si="30"/>
        <v/>
      </c>
      <c r="U89" s="45"/>
      <c r="V89" s="46" t="str">
        <f t="shared" si="31"/>
        <v/>
      </c>
      <c r="W89" s="45"/>
      <c r="X89" s="46" t="str">
        <f t="shared" si="32"/>
        <v/>
      </c>
    </row>
    <row r="90" spans="1:24" x14ac:dyDescent="0.2">
      <c r="A90" s="21">
        <v>80</v>
      </c>
      <c r="B90" s="48">
        <v>46741</v>
      </c>
      <c r="C90" s="49">
        <f t="shared" si="22"/>
        <v>0</v>
      </c>
      <c r="D90" s="42"/>
      <c r="E90" s="21"/>
      <c r="F90" s="21"/>
      <c r="G90" s="60" t="str">
        <f t="shared" si="23"/>
        <v/>
      </c>
      <c r="H90" s="51" t="str">
        <f t="shared" si="24"/>
        <v/>
      </c>
      <c r="I90" s="47"/>
      <c r="J90" s="52" t="str">
        <f t="shared" si="25"/>
        <v/>
      </c>
      <c r="K90" s="45"/>
      <c r="L90" s="52" t="str">
        <f t="shared" si="26"/>
        <v/>
      </c>
      <c r="M90" s="45"/>
      <c r="N90" s="52" t="str">
        <f t="shared" si="27"/>
        <v/>
      </c>
      <c r="O90" s="45"/>
      <c r="P90" s="52" t="str">
        <f t="shared" si="28"/>
        <v/>
      </c>
      <c r="Q90" s="47"/>
      <c r="R90" s="52" t="str">
        <f t="shared" si="29"/>
        <v/>
      </c>
      <c r="S90" s="45"/>
      <c r="T90" s="52" t="str">
        <f t="shared" si="30"/>
        <v/>
      </c>
      <c r="U90" s="45"/>
      <c r="V90" s="52" t="str">
        <f t="shared" si="31"/>
        <v/>
      </c>
      <c r="W90" s="45"/>
      <c r="X90" s="52" t="str">
        <f t="shared" si="32"/>
        <v/>
      </c>
    </row>
    <row r="91" spans="1:24" x14ac:dyDescent="0.2">
      <c r="A91" s="14">
        <v>81</v>
      </c>
      <c r="B91" s="40">
        <v>46748</v>
      </c>
      <c r="C91" s="41">
        <f t="shared" si="22"/>
        <v>0</v>
      </c>
      <c r="D91" s="42"/>
      <c r="E91" s="14"/>
      <c r="F91" s="14"/>
      <c r="G91" s="59" t="str">
        <f t="shared" si="23"/>
        <v/>
      </c>
      <c r="H91" s="44" t="str">
        <f t="shared" si="24"/>
        <v/>
      </c>
      <c r="I91" s="47"/>
      <c r="J91" s="46" t="str">
        <f t="shared" si="25"/>
        <v/>
      </c>
      <c r="K91" s="45"/>
      <c r="L91" s="46" t="str">
        <f t="shared" si="26"/>
        <v/>
      </c>
      <c r="M91" s="45"/>
      <c r="N91" s="46" t="str">
        <f t="shared" si="27"/>
        <v/>
      </c>
      <c r="O91" s="45"/>
      <c r="P91" s="46" t="str">
        <f t="shared" si="28"/>
        <v/>
      </c>
      <c r="Q91" s="47"/>
      <c r="R91" s="46" t="str">
        <f t="shared" si="29"/>
        <v/>
      </c>
      <c r="S91" s="45"/>
      <c r="T91" s="46" t="str">
        <f t="shared" si="30"/>
        <v/>
      </c>
      <c r="U91" s="45"/>
      <c r="V91" s="46" t="str">
        <f t="shared" si="31"/>
        <v/>
      </c>
      <c r="W91" s="45"/>
      <c r="X91" s="46" t="str">
        <f t="shared" si="32"/>
        <v/>
      </c>
    </row>
  </sheetData>
  <mergeCells count="17">
    <mergeCell ref="A1:X1"/>
    <mergeCell ref="I8:J8"/>
    <mergeCell ref="O9:P9"/>
    <mergeCell ref="I9:J9"/>
    <mergeCell ref="W9:X9"/>
    <mergeCell ref="Q8:R8"/>
    <mergeCell ref="M8:N8"/>
    <mergeCell ref="U8:V8"/>
    <mergeCell ref="S8:T8"/>
    <mergeCell ref="W8:X8"/>
    <mergeCell ref="U9:V9"/>
    <mergeCell ref="K8:L8"/>
    <mergeCell ref="S9:T9"/>
    <mergeCell ref="O8:P8"/>
    <mergeCell ref="K9:L9"/>
    <mergeCell ref="M9:N9"/>
    <mergeCell ref="Q9:R9"/>
  </mergeCells>
  <conditionalFormatting sqref="H11:H91">
    <cfRule type="containsText" dxfId="13" priority="1" operator="containsText" text="En meta">
      <formula>NOT(ISERROR(SEARCH("En meta",H11)))</formula>
    </cfRule>
    <cfRule type="containsText" dxfId="12" priority="2" operator="containsText" text="Riesgo">
      <formula>NOT(ISERROR(SEARCH("Riesgo",H11)))</formula>
    </cfRule>
    <cfRule type="containsText" dxfId="11" priority="3" operator="containsText" text="Atrasado">
      <formula>NOT(ISERROR(SEARCH("Atrasado",H11)))</formula>
    </cfRule>
  </conditionalFormatting>
  <pageMargins left="0.75" right="0.75" top="1" bottom="1" header="0.5" footer="0.5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X56"/>
  <sheetViews>
    <sheetView showGridLines="0" workbookViewId="0">
      <pane xSplit="2" ySplit="10" topLeftCell="C11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5" customWidth="1"/>
    <col min="2" max="2" width="11" customWidth="1"/>
    <col min="3" max="3" width="12" customWidth="1"/>
    <col min="4" max="4" width="11" customWidth="1"/>
    <col min="5" max="6" width="12" customWidth="1"/>
    <col min="7" max="7" width="13" customWidth="1"/>
    <col min="8" max="9" width="11" customWidth="1"/>
    <col min="10" max="10" width="7" customWidth="1"/>
    <col min="11" max="11" width="11" customWidth="1"/>
    <col min="12" max="12" width="7" customWidth="1"/>
    <col min="13" max="13" width="11" customWidth="1"/>
    <col min="14" max="14" width="7" customWidth="1"/>
    <col min="15" max="15" width="11" customWidth="1"/>
    <col min="16" max="16" width="7" customWidth="1"/>
    <col min="17" max="17" width="11" customWidth="1"/>
    <col min="18" max="18" width="7" customWidth="1"/>
    <col min="19" max="19" width="11" customWidth="1"/>
    <col min="20" max="20" width="7" customWidth="1"/>
    <col min="21" max="21" width="11" customWidth="1"/>
    <col min="22" max="22" width="7" customWidth="1"/>
    <col min="23" max="23" width="11" customWidth="1"/>
    <col min="24" max="24" width="7" customWidth="1"/>
  </cols>
  <sheetData>
    <row r="1" spans="1:24" ht="18" x14ac:dyDescent="0.2">
      <c r="A1" s="79" t="s">
        <v>122</v>
      </c>
      <c r="B1" s="73"/>
      <c r="C1" s="73"/>
      <c r="D1" s="73"/>
      <c r="E1" s="73"/>
      <c r="F1" s="73"/>
      <c r="G1" s="73"/>
      <c r="H1" s="73"/>
      <c r="I1" s="73"/>
      <c r="J1" s="73"/>
      <c r="K1" s="73"/>
      <c r="L1" s="73"/>
      <c r="M1" s="73"/>
      <c r="N1" s="73"/>
      <c r="O1" s="73"/>
      <c r="P1" s="73"/>
      <c r="Q1" s="73"/>
      <c r="R1" s="73"/>
      <c r="S1" s="73"/>
      <c r="T1" s="73"/>
      <c r="U1" s="73"/>
      <c r="V1" s="73"/>
      <c r="W1" s="73"/>
      <c r="X1" s="73"/>
    </row>
    <row r="2" spans="1:24" x14ac:dyDescent="0.2">
      <c r="A2" s="1" t="s">
        <v>46</v>
      </c>
      <c r="B2" s="32" t="s">
        <v>123</v>
      </c>
    </row>
    <row r="3" spans="1:24" x14ac:dyDescent="0.2">
      <c r="A3" s="1" t="s">
        <v>48</v>
      </c>
      <c r="B3" s="32" t="s">
        <v>124</v>
      </c>
    </row>
    <row r="4" spans="1:24" x14ac:dyDescent="0.2">
      <c r="A4" s="1" t="s">
        <v>50</v>
      </c>
      <c r="B4" s="33" t="s">
        <v>51</v>
      </c>
      <c r="D4" s="1" t="s">
        <v>52</v>
      </c>
      <c r="E4" s="32" t="s">
        <v>37</v>
      </c>
    </row>
    <row r="5" spans="1:24" x14ac:dyDescent="0.2">
      <c r="A5" s="1" t="s">
        <v>53</v>
      </c>
      <c r="B5" s="58">
        <v>30000</v>
      </c>
      <c r="D5" s="1" t="s">
        <v>54</v>
      </c>
      <c r="E5" s="35">
        <v>46188</v>
      </c>
      <c r="G5" s="1" t="s">
        <v>55</v>
      </c>
      <c r="H5" s="35">
        <v>46503</v>
      </c>
    </row>
    <row r="6" spans="1:24" x14ac:dyDescent="0.2">
      <c r="A6" s="1" t="s">
        <v>56</v>
      </c>
      <c r="B6" s="32" t="s">
        <v>57</v>
      </c>
    </row>
    <row r="8" spans="1:24" ht="42" customHeight="1" x14ac:dyDescent="0.2">
      <c r="A8" s="1" t="s">
        <v>58</v>
      </c>
      <c r="B8" s="36">
        <f>COUNT(A11:A56)</f>
        <v>46</v>
      </c>
      <c r="H8" s="37" t="s">
        <v>59</v>
      </c>
      <c r="I8" s="75" t="s">
        <v>125</v>
      </c>
      <c r="J8" s="76"/>
      <c r="K8" s="75" t="s">
        <v>126</v>
      </c>
      <c r="L8" s="76"/>
      <c r="M8" s="75" t="s">
        <v>127</v>
      </c>
      <c r="N8" s="76"/>
      <c r="O8" s="75" t="s">
        <v>128</v>
      </c>
      <c r="P8" s="76"/>
      <c r="Q8" s="75" t="s">
        <v>129</v>
      </c>
      <c r="R8" s="76"/>
      <c r="S8" s="75" t="s">
        <v>130</v>
      </c>
      <c r="T8" s="76"/>
      <c r="U8" s="75" t="s">
        <v>67</v>
      </c>
      <c r="V8" s="76"/>
      <c r="W8" s="75" t="s">
        <v>67</v>
      </c>
      <c r="X8" s="76"/>
    </row>
    <row r="9" spans="1:24" x14ac:dyDescent="0.2">
      <c r="A9" s="38" t="s">
        <v>68</v>
      </c>
      <c r="H9" s="37" t="s">
        <v>69</v>
      </c>
      <c r="I9" s="78">
        <v>4</v>
      </c>
      <c r="J9" s="76"/>
      <c r="K9" s="78">
        <v>2</v>
      </c>
      <c r="L9" s="76"/>
      <c r="M9" s="78">
        <v>1</v>
      </c>
      <c r="N9" s="76"/>
      <c r="O9" s="78">
        <v>1</v>
      </c>
      <c r="P9" s="76"/>
      <c r="Q9" s="78">
        <v>1</v>
      </c>
      <c r="R9" s="76"/>
      <c r="S9" s="78">
        <v>2</v>
      </c>
      <c r="T9" s="76"/>
      <c r="U9" s="78"/>
      <c r="V9" s="76"/>
      <c r="W9" s="78"/>
      <c r="X9" s="76"/>
    </row>
    <row r="10" spans="1:24" x14ac:dyDescent="0.2">
      <c r="A10" s="3" t="s">
        <v>11</v>
      </c>
      <c r="B10" s="3" t="s">
        <v>70</v>
      </c>
      <c r="C10" s="3" t="s">
        <v>71</v>
      </c>
      <c r="D10" s="3" t="s">
        <v>72</v>
      </c>
      <c r="E10" s="3" t="s">
        <v>6</v>
      </c>
      <c r="F10" s="3" t="s">
        <v>7</v>
      </c>
      <c r="G10" s="3" t="s">
        <v>8</v>
      </c>
      <c r="H10" s="3" t="s">
        <v>9</v>
      </c>
      <c r="I10" s="39" t="s">
        <v>72</v>
      </c>
      <c r="J10" s="39" t="s">
        <v>73</v>
      </c>
      <c r="K10" s="39" t="s">
        <v>72</v>
      </c>
      <c r="L10" s="39" t="s">
        <v>73</v>
      </c>
      <c r="M10" s="39" t="s">
        <v>72</v>
      </c>
      <c r="N10" s="39" t="s">
        <v>73</v>
      </c>
      <c r="O10" s="39" t="s">
        <v>72</v>
      </c>
      <c r="P10" s="39" t="s">
        <v>73</v>
      </c>
      <c r="Q10" s="39" t="s">
        <v>72</v>
      </c>
      <c r="R10" s="39" t="s">
        <v>73</v>
      </c>
      <c r="S10" s="39" t="s">
        <v>72</v>
      </c>
      <c r="T10" s="39" t="s">
        <v>73</v>
      </c>
      <c r="U10" s="39" t="s">
        <v>72</v>
      </c>
      <c r="V10" s="39" t="s">
        <v>73</v>
      </c>
      <c r="W10" s="39" t="s">
        <v>72</v>
      </c>
      <c r="X10" s="39" t="s">
        <v>73</v>
      </c>
    </row>
    <row r="11" spans="1:24" x14ac:dyDescent="0.2">
      <c r="A11" s="14">
        <v>1</v>
      </c>
      <c r="B11" s="40">
        <v>46188</v>
      </c>
      <c r="C11" s="53">
        <f t="shared" ref="C11:C56" si="0">$B$5/$B$8</f>
        <v>652.17391304347825</v>
      </c>
      <c r="D11" s="42"/>
      <c r="E11" s="53">
        <f>SUM($C$11:C11)</f>
        <v>652.17391304347825</v>
      </c>
      <c r="F11" s="53">
        <f>SUM($D$11:D11)</f>
        <v>0</v>
      </c>
      <c r="G11" s="43" t="str">
        <f>IF(COUNT($D$11:D11)=0,"",F11/E11)</f>
        <v/>
      </c>
      <c r="H11" s="44" t="str">
        <f t="shared" ref="H11:H56" si="1">IF(G11="","",IF(G11&gt;=0.95,"En meta",IF(G11&gt;=0.8,"Riesgo","Atrasado")))</f>
        <v/>
      </c>
      <c r="I11" s="45"/>
      <c r="J11" s="46" t="str">
        <f t="shared" ref="J11:J56" si="2">IF(I11="","",IF($I$9="","",IF($I$9=0,"",I11/$I$9)))</f>
        <v/>
      </c>
      <c r="K11" s="45"/>
      <c r="L11" s="46" t="str">
        <f t="shared" ref="L11:L56" si="3">IF(K11="","",IF($K$9="","",IF($K$9=0,"",K11/$K$9)))</f>
        <v/>
      </c>
      <c r="M11" s="45"/>
      <c r="N11" s="46" t="str">
        <f t="shared" ref="N11:N56" si="4">IF(M11="","",IF($M$9="","",IF($M$9=0,"",M11/$M$9)))</f>
        <v/>
      </c>
      <c r="O11" s="45"/>
      <c r="P11" s="46" t="str">
        <f t="shared" ref="P11:P56" si="5">IF(O11="","",IF($O$9="","",IF($O$9=0,"",O11/$O$9)))</f>
        <v/>
      </c>
      <c r="Q11" s="45"/>
      <c r="R11" s="46" t="str">
        <f t="shared" ref="R11:R56" si="6">IF(Q11="","",IF($Q$9="","",IF($Q$9=0,"",Q11/$Q$9)))</f>
        <v/>
      </c>
      <c r="S11" s="45"/>
      <c r="T11" s="46" t="str">
        <f t="shared" ref="T11:T56" si="7">IF(S11="","",IF($S$9="","",IF($S$9=0,"",S11/$S$9)))</f>
        <v/>
      </c>
      <c r="U11" s="45"/>
      <c r="V11" s="46" t="str">
        <f t="shared" ref="V11:V56" si="8">IF(U11="","",IF($U$9="","",IF($U$9=0,"",U11/$U$9)))</f>
        <v/>
      </c>
      <c r="W11" s="45"/>
      <c r="X11" s="46" t="str">
        <f t="shared" ref="X11:X56" si="9">IF(W11="","",IF($W$9="","",IF($W$9=0,"",W11/$W$9)))</f>
        <v/>
      </c>
    </row>
    <row r="12" spans="1:24" x14ac:dyDescent="0.2">
      <c r="A12" s="21">
        <v>2</v>
      </c>
      <c r="B12" s="48">
        <v>46195</v>
      </c>
      <c r="C12" s="54">
        <f t="shared" si="0"/>
        <v>652.17391304347825</v>
      </c>
      <c r="D12" s="42"/>
      <c r="E12" s="54">
        <f>SUM($C$11:C12)</f>
        <v>1304.3478260869565</v>
      </c>
      <c r="F12" s="54">
        <f>SUM($D$11:D12)</f>
        <v>0</v>
      </c>
      <c r="G12" s="50" t="str">
        <f>IF(COUNT($D$11:D12)=0,"",F12/E12)</f>
        <v/>
      </c>
      <c r="H12" s="51" t="str">
        <f t="shared" si="1"/>
        <v/>
      </c>
      <c r="I12" s="45"/>
      <c r="J12" s="52" t="str">
        <f t="shared" si="2"/>
        <v/>
      </c>
      <c r="K12" s="45"/>
      <c r="L12" s="52" t="str">
        <f t="shared" si="3"/>
        <v/>
      </c>
      <c r="M12" s="45"/>
      <c r="N12" s="52" t="str">
        <f t="shared" si="4"/>
        <v/>
      </c>
      <c r="O12" s="45"/>
      <c r="P12" s="52" t="str">
        <f t="shared" si="5"/>
        <v/>
      </c>
      <c r="Q12" s="45"/>
      <c r="R12" s="52" t="str">
        <f t="shared" si="6"/>
        <v/>
      </c>
      <c r="S12" s="45"/>
      <c r="T12" s="52" t="str">
        <f t="shared" si="7"/>
        <v/>
      </c>
      <c r="U12" s="45"/>
      <c r="V12" s="52" t="str">
        <f t="shared" si="8"/>
        <v/>
      </c>
      <c r="W12" s="45"/>
      <c r="X12" s="52" t="str">
        <f t="shared" si="9"/>
        <v/>
      </c>
    </row>
    <row r="13" spans="1:24" x14ac:dyDescent="0.2">
      <c r="A13" s="14">
        <v>3</v>
      </c>
      <c r="B13" s="40">
        <v>46202</v>
      </c>
      <c r="C13" s="53">
        <f t="shared" si="0"/>
        <v>652.17391304347825</v>
      </c>
      <c r="D13" s="42"/>
      <c r="E13" s="53">
        <f>SUM($C$11:C13)</f>
        <v>1956.5217391304348</v>
      </c>
      <c r="F13" s="53">
        <f>SUM($D$11:D13)</f>
        <v>0</v>
      </c>
      <c r="G13" s="43" t="str">
        <f>IF(COUNT($D$11:D13)=0,"",F13/E13)</f>
        <v/>
      </c>
      <c r="H13" s="44" t="str">
        <f t="shared" si="1"/>
        <v/>
      </c>
      <c r="I13" s="45"/>
      <c r="J13" s="46" t="str">
        <f t="shared" si="2"/>
        <v/>
      </c>
      <c r="K13" s="45"/>
      <c r="L13" s="46" t="str">
        <f t="shared" si="3"/>
        <v/>
      </c>
      <c r="M13" s="45"/>
      <c r="N13" s="46" t="str">
        <f t="shared" si="4"/>
        <v/>
      </c>
      <c r="O13" s="45"/>
      <c r="P13" s="46" t="str">
        <f t="shared" si="5"/>
        <v/>
      </c>
      <c r="Q13" s="45"/>
      <c r="R13" s="46" t="str">
        <f t="shared" si="6"/>
        <v/>
      </c>
      <c r="S13" s="45"/>
      <c r="T13" s="46" t="str">
        <f t="shared" si="7"/>
        <v/>
      </c>
      <c r="U13" s="45"/>
      <c r="V13" s="46" t="str">
        <f t="shared" si="8"/>
        <v/>
      </c>
      <c r="W13" s="45"/>
      <c r="X13" s="46" t="str">
        <f t="shared" si="9"/>
        <v/>
      </c>
    </row>
    <row r="14" spans="1:24" x14ac:dyDescent="0.2">
      <c r="A14" s="21">
        <v>4</v>
      </c>
      <c r="B14" s="48">
        <v>46209</v>
      </c>
      <c r="C14" s="54">
        <f t="shared" si="0"/>
        <v>652.17391304347825</v>
      </c>
      <c r="D14" s="42"/>
      <c r="E14" s="54">
        <f>SUM($C$11:C14)</f>
        <v>2608.695652173913</v>
      </c>
      <c r="F14" s="54">
        <f>SUM($D$11:D14)</f>
        <v>0</v>
      </c>
      <c r="G14" s="50" t="str">
        <f>IF(COUNT($D$11:D14)=0,"",F14/E14)</f>
        <v/>
      </c>
      <c r="H14" s="51" t="str">
        <f t="shared" si="1"/>
        <v/>
      </c>
      <c r="I14" s="45"/>
      <c r="J14" s="52" t="str">
        <f t="shared" si="2"/>
        <v/>
      </c>
      <c r="K14" s="45"/>
      <c r="L14" s="52" t="str">
        <f t="shared" si="3"/>
        <v/>
      </c>
      <c r="M14" s="45"/>
      <c r="N14" s="52" t="str">
        <f t="shared" si="4"/>
        <v/>
      </c>
      <c r="O14" s="45"/>
      <c r="P14" s="52" t="str">
        <f t="shared" si="5"/>
        <v/>
      </c>
      <c r="Q14" s="45"/>
      <c r="R14" s="52" t="str">
        <f t="shared" si="6"/>
        <v/>
      </c>
      <c r="S14" s="45"/>
      <c r="T14" s="52" t="str">
        <f t="shared" si="7"/>
        <v/>
      </c>
      <c r="U14" s="45"/>
      <c r="V14" s="52" t="str">
        <f t="shared" si="8"/>
        <v/>
      </c>
      <c r="W14" s="45"/>
      <c r="X14" s="52" t="str">
        <f t="shared" si="9"/>
        <v/>
      </c>
    </row>
    <row r="15" spans="1:24" x14ac:dyDescent="0.2">
      <c r="A15" s="14">
        <v>5</v>
      </c>
      <c r="B15" s="40">
        <v>46216</v>
      </c>
      <c r="C15" s="53">
        <f t="shared" si="0"/>
        <v>652.17391304347825</v>
      </c>
      <c r="D15" s="42"/>
      <c r="E15" s="53">
        <f>SUM($C$11:C15)</f>
        <v>3260.869565217391</v>
      </c>
      <c r="F15" s="53">
        <f>SUM($D$11:D15)</f>
        <v>0</v>
      </c>
      <c r="G15" s="43" t="str">
        <f>IF(COUNT($D$11:D15)=0,"",F15/E15)</f>
        <v/>
      </c>
      <c r="H15" s="44" t="str">
        <f t="shared" si="1"/>
        <v/>
      </c>
      <c r="I15" s="45"/>
      <c r="J15" s="46" t="str">
        <f t="shared" si="2"/>
        <v/>
      </c>
      <c r="K15" s="45"/>
      <c r="L15" s="46" t="str">
        <f t="shared" si="3"/>
        <v/>
      </c>
      <c r="M15" s="45"/>
      <c r="N15" s="46" t="str">
        <f t="shared" si="4"/>
        <v/>
      </c>
      <c r="O15" s="45"/>
      <c r="P15" s="46" t="str">
        <f t="shared" si="5"/>
        <v/>
      </c>
      <c r="Q15" s="45"/>
      <c r="R15" s="46" t="str">
        <f t="shared" si="6"/>
        <v/>
      </c>
      <c r="S15" s="45"/>
      <c r="T15" s="46" t="str">
        <f t="shared" si="7"/>
        <v/>
      </c>
      <c r="U15" s="45"/>
      <c r="V15" s="46" t="str">
        <f t="shared" si="8"/>
        <v/>
      </c>
      <c r="W15" s="45"/>
      <c r="X15" s="46" t="str">
        <f t="shared" si="9"/>
        <v/>
      </c>
    </row>
    <row r="16" spans="1:24" x14ac:dyDescent="0.2">
      <c r="A16" s="21">
        <v>6</v>
      </c>
      <c r="B16" s="48">
        <v>46223</v>
      </c>
      <c r="C16" s="54">
        <f t="shared" si="0"/>
        <v>652.17391304347825</v>
      </c>
      <c r="D16" s="42"/>
      <c r="E16" s="54">
        <f>SUM($C$11:C16)</f>
        <v>3913.0434782608691</v>
      </c>
      <c r="F16" s="54">
        <f>SUM($D$11:D16)</f>
        <v>0</v>
      </c>
      <c r="G16" s="50" t="str">
        <f>IF(COUNT($D$11:D16)=0,"",F16/E16)</f>
        <v/>
      </c>
      <c r="H16" s="51" t="str">
        <f t="shared" si="1"/>
        <v/>
      </c>
      <c r="I16" s="45"/>
      <c r="J16" s="52" t="str">
        <f t="shared" si="2"/>
        <v/>
      </c>
      <c r="K16" s="45"/>
      <c r="L16" s="52" t="str">
        <f t="shared" si="3"/>
        <v/>
      </c>
      <c r="M16" s="45"/>
      <c r="N16" s="52" t="str">
        <f t="shared" si="4"/>
        <v/>
      </c>
      <c r="O16" s="45"/>
      <c r="P16" s="52" t="str">
        <f t="shared" si="5"/>
        <v/>
      </c>
      <c r="Q16" s="45"/>
      <c r="R16" s="52" t="str">
        <f t="shared" si="6"/>
        <v/>
      </c>
      <c r="S16" s="45"/>
      <c r="T16" s="52" t="str">
        <f t="shared" si="7"/>
        <v/>
      </c>
      <c r="U16" s="45"/>
      <c r="V16" s="52" t="str">
        <f t="shared" si="8"/>
        <v/>
      </c>
      <c r="W16" s="45"/>
      <c r="X16" s="52" t="str">
        <f t="shared" si="9"/>
        <v/>
      </c>
    </row>
    <row r="17" spans="1:24" x14ac:dyDescent="0.2">
      <c r="A17" s="14">
        <v>7</v>
      </c>
      <c r="B17" s="40">
        <v>46230</v>
      </c>
      <c r="C17" s="53">
        <f t="shared" si="0"/>
        <v>652.17391304347825</v>
      </c>
      <c r="D17" s="42"/>
      <c r="E17" s="53">
        <f>SUM($C$11:C17)</f>
        <v>4565.2173913043471</v>
      </c>
      <c r="F17" s="53">
        <f>SUM($D$11:D17)</f>
        <v>0</v>
      </c>
      <c r="G17" s="43" t="str">
        <f>IF(COUNT($D$11:D17)=0,"",F17/E17)</f>
        <v/>
      </c>
      <c r="H17" s="44" t="str">
        <f t="shared" si="1"/>
        <v/>
      </c>
      <c r="I17" s="45"/>
      <c r="J17" s="46" t="str">
        <f t="shared" si="2"/>
        <v/>
      </c>
      <c r="K17" s="45"/>
      <c r="L17" s="46" t="str">
        <f t="shared" si="3"/>
        <v/>
      </c>
      <c r="M17" s="45"/>
      <c r="N17" s="46" t="str">
        <f t="shared" si="4"/>
        <v/>
      </c>
      <c r="O17" s="45"/>
      <c r="P17" s="46" t="str">
        <f t="shared" si="5"/>
        <v/>
      </c>
      <c r="Q17" s="45"/>
      <c r="R17" s="46" t="str">
        <f t="shared" si="6"/>
        <v/>
      </c>
      <c r="S17" s="45"/>
      <c r="T17" s="46" t="str">
        <f t="shared" si="7"/>
        <v/>
      </c>
      <c r="U17" s="45"/>
      <c r="V17" s="46" t="str">
        <f t="shared" si="8"/>
        <v/>
      </c>
      <c r="W17" s="45"/>
      <c r="X17" s="46" t="str">
        <f t="shared" si="9"/>
        <v/>
      </c>
    </row>
    <row r="18" spans="1:24" x14ac:dyDescent="0.2">
      <c r="A18" s="21">
        <v>8</v>
      </c>
      <c r="B18" s="48">
        <v>46237</v>
      </c>
      <c r="C18" s="54">
        <f t="shared" si="0"/>
        <v>652.17391304347825</v>
      </c>
      <c r="D18" s="42"/>
      <c r="E18" s="54">
        <f>SUM($C$11:C18)</f>
        <v>5217.3913043478251</v>
      </c>
      <c r="F18" s="54">
        <f>SUM($D$11:D18)</f>
        <v>0</v>
      </c>
      <c r="G18" s="50" t="str">
        <f>IF(COUNT($D$11:D18)=0,"",F18/E18)</f>
        <v/>
      </c>
      <c r="H18" s="51" t="str">
        <f t="shared" si="1"/>
        <v/>
      </c>
      <c r="I18" s="45"/>
      <c r="J18" s="52" t="str">
        <f t="shared" si="2"/>
        <v/>
      </c>
      <c r="K18" s="45"/>
      <c r="L18" s="52" t="str">
        <f t="shared" si="3"/>
        <v/>
      </c>
      <c r="M18" s="45"/>
      <c r="N18" s="52" t="str">
        <f t="shared" si="4"/>
        <v/>
      </c>
      <c r="O18" s="45"/>
      <c r="P18" s="52" t="str">
        <f t="shared" si="5"/>
        <v/>
      </c>
      <c r="Q18" s="45"/>
      <c r="R18" s="52" t="str">
        <f t="shared" si="6"/>
        <v/>
      </c>
      <c r="S18" s="45"/>
      <c r="T18" s="52" t="str">
        <f t="shared" si="7"/>
        <v/>
      </c>
      <c r="U18" s="45"/>
      <c r="V18" s="52" t="str">
        <f t="shared" si="8"/>
        <v/>
      </c>
      <c r="W18" s="45"/>
      <c r="X18" s="52" t="str">
        <f t="shared" si="9"/>
        <v/>
      </c>
    </row>
    <row r="19" spans="1:24" x14ac:dyDescent="0.2">
      <c r="A19" s="14">
        <v>9</v>
      </c>
      <c r="B19" s="40">
        <v>46244</v>
      </c>
      <c r="C19" s="53">
        <f t="shared" si="0"/>
        <v>652.17391304347825</v>
      </c>
      <c r="D19" s="42"/>
      <c r="E19" s="53">
        <f>SUM($C$11:C19)</f>
        <v>5869.5652173913031</v>
      </c>
      <c r="F19" s="53">
        <f>SUM($D$11:D19)</f>
        <v>0</v>
      </c>
      <c r="G19" s="43" t="str">
        <f>IF(COUNT($D$11:D19)=0,"",F19/E19)</f>
        <v/>
      </c>
      <c r="H19" s="44" t="str">
        <f t="shared" si="1"/>
        <v/>
      </c>
      <c r="I19" s="45"/>
      <c r="J19" s="46" t="str">
        <f t="shared" si="2"/>
        <v/>
      </c>
      <c r="K19" s="45"/>
      <c r="L19" s="46" t="str">
        <f t="shared" si="3"/>
        <v/>
      </c>
      <c r="M19" s="45"/>
      <c r="N19" s="46" t="str">
        <f t="shared" si="4"/>
        <v/>
      </c>
      <c r="O19" s="45"/>
      <c r="P19" s="46" t="str">
        <f t="shared" si="5"/>
        <v/>
      </c>
      <c r="Q19" s="45"/>
      <c r="R19" s="46" t="str">
        <f t="shared" si="6"/>
        <v/>
      </c>
      <c r="S19" s="45"/>
      <c r="T19" s="46" t="str">
        <f t="shared" si="7"/>
        <v/>
      </c>
      <c r="U19" s="45"/>
      <c r="V19" s="46" t="str">
        <f t="shared" si="8"/>
        <v/>
      </c>
      <c r="W19" s="45"/>
      <c r="X19" s="46" t="str">
        <f t="shared" si="9"/>
        <v/>
      </c>
    </row>
    <row r="20" spans="1:24" x14ac:dyDescent="0.2">
      <c r="A20" s="21">
        <v>10</v>
      </c>
      <c r="B20" s="48">
        <v>46251</v>
      </c>
      <c r="C20" s="54">
        <f t="shared" si="0"/>
        <v>652.17391304347825</v>
      </c>
      <c r="D20" s="42"/>
      <c r="E20" s="54">
        <f>SUM($C$11:C20)</f>
        <v>6521.7391304347811</v>
      </c>
      <c r="F20" s="54">
        <f>SUM($D$11:D20)</f>
        <v>0</v>
      </c>
      <c r="G20" s="50" t="str">
        <f>IF(COUNT($D$11:D20)=0,"",F20/E20)</f>
        <v/>
      </c>
      <c r="H20" s="51" t="str">
        <f t="shared" si="1"/>
        <v/>
      </c>
      <c r="I20" s="45"/>
      <c r="J20" s="52" t="str">
        <f t="shared" si="2"/>
        <v/>
      </c>
      <c r="K20" s="45"/>
      <c r="L20" s="52" t="str">
        <f t="shared" si="3"/>
        <v/>
      </c>
      <c r="M20" s="45"/>
      <c r="N20" s="52" t="str">
        <f t="shared" si="4"/>
        <v/>
      </c>
      <c r="O20" s="45"/>
      <c r="P20" s="52" t="str">
        <f t="shared" si="5"/>
        <v/>
      </c>
      <c r="Q20" s="45"/>
      <c r="R20" s="52" t="str">
        <f t="shared" si="6"/>
        <v/>
      </c>
      <c r="S20" s="45"/>
      <c r="T20" s="52" t="str">
        <f t="shared" si="7"/>
        <v/>
      </c>
      <c r="U20" s="45"/>
      <c r="V20" s="52" t="str">
        <f t="shared" si="8"/>
        <v/>
      </c>
      <c r="W20" s="45"/>
      <c r="X20" s="52" t="str">
        <f t="shared" si="9"/>
        <v/>
      </c>
    </row>
    <row r="21" spans="1:24" x14ac:dyDescent="0.2">
      <c r="A21" s="14">
        <v>11</v>
      </c>
      <c r="B21" s="40">
        <v>46258</v>
      </c>
      <c r="C21" s="53">
        <f t="shared" si="0"/>
        <v>652.17391304347825</v>
      </c>
      <c r="D21" s="42"/>
      <c r="E21" s="53">
        <f>SUM($C$11:C21)</f>
        <v>7173.9130434782592</v>
      </c>
      <c r="F21" s="53">
        <f>SUM($D$11:D21)</f>
        <v>0</v>
      </c>
      <c r="G21" s="43" t="str">
        <f>IF(COUNT($D$11:D21)=0,"",F21/E21)</f>
        <v/>
      </c>
      <c r="H21" s="44" t="str">
        <f t="shared" si="1"/>
        <v/>
      </c>
      <c r="I21" s="45"/>
      <c r="J21" s="46" t="str">
        <f t="shared" si="2"/>
        <v/>
      </c>
      <c r="K21" s="45"/>
      <c r="L21" s="46" t="str">
        <f t="shared" si="3"/>
        <v/>
      </c>
      <c r="M21" s="45"/>
      <c r="N21" s="46" t="str">
        <f t="shared" si="4"/>
        <v/>
      </c>
      <c r="O21" s="45"/>
      <c r="P21" s="46" t="str">
        <f t="shared" si="5"/>
        <v/>
      </c>
      <c r="Q21" s="45"/>
      <c r="R21" s="46" t="str">
        <f t="shared" si="6"/>
        <v/>
      </c>
      <c r="S21" s="45"/>
      <c r="T21" s="46" t="str">
        <f t="shared" si="7"/>
        <v/>
      </c>
      <c r="U21" s="45"/>
      <c r="V21" s="46" t="str">
        <f t="shared" si="8"/>
        <v/>
      </c>
      <c r="W21" s="45"/>
      <c r="X21" s="46" t="str">
        <f t="shared" si="9"/>
        <v/>
      </c>
    </row>
    <row r="22" spans="1:24" x14ac:dyDescent="0.2">
      <c r="A22" s="21">
        <v>12</v>
      </c>
      <c r="B22" s="48">
        <v>46265</v>
      </c>
      <c r="C22" s="54">
        <f t="shared" si="0"/>
        <v>652.17391304347825</v>
      </c>
      <c r="D22" s="42"/>
      <c r="E22" s="54">
        <f>SUM($C$11:C22)</f>
        <v>7826.0869565217372</v>
      </c>
      <c r="F22" s="54">
        <f>SUM($D$11:D22)</f>
        <v>0</v>
      </c>
      <c r="G22" s="50" t="str">
        <f>IF(COUNT($D$11:D22)=0,"",F22/E22)</f>
        <v/>
      </c>
      <c r="H22" s="51" t="str">
        <f t="shared" si="1"/>
        <v/>
      </c>
      <c r="I22" s="45"/>
      <c r="J22" s="52" t="str">
        <f t="shared" si="2"/>
        <v/>
      </c>
      <c r="K22" s="45"/>
      <c r="L22" s="52" t="str">
        <f t="shared" si="3"/>
        <v/>
      </c>
      <c r="M22" s="45"/>
      <c r="N22" s="52" t="str">
        <f t="shared" si="4"/>
        <v/>
      </c>
      <c r="O22" s="45"/>
      <c r="P22" s="52" t="str">
        <f t="shared" si="5"/>
        <v/>
      </c>
      <c r="Q22" s="45"/>
      <c r="R22" s="52" t="str">
        <f t="shared" si="6"/>
        <v/>
      </c>
      <c r="S22" s="45"/>
      <c r="T22" s="52" t="str">
        <f t="shared" si="7"/>
        <v/>
      </c>
      <c r="U22" s="45"/>
      <c r="V22" s="52" t="str">
        <f t="shared" si="8"/>
        <v/>
      </c>
      <c r="W22" s="45"/>
      <c r="X22" s="52" t="str">
        <f t="shared" si="9"/>
        <v/>
      </c>
    </row>
    <row r="23" spans="1:24" x14ac:dyDescent="0.2">
      <c r="A23" s="14">
        <v>13</v>
      </c>
      <c r="B23" s="40">
        <v>46272</v>
      </c>
      <c r="C23" s="53">
        <f t="shared" si="0"/>
        <v>652.17391304347825</v>
      </c>
      <c r="D23" s="42"/>
      <c r="E23" s="53">
        <f>SUM($C$11:C23)</f>
        <v>8478.2608695652161</v>
      </c>
      <c r="F23" s="53">
        <f>SUM($D$11:D23)</f>
        <v>0</v>
      </c>
      <c r="G23" s="43" t="str">
        <f>IF(COUNT($D$11:D23)=0,"",F23/E23)</f>
        <v/>
      </c>
      <c r="H23" s="44" t="str">
        <f t="shared" si="1"/>
        <v/>
      </c>
      <c r="I23" s="45"/>
      <c r="J23" s="46" t="str">
        <f t="shared" si="2"/>
        <v/>
      </c>
      <c r="K23" s="45"/>
      <c r="L23" s="46" t="str">
        <f t="shared" si="3"/>
        <v/>
      </c>
      <c r="M23" s="45"/>
      <c r="N23" s="46" t="str">
        <f t="shared" si="4"/>
        <v/>
      </c>
      <c r="O23" s="45"/>
      <c r="P23" s="46" t="str">
        <f t="shared" si="5"/>
        <v/>
      </c>
      <c r="Q23" s="45"/>
      <c r="R23" s="46" t="str">
        <f t="shared" si="6"/>
        <v/>
      </c>
      <c r="S23" s="45"/>
      <c r="T23" s="46" t="str">
        <f t="shared" si="7"/>
        <v/>
      </c>
      <c r="U23" s="45"/>
      <c r="V23" s="46" t="str">
        <f t="shared" si="8"/>
        <v/>
      </c>
      <c r="W23" s="45"/>
      <c r="X23" s="46" t="str">
        <f t="shared" si="9"/>
        <v/>
      </c>
    </row>
    <row r="24" spans="1:24" x14ac:dyDescent="0.2">
      <c r="A24" s="21">
        <v>14</v>
      </c>
      <c r="B24" s="48">
        <v>46279</v>
      </c>
      <c r="C24" s="54">
        <f t="shared" si="0"/>
        <v>652.17391304347825</v>
      </c>
      <c r="D24" s="42"/>
      <c r="E24" s="54">
        <f>SUM($C$11:C24)</f>
        <v>9130.4347826086941</v>
      </c>
      <c r="F24" s="54">
        <f>SUM($D$11:D24)</f>
        <v>0</v>
      </c>
      <c r="G24" s="50" t="str">
        <f>IF(COUNT($D$11:D24)=0,"",F24/E24)</f>
        <v/>
      </c>
      <c r="H24" s="51" t="str">
        <f t="shared" si="1"/>
        <v/>
      </c>
      <c r="I24" s="45"/>
      <c r="J24" s="52" t="str">
        <f t="shared" si="2"/>
        <v/>
      </c>
      <c r="K24" s="45"/>
      <c r="L24" s="52" t="str">
        <f t="shared" si="3"/>
        <v/>
      </c>
      <c r="M24" s="45"/>
      <c r="N24" s="52" t="str">
        <f t="shared" si="4"/>
        <v/>
      </c>
      <c r="O24" s="45"/>
      <c r="P24" s="52" t="str">
        <f t="shared" si="5"/>
        <v/>
      </c>
      <c r="Q24" s="45"/>
      <c r="R24" s="52" t="str">
        <f t="shared" si="6"/>
        <v/>
      </c>
      <c r="S24" s="45"/>
      <c r="T24" s="52" t="str">
        <f t="shared" si="7"/>
        <v/>
      </c>
      <c r="U24" s="45"/>
      <c r="V24" s="52" t="str">
        <f t="shared" si="8"/>
        <v/>
      </c>
      <c r="W24" s="45"/>
      <c r="X24" s="52" t="str">
        <f t="shared" si="9"/>
        <v/>
      </c>
    </row>
    <row r="25" spans="1:24" x14ac:dyDescent="0.2">
      <c r="A25" s="14">
        <v>15</v>
      </c>
      <c r="B25" s="40">
        <v>46286</v>
      </c>
      <c r="C25" s="53">
        <f t="shared" si="0"/>
        <v>652.17391304347825</v>
      </c>
      <c r="D25" s="42"/>
      <c r="E25" s="53">
        <f>SUM($C$11:C25)</f>
        <v>9782.6086956521722</v>
      </c>
      <c r="F25" s="53">
        <f>SUM($D$11:D25)</f>
        <v>0</v>
      </c>
      <c r="G25" s="43" t="str">
        <f>IF(COUNT($D$11:D25)=0,"",F25/E25)</f>
        <v/>
      </c>
      <c r="H25" s="44" t="str">
        <f t="shared" si="1"/>
        <v/>
      </c>
      <c r="I25" s="45"/>
      <c r="J25" s="46" t="str">
        <f t="shared" si="2"/>
        <v/>
      </c>
      <c r="K25" s="45"/>
      <c r="L25" s="46" t="str">
        <f t="shared" si="3"/>
        <v/>
      </c>
      <c r="M25" s="45"/>
      <c r="N25" s="46" t="str">
        <f t="shared" si="4"/>
        <v/>
      </c>
      <c r="O25" s="45"/>
      <c r="P25" s="46" t="str">
        <f t="shared" si="5"/>
        <v/>
      </c>
      <c r="Q25" s="45"/>
      <c r="R25" s="46" t="str">
        <f t="shared" si="6"/>
        <v/>
      </c>
      <c r="S25" s="45"/>
      <c r="T25" s="46" t="str">
        <f t="shared" si="7"/>
        <v/>
      </c>
      <c r="U25" s="45"/>
      <c r="V25" s="46" t="str">
        <f t="shared" si="8"/>
        <v/>
      </c>
      <c r="W25" s="45"/>
      <c r="X25" s="46" t="str">
        <f t="shared" si="9"/>
        <v/>
      </c>
    </row>
    <row r="26" spans="1:24" x14ac:dyDescent="0.2">
      <c r="A26" s="21">
        <v>16</v>
      </c>
      <c r="B26" s="48">
        <v>46293</v>
      </c>
      <c r="C26" s="54">
        <f t="shared" si="0"/>
        <v>652.17391304347825</v>
      </c>
      <c r="D26" s="42"/>
      <c r="E26" s="54">
        <f>SUM($C$11:C26)</f>
        <v>10434.78260869565</v>
      </c>
      <c r="F26" s="54">
        <f>SUM($D$11:D26)</f>
        <v>0</v>
      </c>
      <c r="G26" s="50" t="str">
        <f>IF(COUNT($D$11:D26)=0,"",F26/E26)</f>
        <v/>
      </c>
      <c r="H26" s="51" t="str">
        <f t="shared" si="1"/>
        <v/>
      </c>
      <c r="I26" s="45"/>
      <c r="J26" s="52" t="str">
        <f t="shared" si="2"/>
        <v/>
      </c>
      <c r="K26" s="45"/>
      <c r="L26" s="52" t="str">
        <f t="shared" si="3"/>
        <v/>
      </c>
      <c r="M26" s="45"/>
      <c r="N26" s="52" t="str">
        <f t="shared" si="4"/>
        <v/>
      </c>
      <c r="O26" s="45"/>
      <c r="P26" s="52" t="str">
        <f t="shared" si="5"/>
        <v/>
      </c>
      <c r="Q26" s="45"/>
      <c r="R26" s="52" t="str">
        <f t="shared" si="6"/>
        <v/>
      </c>
      <c r="S26" s="45"/>
      <c r="T26" s="52" t="str">
        <f t="shared" si="7"/>
        <v/>
      </c>
      <c r="U26" s="45"/>
      <c r="V26" s="52" t="str">
        <f t="shared" si="8"/>
        <v/>
      </c>
      <c r="W26" s="45"/>
      <c r="X26" s="52" t="str">
        <f t="shared" si="9"/>
        <v/>
      </c>
    </row>
    <row r="27" spans="1:24" x14ac:dyDescent="0.2">
      <c r="A27" s="14">
        <v>17</v>
      </c>
      <c r="B27" s="40">
        <v>46300</v>
      </c>
      <c r="C27" s="53">
        <f t="shared" si="0"/>
        <v>652.17391304347825</v>
      </c>
      <c r="D27" s="42"/>
      <c r="E27" s="53">
        <f>SUM($C$11:C27)</f>
        <v>11086.956521739128</v>
      </c>
      <c r="F27" s="53">
        <f>SUM($D$11:D27)</f>
        <v>0</v>
      </c>
      <c r="G27" s="43" t="str">
        <f>IF(COUNT($D$11:D27)=0,"",F27/E27)</f>
        <v/>
      </c>
      <c r="H27" s="44" t="str">
        <f t="shared" si="1"/>
        <v/>
      </c>
      <c r="I27" s="45"/>
      <c r="J27" s="46" t="str">
        <f t="shared" si="2"/>
        <v/>
      </c>
      <c r="K27" s="45"/>
      <c r="L27" s="46" t="str">
        <f t="shared" si="3"/>
        <v/>
      </c>
      <c r="M27" s="45"/>
      <c r="N27" s="46" t="str">
        <f t="shared" si="4"/>
        <v/>
      </c>
      <c r="O27" s="45"/>
      <c r="P27" s="46" t="str">
        <f t="shared" si="5"/>
        <v/>
      </c>
      <c r="Q27" s="45"/>
      <c r="R27" s="46" t="str">
        <f t="shared" si="6"/>
        <v/>
      </c>
      <c r="S27" s="45"/>
      <c r="T27" s="46" t="str">
        <f t="shared" si="7"/>
        <v/>
      </c>
      <c r="U27" s="45"/>
      <c r="V27" s="46" t="str">
        <f t="shared" si="8"/>
        <v/>
      </c>
      <c r="W27" s="45"/>
      <c r="X27" s="46" t="str">
        <f t="shared" si="9"/>
        <v/>
      </c>
    </row>
    <row r="28" spans="1:24" x14ac:dyDescent="0.2">
      <c r="A28" s="21">
        <v>18</v>
      </c>
      <c r="B28" s="48">
        <v>46307</v>
      </c>
      <c r="C28" s="54">
        <f t="shared" si="0"/>
        <v>652.17391304347825</v>
      </c>
      <c r="D28" s="42"/>
      <c r="E28" s="54">
        <f>SUM($C$11:C28)</f>
        <v>11739.130434782606</v>
      </c>
      <c r="F28" s="54">
        <f>SUM($D$11:D28)</f>
        <v>0</v>
      </c>
      <c r="G28" s="50" t="str">
        <f>IF(COUNT($D$11:D28)=0,"",F28/E28)</f>
        <v/>
      </c>
      <c r="H28" s="51" t="str">
        <f t="shared" si="1"/>
        <v/>
      </c>
      <c r="I28" s="45"/>
      <c r="J28" s="52" t="str">
        <f t="shared" si="2"/>
        <v/>
      </c>
      <c r="K28" s="45"/>
      <c r="L28" s="52" t="str">
        <f t="shared" si="3"/>
        <v/>
      </c>
      <c r="M28" s="45"/>
      <c r="N28" s="52" t="str">
        <f t="shared" si="4"/>
        <v/>
      </c>
      <c r="O28" s="45"/>
      <c r="P28" s="52" t="str">
        <f t="shared" si="5"/>
        <v/>
      </c>
      <c r="Q28" s="45"/>
      <c r="R28" s="52" t="str">
        <f t="shared" si="6"/>
        <v/>
      </c>
      <c r="S28" s="45"/>
      <c r="T28" s="52" t="str">
        <f t="shared" si="7"/>
        <v/>
      </c>
      <c r="U28" s="45"/>
      <c r="V28" s="52" t="str">
        <f t="shared" si="8"/>
        <v/>
      </c>
      <c r="W28" s="45"/>
      <c r="X28" s="52" t="str">
        <f t="shared" si="9"/>
        <v/>
      </c>
    </row>
    <row r="29" spans="1:24" x14ac:dyDescent="0.2">
      <c r="A29" s="14">
        <v>19</v>
      </c>
      <c r="B29" s="40">
        <v>46314</v>
      </c>
      <c r="C29" s="53">
        <f t="shared" si="0"/>
        <v>652.17391304347825</v>
      </c>
      <c r="D29" s="42"/>
      <c r="E29" s="53">
        <f>SUM($C$11:C29)</f>
        <v>12391.304347826084</v>
      </c>
      <c r="F29" s="53">
        <f>SUM($D$11:D29)</f>
        <v>0</v>
      </c>
      <c r="G29" s="43" t="str">
        <f>IF(COUNT($D$11:D29)=0,"",F29/E29)</f>
        <v/>
      </c>
      <c r="H29" s="44" t="str">
        <f t="shared" si="1"/>
        <v/>
      </c>
      <c r="I29" s="45"/>
      <c r="J29" s="46" t="str">
        <f t="shared" si="2"/>
        <v/>
      </c>
      <c r="K29" s="45"/>
      <c r="L29" s="46" t="str">
        <f t="shared" si="3"/>
        <v/>
      </c>
      <c r="M29" s="45"/>
      <c r="N29" s="46" t="str">
        <f t="shared" si="4"/>
        <v/>
      </c>
      <c r="O29" s="45"/>
      <c r="P29" s="46" t="str">
        <f t="shared" si="5"/>
        <v/>
      </c>
      <c r="Q29" s="45"/>
      <c r="R29" s="46" t="str">
        <f t="shared" si="6"/>
        <v/>
      </c>
      <c r="S29" s="45"/>
      <c r="T29" s="46" t="str">
        <f t="shared" si="7"/>
        <v/>
      </c>
      <c r="U29" s="45"/>
      <c r="V29" s="46" t="str">
        <f t="shared" si="8"/>
        <v/>
      </c>
      <c r="W29" s="45"/>
      <c r="X29" s="46" t="str">
        <f t="shared" si="9"/>
        <v/>
      </c>
    </row>
    <row r="30" spans="1:24" x14ac:dyDescent="0.2">
      <c r="A30" s="21">
        <v>20</v>
      </c>
      <c r="B30" s="48">
        <v>46321</v>
      </c>
      <c r="C30" s="54">
        <f t="shared" si="0"/>
        <v>652.17391304347825</v>
      </c>
      <c r="D30" s="42"/>
      <c r="E30" s="54">
        <f>SUM($C$11:C30)</f>
        <v>13043.478260869562</v>
      </c>
      <c r="F30" s="54">
        <f>SUM($D$11:D30)</f>
        <v>0</v>
      </c>
      <c r="G30" s="50" t="str">
        <f>IF(COUNT($D$11:D30)=0,"",F30/E30)</f>
        <v/>
      </c>
      <c r="H30" s="51" t="str">
        <f t="shared" si="1"/>
        <v/>
      </c>
      <c r="I30" s="45"/>
      <c r="J30" s="52" t="str">
        <f t="shared" si="2"/>
        <v/>
      </c>
      <c r="K30" s="45"/>
      <c r="L30" s="52" t="str">
        <f t="shared" si="3"/>
        <v/>
      </c>
      <c r="M30" s="45"/>
      <c r="N30" s="52" t="str">
        <f t="shared" si="4"/>
        <v/>
      </c>
      <c r="O30" s="45"/>
      <c r="P30" s="52" t="str">
        <f t="shared" si="5"/>
        <v/>
      </c>
      <c r="Q30" s="45"/>
      <c r="R30" s="52" t="str">
        <f t="shared" si="6"/>
        <v/>
      </c>
      <c r="S30" s="45"/>
      <c r="T30" s="52" t="str">
        <f t="shared" si="7"/>
        <v/>
      </c>
      <c r="U30" s="45"/>
      <c r="V30" s="52" t="str">
        <f t="shared" si="8"/>
        <v/>
      </c>
      <c r="W30" s="45"/>
      <c r="X30" s="52" t="str">
        <f t="shared" si="9"/>
        <v/>
      </c>
    </row>
    <row r="31" spans="1:24" x14ac:dyDescent="0.2">
      <c r="A31" s="14">
        <v>21</v>
      </c>
      <c r="B31" s="40">
        <v>46328</v>
      </c>
      <c r="C31" s="53">
        <f t="shared" si="0"/>
        <v>652.17391304347825</v>
      </c>
      <c r="D31" s="42"/>
      <c r="E31" s="53">
        <f>SUM($C$11:C31)</f>
        <v>13695.65217391304</v>
      </c>
      <c r="F31" s="53">
        <f>SUM($D$11:D31)</f>
        <v>0</v>
      </c>
      <c r="G31" s="43" t="str">
        <f>IF(COUNT($D$11:D31)=0,"",F31/E31)</f>
        <v/>
      </c>
      <c r="H31" s="44" t="str">
        <f t="shared" si="1"/>
        <v/>
      </c>
      <c r="I31" s="45"/>
      <c r="J31" s="46" t="str">
        <f t="shared" si="2"/>
        <v/>
      </c>
      <c r="K31" s="45"/>
      <c r="L31" s="46" t="str">
        <f t="shared" si="3"/>
        <v/>
      </c>
      <c r="M31" s="45"/>
      <c r="N31" s="46" t="str">
        <f t="shared" si="4"/>
        <v/>
      </c>
      <c r="O31" s="45"/>
      <c r="P31" s="46" t="str">
        <f t="shared" si="5"/>
        <v/>
      </c>
      <c r="Q31" s="45"/>
      <c r="R31" s="46" t="str">
        <f t="shared" si="6"/>
        <v/>
      </c>
      <c r="S31" s="45"/>
      <c r="T31" s="46" t="str">
        <f t="shared" si="7"/>
        <v/>
      </c>
      <c r="U31" s="45"/>
      <c r="V31" s="46" t="str">
        <f t="shared" si="8"/>
        <v/>
      </c>
      <c r="W31" s="45"/>
      <c r="X31" s="46" t="str">
        <f t="shared" si="9"/>
        <v/>
      </c>
    </row>
    <row r="32" spans="1:24" x14ac:dyDescent="0.2">
      <c r="A32" s="21">
        <v>22</v>
      </c>
      <c r="B32" s="48">
        <v>46335</v>
      </c>
      <c r="C32" s="54">
        <f t="shared" si="0"/>
        <v>652.17391304347825</v>
      </c>
      <c r="D32" s="42"/>
      <c r="E32" s="54">
        <f>SUM($C$11:C32)</f>
        <v>14347.826086956518</v>
      </c>
      <c r="F32" s="54">
        <f>SUM($D$11:D32)</f>
        <v>0</v>
      </c>
      <c r="G32" s="50" t="str">
        <f>IF(COUNT($D$11:D32)=0,"",F32/E32)</f>
        <v/>
      </c>
      <c r="H32" s="51" t="str">
        <f t="shared" si="1"/>
        <v/>
      </c>
      <c r="I32" s="45"/>
      <c r="J32" s="52" t="str">
        <f t="shared" si="2"/>
        <v/>
      </c>
      <c r="K32" s="45"/>
      <c r="L32" s="52" t="str">
        <f t="shared" si="3"/>
        <v/>
      </c>
      <c r="M32" s="45"/>
      <c r="N32" s="52" t="str">
        <f t="shared" si="4"/>
        <v/>
      </c>
      <c r="O32" s="45"/>
      <c r="P32" s="52" t="str">
        <f t="shared" si="5"/>
        <v/>
      </c>
      <c r="Q32" s="45"/>
      <c r="R32" s="52" t="str">
        <f t="shared" si="6"/>
        <v/>
      </c>
      <c r="S32" s="45"/>
      <c r="T32" s="52" t="str">
        <f t="shared" si="7"/>
        <v/>
      </c>
      <c r="U32" s="45"/>
      <c r="V32" s="52" t="str">
        <f t="shared" si="8"/>
        <v/>
      </c>
      <c r="W32" s="45"/>
      <c r="X32" s="52" t="str">
        <f t="shared" si="9"/>
        <v/>
      </c>
    </row>
    <row r="33" spans="1:24" x14ac:dyDescent="0.2">
      <c r="A33" s="14">
        <v>23</v>
      </c>
      <c r="B33" s="40">
        <v>46342</v>
      </c>
      <c r="C33" s="53">
        <f t="shared" si="0"/>
        <v>652.17391304347825</v>
      </c>
      <c r="D33" s="42"/>
      <c r="E33" s="53">
        <f>SUM($C$11:C33)</f>
        <v>14999.999999999996</v>
      </c>
      <c r="F33" s="53">
        <f>SUM($D$11:D33)</f>
        <v>0</v>
      </c>
      <c r="G33" s="43" t="str">
        <f>IF(COUNT($D$11:D33)=0,"",F33/E33)</f>
        <v/>
      </c>
      <c r="H33" s="44" t="str">
        <f t="shared" si="1"/>
        <v/>
      </c>
      <c r="I33" s="45"/>
      <c r="J33" s="46" t="str">
        <f t="shared" si="2"/>
        <v/>
      </c>
      <c r="K33" s="45"/>
      <c r="L33" s="46" t="str">
        <f t="shared" si="3"/>
        <v/>
      </c>
      <c r="M33" s="45"/>
      <c r="N33" s="46" t="str">
        <f t="shared" si="4"/>
        <v/>
      </c>
      <c r="O33" s="45"/>
      <c r="P33" s="46" t="str">
        <f t="shared" si="5"/>
        <v/>
      </c>
      <c r="Q33" s="45"/>
      <c r="R33" s="46" t="str">
        <f t="shared" si="6"/>
        <v/>
      </c>
      <c r="S33" s="45"/>
      <c r="T33" s="46" t="str">
        <f t="shared" si="7"/>
        <v/>
      </c>
      <c r="U33" s="45"/>
      <c r="V33" s="46" t="str">
        <f t="shared" si="8"/>
        <v/>
      </c>
      <c r="W33" s="45"/>
      <c r="X33" s="46" t="str">
        <f t="shared" si="9"/>
        <v/>
      </c>
    </row>
    <row r="34" spans="1:24" x14ac:dyDescent="0.2">
      <c r="A34" s="21">
        <v>24</v>
      </c>
      <c r="B34" s="48">
        <v>46349</v>
      </c>
      <c r="C34" s="54">
        <f t="shared" si="0"/>
        <v>652.17391304347825</v>
      </c>
      <c r="D34" s="42"/>
      <c r="E34" s="54">
        <f>SUM($C$11:C34)</f>
        <v>15652.173913043474</v>
      </c>
      <c r="F34" s="54">
        <f>SUM($D$11:D34)</f>
        <v>0</v>
      </c>
      <c r="G34" s="50" t="str">
        <f>IF(COUNT($D$11:D34)=0,"",F34/E34)</f>
        <v/>
      </c>
      <c r="H34" s="51" t="str">
        <f t="shared" si="1"/>
        <v/>
      </c>
      <c r="I34" s="45"/>
      <c r="J34" s="52" t="str">
        <f t="shared" si="2"/>
        <v/>
      </c>
      <c r="K34" s="45"/>
      <c r="L34" s="52" t="str">
        <f t="shared" si="3"/>
        <v/>
      </c>
      <c r="M34" s="45"/>
      <c r="N34" s="52" t="str">
        <f t="shared" si="4"/>
        <v/>
      </c>
      <c r="O34" s="45"/>
      <c r="P34" s="52" t="str">
        <f t="shared" si="5"/>
        <v/>
      </c>
      <c r="Q34" s="45"/>
      <c r="R34" s="52" t="str">
        <f t="shared" si="6"/>
        <v/>
      </c>
      <c r="S34" s="45"/>
      <c r="T34" s="52" t="str">
        <f t="shared" si="7"/>
        <v/>
      </c>
      <c r="U34" s="45"/>
      <c r="V34" s="52" t="str">
        <f t="shared" si="8"/>
        <v/>
      </c>
      <c r="W34" s="45"/>
      <c r="X34" s="52" t="str">
        <f t="shared" si="9"/>
        <v/>
      </c>
    </row>
    <row r="35" spans="1:24" x14ac:dyDescent="0.2">
      <c r="A35" s="14">
        <v>25</v>
      </c>
      <c r="B35" s="40">
        <v>46356</v>
      </c>
      <c r="C35" s="53">
        <f t="shared" si="0"/>
        <v>652.17391304347825</v>
      </c>
      <c r="D35" s="42"/>
      <c r="E35" s="53">
        <f>SUM($C$11:C35)</f>
        <v>16304.347826086952</v>
      </c>
      <c r="F35" s="53">
        <f>SUM($D$11:D35)</f>
        <v>0</v>
      </c>
      <c r="G35" s="43" t="str">
        <f>IF(COUNT($D$11:D35)=0,"",F35/E35)</f>
        <v/>
      </c>
      <c r="H35" s="44" t="str">
        <f t="shared" si="1"/>
        <v/>
      </c>
      <c r="I35" s="45"/>
      <c r="J35" s="46" t="str">
        <f t="shared" si="2"/>
        <v/>
      </c>
      <c r="K35" s="45"/>
      <c r="L35" s="46" t="str">
        <f t="shared" si="3"/>
        <v/>
      </c>
      <c r="M35" s="45"/>
      <c r="N35" s="46" t="str">
        <f t="shared" si="4"/>
        <v/>
      </c>
      <c r="O35" s="45"/>
      <c r="P35" s="46" t="str">
        <f t="shared" si="5"/>
        <v/>
      </c>
      <c r="Q35" s="45"/>
      <c r="R35" s="46" t="str">
        <f t="shared" si="6"/>
        <v/>
      </c>
      <c r="S35" s="45"/>
      <c r="T35" s="46" t="str">
        <f t="shared" si="7"/>
        <v/>
      </c>
      <c r="U35" s="45"/>
      <c r="V35" s="46" t="str">
        <f t="shared" si="8"/>
        <v/>
      </c>
      <c r="W35" s="45"/>
      <c r="X35" s="46" t="str">
        <f t="shared" si="9"/>
        <v/>
      </c>
    </row>
    <row r="36" spans="1:24" x14ac:dyDescent="0.2">
      <c r="A36" s="21">
        <v>26</v>
      </c>
      <c r="B36" s="48">
        <v>46363</v>
      </c>
      <c r="C36" s="54">
        <f t="shared" si="0"/>
        <v>652.17391304347825</v>
      </c>
      <c r="D36" s="42"/>
      <c r="E36" s="54">
        <f>SUM($C$11:C36)</f>
        <v>16956.521739130432</v>
      </c>
      <c r="F36" s="54">
        <f>SUM($D$11:D36)</f>
        <v>0</v>
      </c>
      <c r="G36" s="50" t="str">
        <f>IF(COUNT($D$11:D36)=0,"",F36/E36)</f>
        <v/>
      </c>
      <c r="H36" s="51" t="str">
        <f t="shared" si="1"/>
        <v/>
      </c>
      <c r="I36" s="45"/>
      <c r="J36" s="52" t="str">
        <f t="shared" si="2"/>
        <v/>
      </c>
      <c r="K36" s="45"/>
      <c r="L36" s="52" t="str">
        <f t="shared" si="3"/>
        <v/>
      </c>
      <c r="M36" s="45"/>
      <c r="N36" s="52" t="str">
        <f t="shared" si="4"/>
        <v/>
      </c>
      <c r="O36" s="45"/>
      <c r="P36" s="52" t="str">
        <f t="shared" si="5"/>
        <v/>
      </c>
      <c r="Q36" s="45"/>
      <c r="R36" s="52" t="str">
        <f t="shared" si="6"/>
        <v/>
      </c>
      <c r="S36" s="45"/>
      <c r="T36" s="52" t="str">
        <f t="shared" si="7"/>
        <v/>
      </c>
      <c r="U36" s="45"/>
      <c r="V36" s="52" t="str">
        <f t="shared" si="8"/>
        <v/>
      </c>
      <c r="W36" s="45"/>
      <c r="X36" s="52" t="str">
        <f t="shared" si="9"/>
        <v/>
      </c>
    </row>
    <row r="37" spans="1:24" x14ac:dyDescent="0.2">
      <c r="A37" s="14">
        <v>27</v>
      </c>
      <c r="B37" s="40">
        <v>46370</v>
      </c>
      <c r="C37" s="53">
        <f t="shared" si="0"/>
        <v>652.17391304347825</v>
      </c>
      <c r="D37" s="42"/>
      <c r="E37" s="53">
        <f>SUM($C$11:C37)</f>
        <v>17608.695652173912</v>
      </c>
      <c r="F37" s="53">
        <f>SUM($D$11:D37)</f>
        <v>0</v>
      </c>
      <c r="G37" s="43" t="str">
        <f>IF(COUNT($D$11:D37)=0,"",F37/E37)</f>
        <v/>
      </c>
      <c r="H37" s="44" t="str">
        <f t="shared" si="1"/>
        <v/>
      </c>
      <c r="I37" s="45"/>
      <c r="J37" s="46" t="str">
        <f t="shared" si="2"/>
        <v/>
      </c>
      <c r="K37" s="45"/>
      <c r="L37" s="46" t="str">
        <f t="shared" si="3"/>
        <v/>
      </c>
      <c r="M37" s="45"/>
      <c r="N37" s="46" t="str">
        <f t="shared" si="4"/>
        <v/>
      </c>
      <c r="O37" s="45"/>
      <c r="P37" s="46" t="str">
        <f t="shared" si="5"/>
        <v/>
      </c>
      <c r="Q37" s="45"/>
      <c r="R37" s="46" t="str">
        <f t="shared" si="6"/>
        <v/>
      </c>
      <c r="S37" s="45"/>
      <c r="T37" s="46" t="str">
        <f t="shared" si="7"/>
        <v/>
      </c>
      <c r="U37" s="45"/>
      <c r="V37" s="46" t="str">
        <f t="shared" si="8"/>
        <v/>
      </c>
      <c r="W37" s="45"/>
      <c r="X37" s="46" t="str">
        <f t="shared" si="9"/>
        <v/>
      </c>
    </row>
    <row r="38" spans="1:24" x14ac:dyDescent="0.2">
      <c r="A38" s="21">
        <v>28</v>
      </c>
      <c r="B38" s="48">
        <v>46377</v>
      </c>
      <c r="C38" s="54">
        <f t="shared" si="0"/>
        <v>652.17391304347825</v>
      </c>
      <c r="D38" s="42"/>
      <c r="E38" s="54">
        <f>SUM($C$11:C38)</f>
        <v>18260.869565217392</v>
      </c>
      <c r="F38" s="54">
        <f>SUM($D$11:D38)</f>
        <v>0</v>
      </c>
      <c r="G38" s="50" t="str">
        <f>IF(COUNT($D$11:D38)=0,"",F38/E38)</f>
        <v/>
      </c>
      <c r="H38" s="51" t="str">
        <f t="shared" si="1"/>
        <v/>
      </c>
      <c r="I38" s="45"/>
      <c r="J38" s="52" t="str">
        <f t="shared" si="2"/>
        <v/>
      </c>
      <c r="K38" s="45"/>
      <c r="L38" s="52" t="str">
        <f t="shared" si="3"/>
        <v/>
      </c>
      <c r="M38" s="45"/>
      <c r="N38" s="52" t="str">
        <f t="shared" si="4"/>
        <v/>
      </c>
      <c r="O38" s="45"/>
      <c r="P38" s="52" t="str">
        <f t="shared" si="5"/>
        <v/>
      </c>
      <c r="Q38" s="45"/>
      <c r="R38" s="52" t="str">
        <f t="shared" si="6"/>
        <v/>
      </c>
      <c r="S38" s="45"/>
      <c r="T38" s="52" t="str">
        <f t="shared" si="7"/>
        <v/>
      </c>
      <c r="U38" s="45"/>
      <c r="V38" s="52" t="str">
        <f t="shared" si="8"/>
        <v/>
      </c>
      <c r="W38" s="45"/>
      <c r="X38" s="52" t="str">
        <f t="shared" si="9"/>
        <v/>
      </c>
    </row>
    <row r="39" spans="1:24" x14ac:dyDescent="0.2">
      <c r="A39" s="14">
        <v>29</v>
      </c>
      <c r="B39" s="40">
        <v>46384</v>
      </c>
      <c r="C39" s="53">
        <f t="shared" si="0"/>
        <v>652.17391304347825</v>
      </c>
      <c r="D39" s="42"/>
      <c r="E39" s="53">
        <f>SUM($C$11:C39)</f>
        <v>18913.043478260872</v>
      </c>
      <c r="F39" s="53">
        <f>SUM($D$11:D39)</f>
        <v>0</v>
      </c>
      <c r="G39" s="43" t="str">
        <f>IF(COUNT($D$11:D39)=0,"",F39/E39)</f>
        <v/>
      </c>
      <c r="H39" s="44" t="str">
        <f t="shared" si="1"/>
        <v/>
      </c>
      <c r="I39" s="45"/>
      <c r="J39" s="46" t="str">
        <f t="shared" si="2"/>
        <v/>
      </c>
      <c r="K39" s="45"/>
      <c r="L39" s="46" t="str">
        <f t="shared" si="3"/>
        <v/>
      </c>
      <c r="M39" s="45"/>
      <c r="N39" s="46" t="str">
        <f t="shared" si="4"/>
        <v/>
      </c>
      <c r="O39" s="45"/>
      <c r="P39" s="46" t="str">
        <f t="shared" si="5"/>
        <v/>
      </c>
      <c r="Q39" s="45"/>
      <c r="R39" s="46" t="str">
        <f t="shared" si="6"/>
        <v/>
      </c>
      <c r="S39" s="45"/>
      <c r="T39" s="46" t="str">
        <f t="shared" si="7"/>
        <v/>
      </c>
      <c r="U39" s="45"/>
      <c r="V39" s="46" t="str">
        <f t="shared" si="8"/>
        <v/>
      </c>
      <c r="W39" s="45"/>
      <c r="X39" s="46" t="str">
        <f t="shared" si="9"/>
        <v/>
      </c>
    </row>
    <row r="40" spans="1:24" x14ac:dyDescent="0.2">
      <c r="A40" s="21">
        <v>30</v>
      </c>
      <c r="B40" s="48">
        <v>46391</v>
      </c>
      <c r="C40" s="54">
        <f t="shared" si="0"/>
        <v>652.17391304347825</v>
      </c>
      <c r="D40" s="42"/>
      <c r="E40" s="54">
        <f>SUM($C$11:C40)</f>
        <v>19565.217391304352</v>
      </c>
      <c r="F40" s="54">
        <f>SUM($D$11:D40)</f>
        <v>0</v>
      </c>
      <c r="G40" s="50" t="str">
        <f>IF(COUNT($D$11:D40)=0,"",F40/E40)</f>
        <v/>
      </c>
      <c r="H40" s="51" t="str">
        <f t="shared" si="1"/>
        <v/>
      </c>
      <c r="I40" s="45"/>
      <c r="J40" s="52" t="str">
        <f t="shared" si="2"/>
        <v/>
      </c>
      <c r="K40" s="45"/>
      <c r="L40" s="52" t="str">
        <f t="shared" si="3"/>
        <v/>
      </c>
      <c r="M40" s="45"/>
      <c r="N40" s="52" t="str">
        <f t="shared" si="4"/>
        <v/>
      </c>
      <c r="O40" s="45"/>
      <c r="P40" s="52" t="str">
        <f t="shared" si="5"/>
        <v/>
      </c>
      <c r="Q40" s="45"/>
      <c r="R40" s="52" t="str">
        <f t="shared" si="6"/>
        <v/>
      </c>
      <c r="S40" s="45"/>
      <c r="T40" s="52" t="str">
        <f t="shared" si="7"/>
        <v/>
      </c>
      <c r="U40" s="45"/>
      <c r="V40" s="52" t="str">
        <f t="shared" si="8"/>
        <v/>
      </c>
      <c r="W40" s="45"/>
      <c r="X40" s="52" t="str">
        <f t="shared" si="9"/>
        <v/>
      </c>
    </row>
    <row r="41" spans="1:24" x14ac:dyDescent="0.2">
      <c r="A41" s="14">
        <v>31</v>
      </c>
      <c r="B41" s="40">
        <v>46398</v>
      </c>
      <c r="C41" s="53">
        <f t="shared" si="0"/>
        <v>652.17391304347825</v>
      </c>
      <c r="D41" s="42"/>
      <c r="E41" s="53">
        <f>SUM($C$11:C41)</f>
        <v>20217.391304347831</v>
      </c>
      <c r="F41" s="53">
        <f>SUM($D$11:D41)</f>
        <v>0</v>
      </c>
      <c r="G41" s="43" t="str">
        <f>IF(COUNT($D$11:D41)=0,"",F41/E41)</f>
        <v/>
      </c>
      <c r="H41" s="44" t="str">
        <f t="shared" si="1"/>
        <v/>
      </c>
      <c r="I41" s="45"/>
      <c r="J41" s="46" t="str">
        <f t="shared" si="2"/>
        <v/>
      </c>
      <c r="K41" s="45"/>
      <c r="L41" s="46" t="str">
        <f t="shared" si="3"/>
        <v/>
      </c>
      <c r="M41" s="45"/>
      <c r="N41" s="46" t="str">
        <f t="shared" si="4"/>
        <v/>
      </c>
      <c r="O41" s="45"/>
      <c r="P41" s="46" t="str">
        <f t="shared" si="5"/>
        <v/>
      </c>
      <c r="Q41" s="45"/>
      <c r="R41" s="46" t="str">
        <f t="shared" si="6"/>
        <v/>
      </c>
      <c r="S41" s="45"/>
      <c r="T41" s="46" t="str">
        <f t="shared" si="7"/>
        <v/>
      </c>
      <c r="U41" s="45"/>
      <c r="V41" s="46" t="str">
        <f t="shared" si="8"/>
        <v/>
      </c>
      <c r="W41" s="45"/>
      <c r="X41" s="46" t="str">
        <f t="shared" si="9"/>
        <v/>
      </c>
    </row>
    <row r="42" spans="1:24" x14ac:dyDescent="0.2">
      <c r="A42" s="21">
        <v>32</v>
      </c>
      <c r="B42" s="48">
        <v>46405</v>
      </c>
      <c r="C42" s="54">
        <f t="shared" si="0"/>
        <v>652.17391304347825</v>
      </c>
      <c r="D42" s="42"/>
      <c r="E42" s="54">
        <f>SUM($C$11:C42)</f>
        <v>20869.565217391311</v>
      </c>
      <c r="F42" s="54">
        <f>SUM($D$11:D42)</f>
        <v>0</v>
      </c>
      <c r="G42" s="50" t="str">
        <f>IF(COUNT($D$11:D42)=0,"",F42/E42)</f>
        <v/>
      </c>
      <c r="H42" s="51" t="str">
        <f t="shared" si="1"/>
        <v/>
      </c>
      <c r="I42" s="45"/>
      <c r="J42" s="52" t="str">
        <f t="shared" si="2"/>
        <v/>
      </c>
      <c r="K42" s="45"/>
      <c r="L42" s="52" t="str">
        <f t="shared" si="3"/>
        <v/>
      </c>
      <c r="M42" s="45"/>
      <c r="N42" s="52" t="str">
        <f t="shared" si="4"/>
        <v/>
      </c>
      <c r="O42" s="45"/>
      <c r="P42" s="52" t="str">
        <f t="shared" si="5"/>
        <v/>
      </c>
      <c r="Q42" s="45"/>
      <c r="R42" s="52" t="str">
        <f t="shared" si="6"/>
        <v/>
      </c>
      <c r="S42" s="45"/>
      <c r="T42" s="52" t="str">
        <f t="shared" si="7"/>
        <v/>
      </c>
      <c r="U42" s="45"/>
      <c r="V42" s="52" t="str">
        <f t="shared" si="8"/>
        <v/>
      </c>
      <c r="W42" s="45"/>
      <c r="X42" s="52" t="str">
        <f t="shared" si="9"/>
        <v/>
      </c>
    </row>
    <row r="43" spans="1:24" x14ac:dyDescent="0.2">
      <c r="A43" s="14">
        <v>33</v>
      </c>
      <c r="B43" s="40">
        <v>46412</v>
      </c>
      <c r="C43" s="53">
        <f t="shared" si="0"/>
        <v>652.17391304347825</v>
      </c>
      <c r="D43" s="42"/>
      <c r="E43" s="53">
        <f>SUM($C$11:C43)</f>
        <v>21521.739130434791</v>
      </c>
      <c r="F43" s="53">
        <f>SUM($D$11:D43)</f>
        <v>0</v>
      </c>
      <c r="G43" s="43" t="str">
        <f>IF(COUNT($D$11:D43)=0,"",F43/E43)</f>
        <v/>
      </c>
      <c r="H43" s="44" t="str">
        <f t="shared" si="1"/>
        <v/>
      </c>
      <c r="I43" s="45"/>
      <c r="J43" s="46" t="str">
        <f t="shared" si="2"/>
        <v/>
      </c>
      <c r="K43" s="45"/>
      <c r="L43" s="46" t="str">
        <f t="shared" si="3"/>
        <v/>
      </c>
      <c r="M43" s="45"/>
      <c r="N43" s="46" t="str">
        <f t="shared" si="4"/>
        <v/>
      </c>
      <c r="O43" s="45"/>
      <c r="P43" s="46" t="str">
        <f t="shared" si="5"/>
        <v/>
      </c>
      <c r="Q43" s="45"/>
      <c r="R43" s="46" t="str">
        <f t="shared" si="6"/>
        <v/>
      </c>
      <c r="S43" s="45"/>
      <c r="T43" s="46" t="str">
        <f t="shared" si="7"/>
        <v/>
      </c>
      <c r="U43" s="45"/>
      <c r="V43" s="46" t="str">
        <f t="shared" si="8"/>
        <v/>
      </c>
      <c r="W43" s="45"/>
      <c r="X43" s="46" t="str">
        <f t="shared" si="9"/>
        <v/>
      </c>
    </row>
    <row r="44" spans="1:24" x14ac:dyDescent="0.2">
      <c r="A44" s="21">
        <v>34</v>
      </c>
      <c r="B44" s="48">
        <v>46419</v>
      </c>
      <c r="C44" s="54">
        <f t="shared" si="0"/>
        <v>652.17391304347825</v>
      </c>
      <c r="D44" s="42"/>
      <c r="E44" s="54">
        <f>SUM($C$11:C44)</f>
        <v>22173.913043478271</v>
      </c>
      <c r="F44" s="54">
        <f>SUM($D$11:D44)</f>
        <v>0</v>
      </c>
      <c r="G44" s="50" t="str">
        <f>IF(COUNT($D$11:D44)=0,"",F44/E44)</f>
        <v/>
      </c>
      <c r="H44" s="51" t="str">
        <f t="shared" si="1"/>
        <v/>
      </c>
      <c r="I44" s="45"/>
      <c r="J44" s="52" t="str">
        <f t="shared" si="2"/>
        <v/>
      </c>
      <c r="K44" s="45"/>
      <c r="L44" s="52" t="str">
        <f t="shared" si="3"/>
        <v/>
      </c>
      <c r="M44" s="45"/>
      <c r="N44" s="52" t="str">
        <f t="shared" si="4"/>
        <v/>
      </c>
      <c r="O44" s="45"/>
      <c r="P44" s="52" t="str">
        <f t="shared" si="5"/>
        <v/>
      </c>
      <c r="Q44" s="45"/>
      <c r="R44" s="52" t="str">
        <f t="shared" si="6"/>
        <v/>
      </c>
      <c r="S44" s="45"/>
      <c r="T44" s="52" t="str">
        <f t="shared" si="7"/>
        <v/>
      </c>
      <c r="U44" s="45"/>
      <c r="V44" s="52" t="str">
        <f t="shared" si="8"/>
        <v/>
      </c>
      <c r="W44" s="45"/>
      <c r="X44" s="52" t="str">
        <f t="shared" si="9"/>
        <v/>
      </c>
    </row>
    <row r="45" spans="1:24" x14ac:dyDescent="0.2">
      <c r="A45" s="14">
        <v>35</v>
      </c>
      <c r="B45" s="40">
        <v>46426</v>
      </c>
      <c r="C45" s="53">
        <f t="shared" si="0"/>
        <v>652.17391304347825</v>
      </c>
      <c r="D45" s="42"/>
      <c r="E45" s="53">
        <f>SUM($C$11:C45)</f>
        <v>22826.086956521751</v>
      </c>
      <c r="F45" s="53">
        <f>SUM($D$11:D45)</f>
        <v>0</v>
      </c>
      <c r="G45" s="43" t="str">
        <f>IF(COUNT($D$11:D45)=0,"",F45/E45)</f>
        <v/>
      </c>
      <c r="H45" s="44" t="str">
        <f t="shared" si="1"/>
        <v/>
      </c>
      <c r="I45" s="45"/>
      <c r="J45" s="46" t="str">
        <f t="shared" si="2"/>
        <v/>
      </c>
      <c r="K45" s="45"/>
      <c r="L45" s="46" t="str">
        <f t="shared" si="3"/>
        <v/>
      </c>
      <c r="M45" s="45"/>
      <c r="N45" s="46" t="str">
        <f t="shared" si="4"/>
        <v/>
      </c>
      <c r="O45" s="45"/>
      <c r="P45" s="46" t="str">
        <f t="shared" si="5"/>
        <v/>
      </c>
      <c r="Q45" s="45"/>
      <c r="R45" s="46" t="str">
        <f t="shared" si="6"/>
        <v/>
      </c>
      <c r="S45" s="45"/>
      <c r="T45" s="46" t="str">
        <f t="shared" si="7"/>
        <v/>
      </c>
      <c r="U45" s="45"/>
      <c r="V45" s="46" t="str">
        <f t="shared" si="8"/>
        <v/>
      </c>
      <c r="W45" s="45"/>
      <c r="X45" s="46" t="str">
        <f t="shared" si="9"/>
        <v/>
      </c>
    </row>
    <row r="46" spans="1:24" x14ac:dyDescent="0.2">
      <c r="A46" s="21">
        <v>36</v>
      </c>
      <c r="B46" s="48">
        <v>46433</v>
      </c>
      <c r="C46" s="54">
        <f t="shared" si="0"/>
        <v>652.17391304347825</v>
      </c>
      <c r="D46" s="42"/>
      <c r="E46" s="54">
        <f>SUM($C$11:C46)</f>
        <v>23478.260869565231</v>
      </c>
      <c r="F46" s="54">
        <f>SUM($D$11:D46)</f>
        <v>0</v>
      </c>
      <c r="G46" s="50" t="str">
        <f>IF(COUNT($D$11:D46)=0,"",F46/E46)</f>
        <v/>
      </c>
      <c r="H46" s="51" t="str">
        <f t="shared" si="1"/>
        <v/>
      </c>
      <c r="I46" s="45"/>
      <c r="J46" s="52" t="str">
        <f t="shared" si="2"/>
        <v/>
      </c>
      <c r="K46" s="45"/>
      <c r="L46" s="52" t="str">
        <f t="shared" si="3"/>
        <v/>
      </c>
      <c r="M46" s="45"/>
      <c r="N46" s="52" t="str">
        <f t="shared" si="4"/>
        <v/>
      </c>
      <c r="O46" s="45"/>
      <c r="P46" s="52" t="str">
        <f t="shared" si="5"/>
        <v/>
      </c>
      <c r="Q46" s="45"/>
      <c r="R46" s="52" t="str">
        <f t="shared" si="6"/>
        <v/>
      </c>
      <c r="S46" s="45"/>
      <c r="T46" s="52" t="str">
        <f t="shared" si="7"/>
        <v/>
      </c>
      <c r="U46" s="45"/>
      <c r="V46" s="52" t="str">
        <f t="shared" si="8"/>
        <v/>
      </c>
      <c r="W46" s="45"/>
      <c r="X46" s="52" t="str">
        <f t="shared" si="9"/>
        <v/>
      </c>
    </row>
    <row r="47" spans="1:24" x14ac:dyDescent="0.2">
      <c r="A47" s="14">
        <v>37</v>
      </c>
      <c r="B47" s="40">
        <v>46440</v>
      </c>
      <c r="C47" s="53">
        <f t="shared" si="0"/>
        <v>652.17391304347825</v>
      </c>
      <c r="D47" s="42"/>
      <c r="E47" s="53">
        <f>SUM($C$11:C47)</f>
        <v>24130.434782608711</v>
      </c>
      <c r="F47" s="53">
        <f>SUM($D$11:D47)</f>
        <v>0</v>
      </c>
      <c r="G47" s="43" t="str">
        <f>IF(COUNT($D$11:D47)=0,"",F47/E47)</f>
        <v/>
      </c>
      <c r="H47" s="44" t="str">
        <f t="shared" si="1"/>
        <v/>
      </c>
      <c r="I47" s="45"/>
      <c r="J47" s="46" t="str">
        <f t="shared" si="2"/>
        <v/>
      </c>
      <c r="K47" s="45"/>
      <c r="L47" s="46" t="str">
        <f t="shared" si="3"/>
        <v/>
      </c>
      <c r="M47" s="45"/>
      <c r="N47" s="46" t="str">
        <f t="shared" si="4"/>
        <v/>
      </c>
      <c r="O47" s="45"/>
      <c r="P47" s="46" t="str">
        <f t="shared" si="5"/>
        <v/>
      </c>
      <c r="Q47" s="45"/>
      <c r="R47" s="46" t="str">
        <f t="shared" si="6"/>
        <v/>
      </c>
      <c r="S47" s="45"/>
      <c r="T47" s="46" t="str">
        <f t="shared" si="7"/>
        <v/>
      </c>
      <c r="U47" s="45"/>
      <c r="V47" s="46" t="str">
        <f t="shared" si="8"/>
        <v/>
      </c>
      <c r="W47" s="45"/>
      <c r="X47" s="46" t="str">
        <f t="shared" si="9"/>
        <v/>
      </c>
    </row>
    <row r="48" spans="1:24" x14ac:dyDescent="0.2">
      <c r="A48" s="21">
        <v>38</v>
      </c>
      <c r="B48" s="48">
        <v>46447</v>
      </c>
      <c r="C48" s="54">
        <f t="shared" si="0"/>
        <v>652.17391304347825</v>
      </c>
      <c r="D48" s="42"/>
      <c r="E48" s="54">
        <f>SUM($C$11:C48)</f>
        <v>24782.60869565219</v>
      </c>
      <c r="F48" s="54">
        <f>SUM($D$11:D48)</f>
        <v>0</v>
      </c>
      <c r="G48" s="50" t="str">
        <f>IF(COUNT($D$11:D48)=0,"",F48/E48)</f>
        <v/>
      </c>
      <c r="H48" s="51" t="str">
        <f t="shared" si="1"/>
        <v/>
      </c>
      <c r="I48" s="45"/>
      <c r="J48" s="52" t="str">
        <f t="shared" si="2"/>
        <v/>
      </c>
      <c r="K48" s="45"/>
      <c r="L48" s="52" t="str">
        <f t="shared" si="3"/>
        <v/>
      </c>
      <c r="M48" s="45"/>
      <c r="N48" s="52" t="str">
        <f t="shared" si="4"/>
        <v/>
      </c>
      <c r="O48" s="45"/>
      <c r="P48" s="52" t="str">
        <f t="shared" si="5"/>
        <v/>
      </c>
      <c r="Q48" s="45"/>
      <c r="R48" s="52" t="str">
        <f t="shared" si="6"/>
        <v/>
      </c>
      <c r="S48" s="45"/>
      <c r="T48" s="52" t="str">
        <f t="shared" si="7"/>
        <v/>
      </c>
      <c r="U48" s="45"/>
      <c r="V48" s="52" t="str">
        <f t="shared" si="8"/>
        <v/>
      </c>
      <c r="W48" s="45"/>
      <c r="X48" s="52" t="str">
        <f t="shared" si="9"/>
        <v/>
      </c>
    </row>
    <row r="49" spans="1:24" x14ac:dyDescent="0.2">
      <c r="A49" s="14">
        <v>39</v>
      </c>
      <c r="B49" s="40">
        <v>46454</v>
      </c>
      <c r="C49" s="53">
        <f t="shared" si="0"/>
        <v>652.17391304347825</v>
      </c>
      <c r="D49" s="42"/>
      <c r="E49" s="53">
        <f>SUM($C$11:C49)</f>
        <v>25434.78260869567</v>
      </c>
      <c r="F49" s="53">
        <f>SUM($D$11:D49)</f>
        <v>0</v>
      </c>
      <c r="G49" s="43" t="str">
        <f>IF(COUNT($D$11:D49)=0,"",F49/E49)</f>
        <v/>
      </c>
      <c r="H49" s="44" t="str">
        <f t="shared" si="1"/>
        <v/>
      </c>
      <c r="I49" s="45"/>
      <c r="J49" s="46" t="str">
        <f t="shared" si="2"/>
        <v/>
      </c>
      <c r="K49" s="45"/>
      <c r="L49" s="46" t="str">
        <f t="shared" si="3"/>
        <v/>
      </c>
      <c r="M49" s="45"/>
      <c r="N49" s="46" t="str">
        <f t="shared" si="4"/>
        <v/>
      </c>
      <c r="O49" s="45"/>
      <c r="P49" s="46" t="str">
        <f t="shared" si="5"/>
        <v/>
      </c>
      <c r="Q49" s="45"/>
      <c r="R49" s="46" t="str">
        <f t="shared" si="6"/>
        <v/>
      </c>
      <c r="S49" s="45"/>
      <c r="T49" s="46" t="str">
        <f t="shared" si="7"/>
        <v/>
      </c>
      <c r="U49" s="45"/>
      <c r="V49" s="46" t="str">
        <f t="shared" si="8"/>
        <v/>
      </c>
      <c r="W49" s="45"/>
      <c r="X49" s="46" t="str">
        <f t="shared" si="9"/>
        <v/>
      </c>
    </row>
    <row r="50" spans="1:24" x14ac:dyDescent="0.2">
      <c r="A50" s="21">
        <v>40</v>
      </c>
      <c r="B50" s="48">
        <v>46461</v>
      </c>
      <c r="C50" s="54">
        <f t="shared" si="0"/>
        <v>652.17391304347825</v>
      </c>
      <c r="D50" s="42"/>
      <c r="E50" s="54">
        <f>SUM($C$11:C50)</f>
        <v>26086.95652173915</v>
      </c>
      <c r="F50" s="54">
        <f>SUM($D$11:D50)</f>
        <v>0</v>
      </c>
      <c r="G50" s="50" t="str">
        <f>IF(COUNT($D$11:D50)=0,"",F50/E50)</f>
        <v/>
      </c>
      <c r="H50" s="51" t="str">
        <f t="shared" si="1"/>
        <v/>
      </c>
      <c r="I50" s="45"/>
      <c r="J50" s="52" t="str">
        <f t="shared" si="2"/>
        <v/>
      </c>
      <c r="K50" s="45"/>
      <c r="L50" s="52" t="str">
        <f t="shared" si="3"/>
        <v/>
      </c>
      <c r="M50" s="45"/>
      <c r="N50" s="52" t="str">
        <f t="shared" si="4"/>
        <v/>
      </c>
      <c r="O50" s="45"/>
      <c r="P50" s="52" t="str">
        <f t="shared" si="5"/>
        <v/>
      </c>
      <c r="Q50" s="45"/>
      <c r="R50" s="52" t="str">
        <f t="shared" si="6"/>
        <v/>
      </c>
      <c r="S50" s="45"/>
      <c r="T50" s="52" t="str">
        <f t="shared" si="7"/>
        <v/>
      </c>
      <c r="U50" s="45"/>
      <c r="V50" s="52" t="str">
        <f t="shared" si="8"/>
        <v/>
      </c>
      <c r="W50" s="45"/>
      <c r="X50" s="52" t="str">
        <f t="shared" si="9"/>
        <v/>
      </c>
    </row>
    <row r="51" spans="1:24" x14ac:dyDescent="0.2">
      <c r="A51" s="14">
        <v>41</v>
      </c>
      <c r="B51" s="40">
        <v>46468</v>
      </c>
      <c r="C51" s="53">
        <f t="shared" si="0"/>
        <v>652.17391304347825</v>
      </c>
      <c r="D51" s="42"/>
      <c r="E51" s="53">
        <f>SUM($C$11:C51)</f>
        <v>26739.13043478263</v>
      </c>
      <c r="F51" s="53">
        <f>SUM($D$11:D51)</f>
        <v>0</v>
      </c>
      <c r="G51" s="43" t="str">
        <f>IF(COUNT($D$11:D51)=0,"",F51/E51)</f>
        <v/>
      </c>
      <c r="H51" s="44" t="str">
        <f t="shared" si="1"/>
        <v/>
      </c>
      <c r="I51" s="45"/>
      <c r="J51" s="46" t="str">
        <f t="shared" si="2"/>
        <v/>
      </c>
      <c r="K51" s="45"/>
      <c r="L51" s="46" t="str">
        <f t="shared" si="3"/>
        <v/>
      </c>
      <c r="M51" s="45"/>
      <c r="N51" s="46" t="str">
        <f t="shared" si="4"/>
        <v/>
      </c>
      <c r="O51" s="45"/>
      <c r="P51" s="46" t="str">
        <f t="shared" si="5"/>
        <v/>
      </c>
      <c r="Q51" s="45"/>
      <c r="R51" s="46" t="str">
        <f t="shared" si="6"/>
        <v/>
      </c>
      <c r="S51" s="45"/>
      <c r="T51" s="46" t="str">
        <f t="shared" si="7"/>
        <v/>
      </c>
      <c r="U51" s="45"/>
      <c r="V51" s="46" t="str">
        <f t="shared" si="8"/>
        <v/>
      </c>
      <c r="W51" s="45"/>
      <c r="X51" s="46" t="str">
        <f t="shared" si="9"/>
        <v/>
      </c>
    </row>
    <row r="52" spans="1:24" x14ac:dyDescent="0.2">
      <c r="A52" s="21">
        <v>42</v>
      </c>
      <c r="B52" s="48">
        <v>46475</v>
      </c>
      <c r="C52" s="54">
        <f t="shared" si="0"/>
        <v>652.17391304347825</v>
      </c>
      <c r="D52" s="42"/>
      <c r="E52" s="54">
        <f>SUM($C$11:C52)</f>
        <v>27391.30434782611</v>
      </c>
      <c r="F52" s="54">
        <f>SUM($D$11:D52)</f>
        <v>0</v>
      </c>
      <c r="G52" s="50" t="str">
        <f>IF(COUNT($D$11:D52)=0,"",F52/E52)</f>
        <v/>
      </c>
      <c r="H52" s="51" t="str">
        <f t="shared" si="1"/>
        <v/>
      </c>
      <c r="I52" s="45"/>
      <c r="J52" s="52" t="str">
        <f t="shared" si="2"/>
        <v/>
      </c>
      <c r="K52" s="45"/>
      <c r="L52" s="52" t="str">
        <f t="shared" si="3"/>
        <v/>
      </c>
      <c r="M52" s="45"/>
      <c r="N52" s="52" t="str">
        <f t="shared" si="4"/>
        <v/>
      </c>
      <c r="O52" s="45"/>
      <c r="P52" s="52" t="str">
        <f t="shared" si="5"/>
        <v/>
      </c>
      <c r="Q52" s="45"/>
      <c r="R52" s="52" t="str">
        <f t="shared" si="6"/>
        <v/>
      </c>
      <c r="S52" s="45"/>
      <c r="T52" s="52" t="str">
        <f t="shared" si="7"/>
        <v/>
      </c>
      <c r="U52" s="45"/>
      <c r="V52" s="52" t="str">
        <f t="shared" si="8"/>
        <v/>
      </c>
      <c r="W52" s="45"/>
      <c r="X52" s="52" t="str">
        <f t="shared" si="9"/>
        <v/>
      </c>
    </row>
    <row r="53" spans="1:24" x14ac:dyDescent="0.2">
      <c r="A53" s="14">
        <v>43</v>
      </c>
      <c r="B53" s="40">
        <v>46482</v>
      </c>
      <c r="C53" s="53">
        <f t="shared" si="0"/>
        <v>652.17391304347825</v>
      </c>
      <c r="D53" s="42"/>
      <c r="E53" s="53">
        <f>SUM($C$11:C53)</f>
        <v>28043.47826086959</v>
      </c>
      <c r="F53" s="53">
        <f>SUM($D$11:D53)</f>
        <v>0</v>
      </c>
      <c r="G53" s="43" t="str">
        <f>IF(COUNT($D$11:D53)=0,"",F53/E53)</f>
        <v/>
      </c>
      <c r="H53" s="44" t="str">
        <f t="shared" si="1"/>
        <v/>
      </c>
      <c r="I53" s="45"/>
      <c r="J53" s="46" t="str">
        <f t="shared" si="2"/>
        <v/>
      </c>
      <c r="K53" s="45"/>
      <c r="L53" s="46" t="str">
        <f t="shared" si="3"/>
        <v/>
      </c>
      <c r="M53" s="45"/>
      <c r="N53" s="46" t="str">
        <f t="shared" si="4"/>
        <v/>
      </c>
      <c r="O53" s="45"/>
      <c r="P53" s="46" t="str">
        <f t="shared" si="5"/>
        <v/>
      </c>
      <c r="Q53" s="45"/>
      <c r="R53" s="46" t="str">
        <f t="shared" si="6"/>
        <v/>
      </c>
      <c r="S53" s="45"/>
      <c r="T53" s="46" t="str">
        <f t="shared" si="7"/>
        <v/>
      </c>
      <c r="U53" s="45"/>
      <c r="V53" s="46" t="str">
        <f t="shared" si="8"/>
        <v/>
      </c>
      <c r="W53" s="45"/>
      <c r="X53" s="46" t="str">
        <f t="shared" si="9"/>
        <v/>
      </c>
    </row>
    <row r="54" spans="1:24" x14ac:dyDescent="0.2">
      <c r="A54" s="21">
        <v>44</v>
      </c>
      <c r="B54" s="48">
        <v>46489</v>
      </c>
      <c r="C54" s="54">
        <f t="shared" si="0"/>
        <v>652.17391304347825</v>
      </c>
      <c r="D54" s="42"/>
      <c r="E54" s="54">
        <f>SUM($C$11:C54)</f>
        <v>28695.652173913069</v>
      </c>
      <c r="F54" s="54">
        <f>SUM($D$11:D54)</f>
        <v>0</v>
      </c>
      <c r="G54" s="50" t="str">
        <f>IF(COUNT($D$11:D54)=0,"",F54/E54)</f>
        <v/>
      </c>
      <c r="H54" s="51" t="str">
        <f t="shared" si="1"/>
        <v/>
      </c>
      <c r="I54" s="45"/>
      <c r="J54" s="52" t="str">
        <f t="shared" si="2"/>
        <v/>
      </c>
      <c r="K54" s="45"/>
      <c r="L54" s="52" t="str">
        <f t="shared" si="3"/>
        <v/>
      </c>
      <c r="M54" s="45"/>
      <c r="N54" s="52" t="str">
        <f t="shared" si="4"/>
        <v/>
      </c>
      <c r="O54" s="45"/>
      <c r="P54" s="52" t="str">
        <f t="shared" si="5"/>
        <v/>
      </c>
      <c r="Q54" s="45"/>
      <c r="R54" s="52" t="str">
        <f t="shared" si="6"/>
        <v/>
      </c>
      <c r="S54" s="45"/>
      <c r="T54" s="52" t="str">
        <f t="shared" si="7"/>
        <v/>
      </c>
      <c r="U54" s="45"/>
      <c r="V54" s="52" t="str">
        <f t="shared" si="8"/>
        <v/>
      </c>
      <c r="W54" s="45"/>
      <c r="X54" s="52" t="str">
        <f t="shared" si="9"/>
        <v/>
      </c>
    </row>
    <row r="55" spans="1:24" x14ac:dyDescent="0.2">
      <c r="A55" s="14">
        <v>45</v>
      </c>
      <c r="B55" s="40">
        <v>46496</v>
      </c>
      <c r="C55" s="53">
        <f t="shared" si="0"/>
        <v>652.17391304347825</v>
      </c>
      <c r="D55" s="42"/>
      <c r="E55" s="53">
        <f>SUM($C$11:C55)</f>
        <v>29347.826086956549</v>
      </c>
      <c r="F55" s="53">
        <f>SUM($D$11:D55)</f>
        <v>0</v>
      </c>
      <c r="G55" s="43" t="str">
        <f>IF(COUNT($D$11:D55)=0,"",F55/E55)</f>
        <v/>
      </c>
      <c r="H55" s="44" t="str">
        <f t="shared" si="1"/>
        <v/>
      </c>
      <c r="I55" s="45"/>
      <c r="J55" s="46" t="str">
        <f t="shared" si="2"/>
        <v/>
      </c>
      <c r="K55" s="45"/>
      <c r="L55" s="46" t="str">
        <f t="shared" si="3"/>
        <v/>
      </c>
      <c r="M55" s="45"/>
      <c r="N55" s="46" t="str">
        <f t="shared" si="4"/>
        <v/>
      </c>
      <c r="O55" s="45"/>
      <c r="P55" s="46" t="str">
        <f t="shared" si="5"/>
        <v/>
      </c>
      <c r="Q55" s="45"/>
      <c r="R55" s="46" t="str">
        <f t="shared" si="6"/>
        <v/>
      </c>
      <c r="S55" s="45"/>
      <c r="T55" s="46" t="str">
        <f t="shared" si="7"/>
        <v/>
      </c>
      <c r="U55" s="45"/>
      <c r="V55" s="46" t="str">
        <f t="shared" si="8"/>
        <v/>
      </c>
      <c r="W55" s="45"/>
      <c r="X55" s="46" t="str">
        <f t="shared" si="9"/>
        <v/>
      </c>
    </row>
    <row r="56" spans="1:24" x14ac:dyDescent="0.2">
      <c r="A56" s="21">
        <v>46</v>
      </c>
      <c r="B56" s="48">
        <v>46503</v>
      </c>
      <c r="C56" s="54">
        <f t="shared" si="0"/>
        <v>652.17391304347825</v>
      </c>
      <c r="D56" s="42"/>
      <c r="E56" s="54">
        <f>SUM($C$11:C56)</f>
        <v>30000.000000000029</v>
      </c>
      <c r="F56" s="54">
        <f>SUM($D$11:D56)</f>
        <v>0</v>
      </c>
      <c r="G56" s="50" t="str">
        <f>IF(COUNT($D$11:D56)=0,"",F56/E56)</f>
        <v/>
      </c>
      <c r="H56" s="51" t="str">
        <f t="shared" si="1"/>
        <v/>
      </c>
      <c r="I56" s="45"/>
      <c r="J56" s="52" t="str">
        <f t="shared" si="2"/>
        <v/>
      </c>
      <c r="K56" s="45"/>
      <c r="L56" s="52" t="str">
        <f t="shared" si="3"/>
        <v/>
      </c>
      <c r="M56" s="45"/>
      <c r="N56" s="52" t="str">
        <f t="shared" si="4"/>
        <v/>
      </c>
      <c r="O56" s="45"/>
      <c r="P56" s="52" t="str">
        <f t="shared" si="5"/>
        <v/>
      </c>
      <c r="Q56" s="45"/>
      <c r="R56" s="52" t="str">
        <f t="shared" si="6"/>
        <v/>
      </c>
      <c r="S56" s="45"/>
      <c r="T56" s="52" t="str">
        <f t="shared" si="7"/>
        <v/>
      </c>
      <c r="U56" s="45"/>
      <c r="V56" s="52" t="str">
        <f t="shared" si="8"/>
        <v/>
      </c>
      <c r="W56" s="45"/>
      <c r="X56" s="52" t="str">
        <f t="shared" si="9"/>
        <v/>
      </c>
    </row>
  </sheetData>
  <mergeCells count="17">
    <mergeCell ref="A1:X1"/>
    <mergeCell ref="I8:J8"/>
    <mergeCell ref="O9:P9"/>
    <mergeCell ref="I9:J9"/>
    <mergeCell ref="W9:X9"/>
    <mergeCell ref="Q8:R8"/>
    <mergeCell ref="M8:N8"/>
    <mergeCell ref="U8:V8"/>
    <mergeCell ref="S8:T8"/>
    <mergeCell ref="W8:X8"/>
    <mergeCell ref="U9:V9"/>
    <mergeCell ref="K8:L8"/>
    <mergeCell ref="S9:T9"/>
    <mergeCell ref="O8:P8"/>
    <mergeCell ref="K9:L9"/>
    <mergeCell ref="M9:N9"/>
    <mergeCell ref="Q9:R9"/>
  </mergeCells>
  <conditionalFormatting sqref="H11:H56">
    <cfRule type="containsText" dxfId="10" priority="1" operator="containsText" text="En meta">
      <formula>NOT(ISERROR(SEARCH("En meta",H11)))</formula>
    </cfRule>
    <cfRule type="containsText" dxfId="9" priority="2" operator="containsText" text="Riesgo">
      <formula>NOT(ISERROR(SEARCH("Riesgo",H11)))</formula>
    </cfRule>
    <cfRule type="containsText" dxfId="8" priority="3" operator="containsText" text="Atrasado">
      <formula>NOT(ISERROR(SEARCH("Atrasado",H11)))</formula>
    </cfRule>
  </conditionalFormatting>
  <pageMargins left="0.75" right="0.75" top="1" bottom="1" header="0.5" footer="0.5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X28"/>
  <sheetViews>
    <sheetView showGridLines="0" workbookViewId="0">
      <pane xSplit="2" ySplit="10" topLeftCell="C11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5" customWidth="1"/>
    <col min="2" max="2" width="11" customWidth="1"/>
    <col min="3" max="3" width="12" customWidth="1"/>
    <col min="4" max="4" width="11" customWidth="1"/>
    <col min="5" max="6" width="12" customWidth="1"/>
    <col min="7" max="7" width="13" customWidth="1"/>
    <col min="8" max="9" width="11" customWidth="1"/>
    <col min="10" max="10" width="7" customWidth="1"/>
    <col min="11" max="11" width="11" customWidth="1"/>
    <col min="12" max="12" width="7" customWidth="1"/>
    <col min="13" max="13" width="11" customWidth="1"/>
    <col min="14" max="14" width="7" customWidth="1"/>
    <col min="15" max="15" width="11" customWidth="1"/>
    <col min="16" max="16" width="7" customWidth="1"/>
    <col min="17" max="17" width="11" customWidth="1"/>
    <col min="18" max="18" width="7" customWidth="1"/>
    <col min="19" max="19" width="11" customWidth="1"/>
    <col min="20" max="20" width="7" customWidth="1"/>
    <col min="21" max="21" width="11" customWidth="1"/>
    <col min="22" max="22" width="7" customWidth="1"/>
    <col min="23" max="23" width="11" customWidth="1"/>
    <col min="24" max="24" width="7" customWidth="1"/>
  </cols>
  <sheetData>
    <row r="1" spans="1:24" ht="18" x14ac:dyDescent="0.2">
      <c r="A1" s="79" t="s">
        <v>131</v>
      </c>
      <c r="B1" s="73"/>
      <c r="C1" s="73"/>
      <c r="D1" s="73"/>
      <c r="E1" s="73"/>
      <c r="F1" s="73"/>
      <c r="G1" s="73"/>
      <c r="H1" s="73"/>
      <c r="I1" s="73"/>
      <c r="J1" s="73"/>
      <c r="K1" s="73"/>
      <c r="L1" s="73"/>
      <c r="M1" s="73"/>
      <c r="N1" s="73"/>
      <c r="O1" s="73"/>
      <c r="P1" s="73"/>
      <c r="Q1" s="73"/>
      <c r="R1" s="73"/>
      <c r="S1" s="73"/>
      <c r="T1" s="73"/>
      <c r="U1" s="73"/>
      <c r="V1" s="73"/>
      <c r="W1" s="73"/>
      <c r="X1" s="73"/>
    </row>
    <row r="2" spans="1:24" x14ac:dyDescent="0.2">
      <c r="A2" s="1" t="s">
        <v>46</v>
      </c>
      <c r="B2" s="32" t="s">
        <v>132</v>
      </c>
    </row>
    <row r="3" spans="1:24" x14ac:dyDescent="0.2">
      <c r="A3" s="1" t="s">
        <v>48</v>
      </c>
      <c r="B3" s="32" t="s">
        <v>133</v>
      </c>
    </row>
    <row r="4" spans="1:24" x14ac:dyDescent="0.2">
      <c r="A4" s="1" t="s">
        <v>50</v>
      </c>
      <c r="B4" s="33" t="s">
        <v>51</v>
      </c>
      <c r="D4" s="1" t="s">
        <v>52</v>
      </c>
      <c r="E4" s="32" t="s">
        <v>40</v>
      </c>
    </row>
    <row r="5" spans="1:24" x14ac:dyDescent="0.2">
      <c r="A5" s="1" t="s">
        <v>53</v>
      </c>
      <c r="B5" s="55">
        <v>0.16</v>
      </c>
      <c r="D5" s="1" t="s">
        <v>54</v>
      </c>
      <c r="E5" s="35">
        <v>46204</v>
      </c>
      <c r="G5" s="1" t="s">
        <v>55</v>
      </c>
      <c r="H5" s="35">
        <v>46722</v>
      </c>
    </row>
    <row r="6" spans="1:24" x14ac:dyDescent="0.2">
      <c r="A6" s="1" t="s">
        <v>56</v>
      </c>
      <c r="B6" s="32" t="s">
        <v>134</v>
      </c>
    </row>
    <row r="8" spans="1:24" ht="42" customHeight="1" x14ac:dyDescent="0.2">
      <c r="A8" s="1" t="s">
        <v>58</v>
      </c>
      <c r="B8" s="36">
        <f>COUNT(A11:A28)</f>
        <v>18</v>
      </c>
      <c r="H8" s="37" t="s">
        <v>59</v>
      </c>
      <c r="I8" s="75" t="s">
        <v>135</v>
      </c>
      <c r="J8" s="76"/>
      <c r="K8" s="75" t="s">
        <v>136</v>
      </c>
      <c r="L8" s="76"/>
      <c r="M8" s="75" t="s">
        <v>137</v>
      </c>
      <c r="N8" s="76"/>
      <c r="O8" s="75" t="s">
        <v>138</v>
      </c>
      <c r="P8" s="76"/>
      <c r="Q8" s="75" t="s">
        <v>139</v>
      </c>
      <c r="R8" s="76"/>
      <c r="S8" s="75" t="s">
        <v>140</v>
      </c>
      <c r="T8" s="76"/>
      <c r="U8" s="75" t="s">
        <v>67</v>
      </c>
      <c r="V8" s="76"/>
      <c r="W8" s="75" t="s">
        <v>67</v>
      </c>
      <c r="X8" s="76"/>
    </row>
    <row r="9" spans="1:24" x14ac:dyDescent="0.2">
      <c r="A9" s="38" t="s">
        <v>68</v>
      </c>
      <c r="H9" s="37" t="s">
        <v>69</v>
      </c>
      <c r="I9" s="77">
        <v>1</v>
      </c>
      <c r="J9" s="76"/>
      <c r="K9" s="77">
        <v>1</v>
      </c>
      <c r="L9" s="76"/>
      <c r="M9" s="77">
        <v>1</v>
      </c>
      <c r="N9" s="76"/>
      <c r="O9" s="78">
        <v>2</v>
      </c>
      <c r="P9" s="76"/>
      <c r="Q9" s="78">
        <v>4</v>
      </c>
      <c r="R9" s="76"/>
      <c r="S9" s="77">
        <v>1</v>
      </c>
      <c r="T9" s="76"/>
      <c r="U9" s="78"/>
      <c r="V9" s="76"/>
      <c r="W9" s="78"/>
      <c r="X9" s="76"/>
    </row>
    <row r="10" spans="1:24" x14ac:dyDescent="0.2">
      <c r="A10" s="3" t="s">
        <v>11</v>
      </c>
      <c r="B10" s="3" t="s">
        <v>3</v>
      </c>
      <c r="C10" s="3" t="s">
        <v>15</v>
      </c>
      <c r="D10" s="3" t="s">
        <v>72</v>
      </c>
      <c r="E10" s="3"/>
      <c r="F10" s="3"/>
      <c r="G10" s="3" t="s">
        <v>103</v>
      </c>
      <c r="H10" s="3" t="s">
        <v>9</v>
      </c>
      <c r="I10" s="39" t="s">
        <v>72</v>
      </c>
      <c r="J10" s="39" t="s">
        <v>73</v>
      </c>
      <c r="K10" s="39" t="s">
        <v>72</v>
      </c>
      <c r="L10" s="39" t="s">
        <v>73</v>
      </c>
      <c r="M10" s="39" t="s">
        <v>72</v>
      </c>
      <c r="N10" s="39" t="s">
        <v>73</v>
      </c>
      <c r="O10" s="39" t="s">
        <v>72</v>
      </c>
      <c r="P10" s="39" t="s">
        <v>73</v>
      </c>
      <c r="Q10" s="39" t="s">
        <v>72</v>
      </c>
      <c r="R10" s="39" t="s">
        <v>73</v>
      </c>
      <c r="S10" s="39" t="s">
        <v>72</v>
      </c>
      <c r="T10" s="39" t="s">
        <v>73</v>
      </c>
      <c r="U10" s="39" t="s">
        <v>72</v>
      </c>
      <c r="V10" s="39" t="s">
        <v>73</v>
      </c>
      <c r="W10" s="39" t="s">
        <v>72</v>
      </c>
      <c r="X10" s="39" t="s">
        <v>73</v>
      </c>
    </row>
    <row r="11" spans="1:24" x14ac:dyDescent="0.2">
      <c r="A11" s="14">
        <v>1</v>
      </c>
      <c r="B11" s="4">
        <v>46204</v>
      </c>
      <c r="C11" s="56">
        <f t="shared" ref="C11:C28" si="0">$B$5</f>
        <v>0.16</v>
      </c>
      <c r="D11" s="42"/>
      <c r="E11" s="14"/>
      <c r="F11" s="14"/>
      <c r="G11" s="43" t="str">
        <f t="shared" ref="G11:G28" si="1">IF(D11="","",D11-C11)</f>
        <v/>
      </c>
      <c r="H11" s="44" t="str">
        <f t="shared" ref="H11:H28" si="2">IF(D11="","",IF(D11&gt;=C11,"En meta",IF(D11&gt;=C11-0.01,"Riesgo","Atrasado")))</f>
        <v/>
      </c>
      <c r="I11" s="47"/>
      <c r="J11" s="46" t="str">
        <f t="shared" ref="J11:J28" si="3">IF(I11="","",IF($I$9="","",IF($I$9=0,"",I11/$I$9)))</f>
        <v/>
      </c>
      <c r="K11" s="47"/>
      <c r="L11" s="46" t="str">
        <f t="shared" ref="L11:L28" si="4">IF(K11="","",IF($K$9="","",IF($K$9=0,"",K11/$K$9)))</f>
        <v/>
      </c>
      <c r="M11" s="47"/>
      <c r="N11" s="46" t="str">
        <f t="shared" ref="N11:N28" si="5">IF(M11="","",IF($M$9="","",IF($M$9=0,"",M11/$M$9)))</f>
        <v/>
      </c>
      <c r="O11" s="45"/>
      <c r="P11" s="46" t="str">
        <f t="shared" ref="P11:P28" si="6">IF(O11="","",IF($O$9="","",IF($O$9=0,"",O11/$O$9)))</f>
        <v/>
      </c>
      <c r="Q11" s="45"/>
      <c r="R11" s="46" t="str">
        <f t="shared" ref="R11:R28" si="7">IF(Q11="","",IF($Q$9="","",IF($Q$9=0,"",Q11/$Q$9)))</f>
        <v/>
      </c>
      <c r="S11" s="47"/>
      <c r="T11" s="46" t="str">
        <f t="shared" ref="T11:T28" si="8">IF(S11="","",IF($S$9="","",IF($S$9=0,"",S11/$S$9)))</f>
        <v/>
      </c>
      <c r="U11" s="45"/>
      <c r="V11" s="46" t="str">
        <f t="shared" ref="V11:V28" si="9">IF(U11="","",IF($U$9="","",IF($U$9=0,"",U11/$U$9)))</f>
        <v/>
      </c>
      <c r="W11" s="45"/>
      <c r="X11" s="46" t="str">
        <f t="shared" ref="X11:X28" si="10">IF(W11="","",IF($W$9="","",IF($W$9=0,"",W11/$W$9)))</f>
        <v/>
      </c>
    </row>
    <row r="12" spans="1:24" x14ac:dyDescent="0.2">
      <c r="A12" s="21">
        <v>2</v>
      </c>
      <c r="B12" s="9">
        <v>46235</v>
      </c>
      <c r="C12" s="57">
        <f t="shared" si="0"/>
        <v>0.16</v>
      </c>
      <c r="D12" s="42"/>
      <c r="E12" s="21"/>
      <c r="F12" s="21"/>
      <c r="G12" s="50" t="str">
        <f t="shared" si="1"/>
        <v/>
      </c>
      <c r="H12" s="51" t="str">
        <f t="shared" si="2"/>
        <v/>
      </c>
      <c r="I12" s="47"/>
      <c r="J12" s="52" t="str">
        <f t="shared" si="3"/>
        <v/>
      </c>
      <c r="K12" s="47"/>
      <c r="L12" s="52" t="str">
        <f t="shared" si="4"/>
        <v/>
      </c>
      <c r="M12" s="47"/>
      <c r="N12" s="52" t="str">
        <f t="shared" si="5"/>
        <v/>
      </c>
      <c r="O12" s="45"/>
      <c r="P12" s="52" t="str">
        <f t="shared" si="6"/>
        <v/>
      </c>
      <c r="Q12" s="45"/>
      <c r="R12" s="52" t="str">
        <f t="shared" si="7"/>
        <v/>
      </c>
      <c r="S12" s="47"/>
      <c r="T12" s="52" t="str">
        <f t="shared" si="8"/>
        <v/>
      </c>
      <c r="U12" s="45"/>
      <c r="V12" s="52" t="str">
        <f t="shared" si="9"/>
        <v/>
      </c>
      <c r="W12" s="45"/>
      <c r="X12" s="52" t="str">
        <f t="shared" si="10"/>
        <v/>
      </c>
    </row>
    <row r="13" spans="1:24" x14ac:dyDescent="0.2">
      <c r="A13" s="14">
        <v>3</v>
      </c>
      <c r="B13" s="4">
        <v>46266</v>
      </c>
      <c r="C13" s="56">
        <f t="shared" si="0"/>
        <v>0.16</v>
      </c>
      <c r="D13" s="42"/>
      <c r="E13" s="14"/>
      <c r="F13" s="14"/>
      <c r="G13" s="43" t="str">
        <f t="shared" si="1"/>
        <v/>
      </c>
      <c r="H13" s="44" t="str">
        <f t="shared" si="2"/>
        <v/>
      </c>
      <c r="I13" s="47"/>
      <c r="J13" s="46" t="str">
        <f t="shared" si="3"/>
        <v/>
      </c>
      <c r="K13" s="47"/>
      <c r="L13" s="46" t="str">
        <f t="shared" si="4"/>
        <v/>
      </c>
      <c r="M13" s="47"/>
      <c r="N13" s="46" t="str">
        <f t="shared" si="5"/>
        <v/>
      </c>
      <c r="O13" s="45"/>
      <c r="P13" s="46" t="str">
        <f t="shared" si="6"/>
        <v/>
      </c>
      <c r="Q13" s="45"/>
      <c r="R13" s="46" t="str">
        <f t="shared" si="7"/>
        <v/>
      </c>
      <c r="S13" s="47"/>
      <c r="T13" s="46" t="str">
        <f t="shared" si="8"/>
        <v/>
      </c>
      <c r="U13" s="45"/>
      <c r="V13" s="46" t="str">
        <f t="shared" si="9"/>
        <v/>
      </c>
      <c r="W13" s="45"/>
      <c r="X13" s="46" t="str">
        <f t="shared" si="10"/>
        <v/>
      </c>
    </row>
    <row r="14" spans="1:24" x14ac:dyDescent="0.2">
      <c r="A14" s="21">
        <v>4</v>
      </c>
      <c r="B14" s="9">
        <v>46296</v>
      </c>
      <c r="C14" s="57">
        <f t="shared" si="0"/>
        <v>0.16</v>
      </c>
      <c r="D14" s="42"/>
      <c r="E14" s="21"/>
      <c r="F14" s="21"/>
      <c r="G14" s="50" t="str">
        <f t="shared" si="1"/>
        <v/>
      </c>
      <c r="H14" s="51" t="str">
        <f t="shared" si="2"/>
        <v/>
      </c>
      <c r="I14" s="47"/>
      <c r="J14" s="52" t="str">
        <f t="shared" si="3"/>
        <v/>
      </c>
      <c r="K14" s="47"/>
      <c r="L14" s="52" t="str">
        <f t="shared" si="4"/>
        <v/>
      </c>
      <c r="M14" s="47"/>
      <c r="N14" s="52" t="str">
        <f t="shared" si="5"/>
        <v/>
      </c>
      <c r="O14" s="45"/>
      <c r="P14" s="52" t="str">
        <f t="shared" si="6"/>
        <v/>
      </c>
      <c r="Q14" s="45"/>
      <c r="R14" s="52" t="str">
        <f t="shared" si="7"/>
        <v/>
      </c>
      <c r="S14" s="47"/>
      <c r="T14" s="52" t="str">
        <f t="shared" si="8"/>
        <v/>
      </c>
      <c r="U14" s="45"/>
      <c r="V14" s="52" t="str">
        <f t="shared" si="9"/>
        <v/>
      </c>
      <c r="W14" s="45"/>
      <c r="X14" s="52" t="str">
        <f t="shared" si="10"/>
        <v/>
      </c>
    </row>
    <row r="15" spans="1:24" x14ac:dyDescent="0.2">
      <c r="A15" s="14">
        <v>5</v>
      </c>
      <c r="B15" s="4">
        <v>46327</v>
      </c>
      <c r="C15" s="56">
        <f t="shared" si="0"/>
        <v>0.16</v>
      </c>
      <c r="D15" s="42"/>
      <c r="E15" s="14"/>
      <c r="F15" s="14"/>
      <c r="G15" s="43" t="str">
        <f t="shared" si="1"/>
        <v/>
      </c>
      <c r="H15" s="44" t="str">
        <f t="shared" si="2"/>
        <v/>
      </c>
      <c r="I15" s="47"/>
      <c r="J15" s="46" t="str">
        <f t="shared" si="3"/>
        <v/>
      </c>
      <c r="K15" s="47"/>
      <c r="L15" s="46" t="str">
        <f t="shared" si="4"/>
        <v/>
      </c>
      <c r="M15" s="47"/>
      <c r="N15" s="46" t="str">
        <f t="shared" si="5"/>
        <v/>
      </c>
      <c r="O15" s="45"/>
      <c r="P15" s="46" t="str">
        <f t="shared" si="6"/>
        <v/>
      </c>
      <c r="Q15" s="45"/>
      <c r="R15" s="46" t="str">
        <f t="shared" si="7"/>
        <v/>
      </c>
      <c r="S15" s="47"/>
      <c r="T15" s="46" t="str">
        <f t="shared" si="8"/>
        <v/>
      </c>
      <c r="U15" s="45"/>
      <c r="V15" s="46" t="str">
        <f t="shared" si="9"/>
        <v/>
      </c>
      <c r="W15" s="45"/>
      <c r="X15" s="46" t="str">
        <f t="shared" si="10"/>
        <v/>
      </c>
    </row>
    <row r="16" spans="1:24" x14ac:dyDescent="0.2">
      <c r="A16" s="21">
        <v>6</v>
      </c>
      <c r="B16" s="9">
        <v>46357</v>
      </c>
      <c r="C16" s="57">
        <f t="shared" si="0"/>
        <v>0.16</v>
      </c>
      <c r="D16" s="42"/>
      <c r="E16" s="21"/>
      <c r="F16" s="21"/>
      <c r="G16" s="50" t="str">
        <f t="shared" si="1"/>
        <v/>
      </c>
      <c r="H16" s="51" t="str">
        <f t="shared" si="2"/>
        <v/>
      </c>
      <c r="I16" s="47"/>
      <c r="J16" s="52" t="str">
        <f t="shared" si="3"/>
        <v/>
      </c>
      <c r="K16" s="47"/>
      <c r="L16" s="52" t="str">
        <f t="shared" si="4"/>
        <v/>
      </c>
      <c r="M16" s="47"/>
      <c r="N16" s="52" t="str">
        <f t="shared" si="5"/>
        <v/>
      </c>
      <c r="O16" s="45"/>
      <c r="P16" s="52" t="str">
        <f t="shared" si="6"/>
        <v/>
      </c>
      <c r="Q16" s="45"/>
      <c r="R16" s="52" t="str">
        <f t="shared" si="7"/>
        <v/>
      </c>
      <c r="S16" s="47"/>
      <c r="T16" s="52" t="str">
        <f t="shared" si="8"/>
        <v/>
      </c>
      <c r="U16" s="45"/>
      <c r="V16" s="52" t="str">
        <f t="shared" si="9"/>
        <v/>
      </c>
      <c r="W16" s="45"/>
      <c r="X16" s="52" t="str">
        <f t="shared" si="10"/>
        <v/>
      </c>
    </row>
    <row r="17" spans="1:24" x14ac:dyDescent="0.2">
      <c r="A17" s="14">
        <v>7</v>
      </c>
      <c r="B17" s="4">
        <v>46388</v>
      </c>
      <c r="C17" s="56">
        <f t="shared" si="0"/>
        <v>0.16</v>
      </c>
      <c r="D17" s="42"/>
      <c r="E17" s="14"/>
      <c r="F17" s="14"/>
      <c r="G17" s="43" t="str">
        <f t="shared" si="1"/>
        <v/>
      </c>
      <c r="H17" s="44" t="str">
        <f t="shared" si="2"/>
        <v/>
      </c>
      <c r="I17" s="47"/>
      <c r="J17" s="46" t="str">
        <f t="shared" si="3"/>
        <v/>
      </c>
      <c r="K17" s="47"/>
      <c r="L17" s="46" t="str">
        <f t="shared" si="4"/>
        <v/>
      </c>
      <c r="M17" s="47"/>
      <c r="N17" s="46" t="str">
        <f t="shared" si="5"/>
        <v/>
      </c>
      <c r="O17" s="45"/>
      <c r="P17" s="46" t="str">
        <f t="shared" si="6"/>
        <v/>
      </c>
      <c r="Q17" s="45"/>
      <c r="R17" s="46" t="str">
        <f t="shared" si="7"/>
        <v/>
      </c>
      <c r="S17" s="47"/>
      <c r="T17" s="46" t="str">
        <f t="shared" si="8"/>
        <v/>
      </c>
      <c r="U17" s="45"/>
      <c r="V17" s="46" t="str">
        <f t="shared" si="9"/>
        <v/>
      </c>
      <c r="W17" s="45"/>
      <c r="X17" s="46" t="str">
        <f t="shared" si="10"/>
        <v/>
      </c>
    </row>
    <row r="18" spans="1:24" x14ac:dyDescent="0.2">
      <c r="A18" s="21">
        <v>8</v>
      </c>
      <c r="B18" s="9">
        <v>46419</v>
      </c>
      <c r="C18" s="57">
        <f t="shared" si="0"/>
        <v>0.16</v>
      </c>
      <c r="D18" s="42"/>
      <c r="E18" s="21"/>
      <c r="F18" s="21"/>
      <c r="G18" s="50" t="str">
        <f t="shared" si="1"/>
        <v/>
      </c>
      <c r="H18" s="51" t="str">
        <f t="shared" si="2"/>
        <v/>
      </c>
      <c r="I18" s="47"/>
      <c r="J18" s="52" t="str">
        <f t="shared" si="3"/>
        <v/>
      </c>
      <c r="K18" s="47"/>
      <c r="L18" s="52" t="str">
        <f t="shared" si="4"/>
        <v/>
      </c>
      <c r="M18" s="47"/>
      <c r="N18" s="52" t="str">
        <f t="shared" si="5"/>
        <v/>
      </c>
      <c r="O18" s="45"/>
      <c r="P18" s="52" t="str">
        <f t="shared" si="6"/>
        <v/>
      </c>
      <c r="Q18" s="45"/>
      <c r="R18" s="52" t="str">
        <f t="shared" si="7"/>
        <v/>
      </c>
      <c r="S18" s="47"/>
      <c r="T18" s="52" t="str">
        <f t="shared" si="8"/>
        <v/>
      </c>
      <c r="U18" s="45"/>
      <c r="V18" s="52" t="str">
        <f t="shared" si="9"/>
        <v/>
      </c>
      <c r="W18" s="45"/>
      <c r="X18" s="52" t="str">
        <f t="shared" si="10"/>
        <v/>
      </c>
    </row>
    <row r="19" spans="1:24" x14ac:dyDescent="0.2">
      <c r="A19" s="14">
        <v>9</v>
      </c>
      <c r="B19" s="4">
        <v>46447</v>
      </c>
      <c r="C19" s="56">
        <f t="shared" si="0"/>
        <v>0.16</v>
      </c>
      <c r="D19" s="42"/>
      <c r="E19" s="14"/>
      <c r="F19" s="14"/>
      <c r="G19" s="43" t="str">
        <f t="shared" si="1"/>
        <v/>
      </c>
      <c r="H19" s="44" t="str">
        <f t="shared" si="2"/>
        <v/>
      </c>
      <c r="I19" s="47"/>
      <c r="J19" s="46" t="str">
        <f t="shared" si="3"/>
        <v/>
      </c>
      <c r="K19" s="47"/>
      <c r="L19" s="46" t="str">
        <f t="shared" si="4"/>
        <v/>
      </c>
      <c r="M19" s="47"/>
      <c r="N19" s="46" t="str">
        <f t="shared" si="5"/>
        <v/>
      </c>
      <c r="O19" s="45"/>
      <c r="P19" s="46" t="str">
        <f t="shared" si="6"/>
        <v/>
      </c>
      <c r="Q19" s="45"/>
      <c r="R19" s="46" t="str">
        <f t="shared" si="7"/>
        <v/>
      </c>
      <c r="S19" s="47"/>
      <c r="T19" s="46" t="str">
        <f t="shared" si="8"/>
        <v/>
      </c>
      <c r="U19" s="45"/>
      <c r="V19" s="46" t="str">
        <f t="shared" si="9"/>
        <v/>
      </c>
      <c r="W19" s="45"/>
      <c r="X19" s="46" t="str">
        <f t="shared" si="10"/>
        <v/>
      </c>
    </row>
    <row r="20" spans="1:24" x14ac:dyDescent="0.2">
      <c r="A20" s="21">
        <v>10</v>
      </c>
      <c r="B20" s="9">
        <v>46478</v>
      </c>
      <c r="C20" s="57">
        <f t="shared" si="0"/>
        <v>0.16</v>
      </c>
      <c r="D20" s="42"/>
      <c r="E20" s="21"/>
      <c r="F20" s="21"/>
      <c r="G20" s="50" t="str">
        <f t="shared" si="1"/>
        <v/>
      </c>
      <c r="H20" s="51" t="str">
        <f t="shared" si="2"/>
        <v/>
      </c>
      <c r="I20" s="47"/>
      <c r="J20" s="52" t="str">
        <f t="shared" si="3"/>
        <v/>
      </c>
      <c r="K20" s="47"/>
      <c r="L20" s="52" t="str">
        <f t="shared" si="4"/>
        <v/>
      </c>
      <c r="M20" s="47"/>
      <c r="N20" s="52" t="str">
        <f t="shared" si="5"/>
        <v/>
      </c>
      <c r="O20" s="45"/>
      <c r="P20" s="52" t="str">
        <f t="shared" si="6"/>
        <v/>
      </c>
      <c r="Q20" s="45"/>
      <c r="R20" s="52" t="str">
        <f t="shared" si="7"/>
        <v/>
      </c>
      <c r="S20" s="47"/>
      <c r="T20" s="52" t="str">
        <f t="shared" si="8"/>
        <v/>
      </c>
      <c r="U20" s="45"/>
      <c r="V20" s="52" t="str">
        <f t="shared" si="9"/>
        <v/>
      </c>
      <c r="W20" s="45"/>
      <c r="X20" s="52" t="str">
        <f t="shared" si="10"/>
        <v/>
      </c>
    </row>
    <row r="21" spans="1:24" x14ac:dyDescent="0.2">
      <c r="A21" s="14">
        <v>11</v>
      </c>
      <c r="B21" s="4">
        <v>46508</v>
      </c>
      <c r="C21" s="56">
        <f t="shared" si="0"/>
        <v>0.16</v>
      </c>
      <c r="D21" s="42"/>
      <c r="E21" s="14"/>
      <c r="F21" s="14"/>
      <c r="G21" s="43" t="str">
        <f t="shared" si="1"/>
        <v/>
      </c>
      <c r="H21" s="44" t="str">
        <f t="shared" si="2"/>
        <v/>
      </c>
      <c r="I21" s="47"/>
      <c r="J21" s="46" t="str">
        <f t="shared" si="3"/>
        <v/>
      </c>
      <c r="K21" s="47"/>
      <c r="L21" s="46" t="str">
        <f t="shared" si="4"/>
        <v/>
      </c>
      <c r="M21" s="47"/>
      <c r="N21" s="46" t="str">
        <f t="shared" si="5"/>
        <v/>
      </c>
      <c r="O21" s="45"/>
      <c r="P21" s="46" t="str">
        <f t="shared" si="6"/>
        <v/>
      </c>
      <c r="Q21" s="45"/>
      <c r="R21" s="46" t="str">
        <f t="shared" si="7"/>
        <v/>
      </c>
      <c r="S21" s="47"/>
      <c r="T21" s="46" t="str">
        <f t="shared" si="8"/>
        <v/>
      </c>
      <c r="U21" s="45"/>
      <c r="V21" s="46" t="str">
        <f t="shared" si="9"/>
        <v/>
      </c>
      <c r="W21" s="45"/>
      <c r="X21" s="46" t="str">
        <f t="shared" si="10"/>
        <v/>
      </c>
    </row>
    <row r="22" spans="1:24" x14ac:dyDescent="0.2">
      <c r="A22" s="21">
        <v>12</v>
      </c>
      <c r="B22" s="9">
        <v>46539</v>
      </c>
      <c r="C22" s="57">
        <f t="shared" si="0"/>
        <v>0.16</v>
      </c>
      <c r="D22" s="42"/>
      <c r="E22" s="21"/>
      <c r="F22" s="21"/>
      <c r="G22" s="50" t="str">
        <f t="shared" si="1"/>
        <v/>
      </c>
      <c r="H22" s="51" t="str">
        <f t="shared" si="2"/>
        <v/>
      </c>
      <c r="I22" s="47"/>
      <c r="J22" s="52" t="str">
        <f t="shared" si="3"/>
        <v/>
      </c>
      <c r="K22" s="47"/>
      <c r="L22" s="52" t="str">
        <f t="shared" si="4"/>
        <v/>
      </c>
      <c r="M22" s="47"/>
      <c r="N22" s="52" t="str">
        <f t="shared" si="5"/>
        <v/>
      </c>
      <c r="O22" s="45"/>
      <c r="P22" s="52" t="str">
        <f t="shared" si="6"/>
        <v/>
      </c>
      <c r="Q22" s="45"/>
      <c r="R22" s="52" t="str">
        <f t="shared" si="7"/>
        <v/>
      </c>
      <c r="S22" s="47"/>
      <c r="T22" s="52" t="str">
        <f t="shared" si="8"/>
        <v/>
      </c>
      <c r="U22" s="45"/>
      <c r="V22" s="52" t="str">
        <f t="shared" si="9"/>
        <v/>
      </c>
      <c r="W22" s="45"/>
      <c r="X22" s="52" t="str">
        <f t="shared" si="10"/>
        <v/>
      </c>
    </row>
    <row r="23" spans="1:24" x14ac:dyDescent="0.2">
      <c r="A23" s="14">
        <v>13</v>
      </c>
      <c r="B23" s="4">
        <v>46569</v>
      </c>
      <c r="C23" s="56">
        <f t="shared" si="0"/>
        <v>0.16</v>
      </c>
      <c r="D23" s="42"/>
      <c r="E23" s="14"/>
      <c r="F23" s="14"/>
      <c r="G23" s="43" t="str">
        <f t="shared" si="1"/>
        <v/>
      </c>
      <c r="H23" s="44" t="str">
        <f t="shared" si="2"/>
        <v/>
      </c>
      <c r="I23" s="47"/>
      <c r="J23" s="46" t="str">
        <f t="shared" si="3"/>
        <v/>
      </c>
      <c r="K23" s="47"/>
      <c r="L23" s="46" t="str">
        <f t="shared" si="4"/>
        <v/>
      </c>
      <c r="M23" s="47"/>
      <c r="N23" s="46" t="str">
        <f t="shared" si="5"/>
        <v/>
      </c>
      <c r="O23" s="45"/>
      <c r="P23" s="46" t="str">
        <f t="shared" si="6"/>
        <v/>
      </c>
      <c r="Q23" s="45"/>
      <c r="R23" s="46" t="str">
        <f t="shared" si="7"/>
        <v/>
      </c>
      <c r="S23" s="47"/>
      <c r="T23" s="46" t="str">
        <f t="shared" si="8"/>
        <v/>
      </c>
      <c r="U23" s="45"/>
      <c r="V23" s="46" t="str">
        <f t="shared" si="9"/>
        <v/>
      </c>
      <c r="W23" s="45"/>
      <c r="X23" s="46" t="str">
        <f t="shared" si="10"/>
        <v/>
      </c>
    </row>
    <row r="24" spans="1:24" x14ac:dyDescent="0.2">
      <c r="A24" s="21">
        <v>14</v>
      </c>
      <c r="B24" s="9">
        <v>46600</v>
      </c>
      <c r="C24" s="57">
        <f t="shared" si="0"/>
        <v>0.16</v>
      </c>
      <c r="D24" s="42"/>
      <c r="E24" s="21"/>
      <c r="F24" s="21"/>
      <c r="G24" s="50" t="str">
        <f t="shared" si="1"/>
        <v/>
      </c>
      <c r="H24" s="51" t="str">
        <f t="shared" si="2"/>
        <v/>
      </c>
      <c r="I24" s="47"/>
      <c r="J24" s="52" t="str">
        <f t="shared" si="3"/>
        <v/>
      </c>
      <c r="K24" s="47"/>
      <c r="L24" s="52" t="str">
        <f t="shared" si="4"/>
        <v/>
      </c>
      <c r="M24" s="47"/>
      <c r="N24" s="52" t="str">
        <f t="shared" si="5"/>
        <v/>
      </c>
      <c r="O24" s="45"/>
      <c r="P24" s="52" t="str">
        <f t="shared" si="6"/>
        <v/>
      </c>
      <c r="Q24" s="45"/>
      <c r="R24" s="52" t="str">
        <f t="shared" si="7"/>
        <v/>
      </c>
      <c r="S24" s="47"/>
      <c r="T24" s="52" t="str">
        <f t="shared" si="8"/>
        <v/>
      </c>
      <c r="U24" s="45"/>
      <c r="V24" s="52" t="str">
        <f t="shared" si="9"/>
        <v/>
      </c>
      <c r="W24" s="45"/>
      <c r="X24" s="52" t="str">
        <f t="shared" si="10"/>
        <v/>
      </c>
    </row>
    <row r="25" spans="1:24" x14ac:dyDescent="0.2">
      <c r="A25" s="14">
        <v>15</v>
      </c>
      <c r="B25" s="4">
        <v>46631</v>
      </c>
      <c r="C25" s="56">
        <f t="shared" si="0"/>
        <v>0.16</v>
      </c>
      <c r="D25" s="42"/>
      <c r="E25" s="14"/>
      <c r="F25" s="14"/>
      <c r="G25" s="43" t="str">
        <f t="shared" si="1"/>
        <v/>
      </c>
      <c r="H25" s="44" t="str">
        <f t="shared" si="2"/>
        <v/>
      </c>
      <c r="I25" s="47"/>
      <c r="J25" s="46" t="str">
        <f t="shared" si="3"/>
        <v/>
      </c>
      <c r="K25" s="47"/>
      <c r="L25" s="46" t="str">
        <f t="shared" si="4"/>
        <v/>
      </c>
      <c r="M25" s="47"/>
      <c r="N25" s="46" t="str">
        <f t="shared" si="5"/>
        <v/>
      </c>
      <c r="O25" s="45"/>
      <c r="P25" s="46" t="str">
        <f t="shared" si="6"/>
        <v/>
      </c>
      <c r="Q25" s="45"/>
      <c r="R25" s="46" t="str">
        <f t="shared" si="7"/>
        <v/>
      </c>
      <c r="S25" s="47"/>
      <c r="T25" s="46" t="str">
        <f t="shared" si="8"/>
        <v/>
      </c>
      <c r="U25" s="45"/>
      <c r="V25" s="46" t="str">
        <f t="shared" si="9"/>
        <v/>
      </c>
      <c r="W25" s="45"/>
      <c r="X25" s="46" t="str">
        <f t="shared" si="10"/>
        <v/>
      </c>
    </row>
    <row r="26" spans="1:24" x14ac:dyDescent="0.2">
      <c r="A26" s="21">
        <v>16</v>
      </c>
      <c r="B26" s="9">
        <v>46661</v>
      </c>
      <c r="C26" s="57">
        <f t="shared" si="0"/>
        <v>0.16</v>
      </c>
      <c r="D26" s="42"/>
      <c r="E26" s="21"/>
      <c r="F26" s="21"/>
      <c r="G26" s="50" t="str">
        <f t="shared" si="1"/>
        <v/>
      </c>
      <c r="H26" s="51" t="str">
        <f t="shared" si="2"/>
        <v/>
      </c>
      <c r="I26" s="47"/>
      <c r="J26" s="52" t="str">
        <f t="shared" si="3"/>
        <v/>
      </c>
      <c r="K26" s="47"/>
      <c r="L26" s="52" t="str">
        <f t="shared" si="4"/>
        <v/>
      </c>
      <c r="M26" s="47"/>
      <c r="N26" s="52" t="str">
        <f t="shared" si="5"/>
        <v/>
      </c>
      <c r="O26" s="45"/>
      <c r="P26" s="52" t="str">
        <f t="shared" si="6"/>
        <v/>
      </c>
      <c r="Q26" s="45"/>
      <c r="R26" s="52" t="str">
        <f t="shared" si="7"/>
        <v/>
      </c>
      <c r="S26" s="47"/>
      <c r="T26" s="52" t="str">
        <f t="shared" si="8"/>
        <v/>
      </c>
      <c r="U26" s="45"/>
      <c r="V26" s="52" t="str">
        <f t="shared" si="9"/>
        <v/>
      </c>
      <c r="W26" s="45"/>
      <c r="X26" s="52" t="str">
        <f t="shared" si="10"/>
        <v/>
      </c>
    </row>
    <row r="27" spans="1:24" x14ac:dyDescent="0.2">
      <c r="A27" s="14">
        <v>17</v>
      </c>
      <c r="B27" s="4">
        <v>46692</v>
      </c>
      <c r="C27" s="56">
        <f t="shared" si="0"/>
        <v>0.16</v>
      </c>
      <c r="D27" s="42"/>
      <c r="E27" s="14"/>
      <c r="F27" s="14"/>
      <c r="G27" s="43" t="str">
        <f t="shared" si="1"/>
        <v/>
      </c>
      <c r="H27" s="44" t="str">
        <f t="shared" si="2"/>
        <v/>
      </c>
      <c r="I27" s="47"/>
      <c r="J27" s="46" t="str">
        <f t="shared" si="3"/>
        <v/>
      </c>
      <c r="K27" s="47"/>
      <c r="L27" s="46" t="str">
        <f t="shared" si="4"/>
        <v/>
      </c>
      <c r="M27" s="47"/>
      <c r="N27" s="46" t="str">
        <f t="shared" si="5"/>
        <v/>
      </c>
      <c r="O27" s="45"/>
      <c r="P27" s="46" t="str">
        <f t="shared" si="6"/>
        <v/>
      </c>
      <c r="Q27" s="45"/>
      <c r="R27" s="46" t="str">
        <f t="shared" si="7"/>
        <v/>
      </c>
      <c r="S27" s="47"/>
      <c r="T27" s="46" t="str">
        <f t="shared" si="8"/>
        <v/>
      </c>
      <c r="U27" s="45"/>
      <c r="V27" s="46" t="str">
        <f t="shared" si="9"/>
        <v/>
      </c>
      <c r="W27" s="45"/>
      <c r="X27" s="46" t="str">
        <f t="shared" si="10"/>
        <v/>
      </c>
    </row>
    <row r="28" spans="1:24" x14ac:dyDescent="0.2">
      <c r="A28" s="21">
        <v>18</v>
      </c>
      <c r="B28" s="9">
        <v>46722</v>
      </c>
      <c r="C28" s="57">
        <f t="shared" si="0"/>
        <v>0.16</v>
      </c>
      <c r="D28" s="42"/>
      <c r="E28" s="21"/>
      <c r="F28" s="21"/>
      <c r="G28" s="50" t="str">
        <f t="shared" si="1"/>
        <v/>
      </c>
      <c r="H28" s="51" t="str">
        <f t="shared" si="2"/>
        <v/>
      </c>
      <c r="I28" s="47"/>
      <c r="J28" s="52" t="str">
        <f t="shared" si="3"/>
        <v/>
      </c>
      <c r="K28" s="47"/>
      <c r="L28" s="52" t="str">
        <f t="shared" si="4"/>
        <v/>
      </c>
      <c r="M28" s="47"/>
      <c r="N28" s="52" t="str">
        <f t="shared" si="5"/>
        <v/>
      </c>
      <c r="O28" s="45"/>
      <c r="P28" s="52" t="str">
        <f t="shared" si="6"/>
        <v/>
      </c>
      <c r="Q28" s="45"/>
      <c r="R28" s="52" t="str">
        <f t="shared" si="7"/>
        <v/>
      </c>
      <c r="S28" s="47"/>
      <c r="T28" s="52" t="str">
        <f t="shared" si="8"/>
        <v/>
      </c>
      <c r="U28" s="45"/>
      <c r="V28" s="52" t="str">
        <f t="shared" si="9"/>
        <v/>
      </c>
      <c r="W28" s="45"/>
      <c r="X28" s="52" t="str">
        <f t="shared" si="10"/>
        <v/>
      </c>
    </row>
  </sheetData>
  <mergeCells count="17">
    <mergeCell ref="A1:X1"/>
    <mergeCell ref="I8:J8"/>
    <mergeCell ref="O9:P9"/>
    <mergeCell ref="I9:J9"/>
    <mergeCell ref="W9:X9"/>
    <mergeCell ref="Q8:R8"/>
    <mergeCell ref="M8:N8"/>
    <mergeCell ref="U8:V8"/>
    <mergeCell ref="S8:T8"/>
    <mergeCell ref="W8:X8"/>
    <mergeCell ref="U9:V9"/>
    <mergeCell ref="K8:L8"/>
    <mergeCell ref="S9:T9"/>
    <mergeCell ref="O8:P8"/>
    <mergeCell ref="K9:L9"/>
    <mergeCell ref="M9:N9"/>
    <mergeCell ref="Q9:R9"/>
  </mergeCells>
  <conditionalFormatting sqref="H11:H28">
    <cfRule type="containsText" dxfId="7" priority="1" operator="containsText" text="En meta">
      <formula>NOT(ISERROR(SEARCH("En meta",H11)))</formula>
    </cfRule>
    <cfRule type="containsText" dxfId="6" priority="2" operator="containsText" text="Riesgo">
      <formula>NOT(ISERROR(SEARCH("Riesgo",H11)))</formula>
    </cfRule>
    <cfRule type="containsText" dxfId="5" priority="3" operator="containsText" text="Atrasado">
      <formula>NOT(ISERROR(SEARCH("Atrasado",H11)))</formula>
    </cfRule>
  </conditionalFormatting>
  <pageMargins left="0.75" right="0.75" top="1" bottom="1" header="0.5" footer="0.5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X28"/>
  <sheetViews>
    <sheetView showGridLines="0" workbookViewId="0">
      <pane xSplit="2" ySplit="10" topLeftCell="C11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5" customWidth="1"/>
    <col min="2" max="2" width="11" customWidth="1"/>
    <col min="3" max="3" width="12" customWidth="1"/>
    <col min="4" max="4" width="11" customWidth="1"/>
    <col min="5" max="6" width="12" customWidth="1"/>
    <col min="7" max="7" width="13" customWidth="1"/>
    <col min="8" max="9" width="11" customWidth="1"/>
    <col min="10" max="10" width="7" customWidth="1"/>
    <col min="11" max="11" width="11" customWidth="1"/>
    <col min="12" max="12" width="7" customWidth="1"/>
    <col min="13" max="13" width="11" customWidth="1"/>
    <col min="14" max="14" width="7" customWidth="1"/>
    <col min="15" max="15" width="11" customWidth="1"/>
    <col min="16" max="16" width="7" customWidth="1"/>
    <col min="17" max="17" width="11" customWidth="1"/>
    <col min="18" max="18" width="7" customWidth="1"/>
    <col min="19" max="19" width="11" customWidth="1"/>
    <col min="20" max="20" width="7" customWidth="1"/>
    <col min="21" max="21" width="11" customWidth="1"/>
    <col min="22" max="22" width="7" customWidth="1"/>
    <col min="23" max="23" width="11" customWidth="1"/>
    <col min="24" max="24" width="7" customWidth="1"/>
  </cols>
  <sheetData>
    <row r="1" spans="1:24" ht="18" x14ac:dyDescent="0.2">
      <c r="A1" s="79" t="s">
        <v>141</v>
      </c>
      <c r="B1" s="73"/>
      <c r="C1" s="73"/>
      <c r="D1" s="73"/>
      <c r="E1" s="73"/>
      <c r="F1" s="73"/>
      <c r="G1" s="73"/>
      <c r="H1" s="73"/>
      <c r="I1" s="73"/>
      <c r="J1" s="73"/>
      <c r="K1" s="73"/>
      <c r="L1" s="73"/>
      <c r="M1" s="73"/>
      <c r="N1" s="73"/>
      <c r="O1" s="73"/>
      <c r="P1" s="73"/>
      <c r="Q1" s="73"/>
      <c r="R1" s="73"/>
      <c r="S1" s="73"/>
      <c r="T1" s="73"/>
      <c r="U1" s="73"/>
      <c r="V1" s="73"/>
      <c r="W1" s="73"/>
      <c r="X1" s="73"/>
    </row>
    <row r="2" spans="1:24" x14ac:dyDescent="0.2">
      <c r="A2" s="1" t="s">
        <v>46</v>
      </c>
      <c r="B2" s="32" t="s">
        <v>142</v>
      </c>
    </row>
    <row r="3" spans="1:24" x14ac:dyDescent="0.2">
      <c r="A3" s="1" t="s">
        <v>48</v>
      </c>
      <c r="B3" s="32" t="s">
        <v>143</v>
      </c>
    </row>
    <row r="4" spans="1:24" x14ac:dyDescent="0.2">
      <c r="A4" s="1" t="s">
        <v>50</v>
      </c>
      <c r="B4" s="33" t="s">
        <v>51</v>
      </c>
      <c r="D4" s="1" t="s">
        <v>52</v>
      </c>
      <c r="E4" s="32" t="s">
        <v>43</v>
      </c>
    </row>
    <row r="5" spans="1:24" x14ac:dyDescent="0.2">
      <c r="A5" s="1" t="s">
        <v>53</v>
      </c>
      <c r="B5" s="61">
        <v>4.5</v>
      </c>
      <c r="D5" s="1" t="s">
        <v>54</v>
      </c>
      <c r="E5" s="35">
        <v>46204</v>
      </c>
      <c r="G5" s="1" t="s">
        <v>55</v>
      </c>
      <c r="H5" s="35">
        <v>46722</v>
      </c>
    </row>
    <row r="6" spans="1:24" x14ac:dyDescent="0.2">
      <c r="A6" s="1" t="s">
        <v>56</v>
      </c>
      <c r="B6" s="32" t="s">
        <v>134</v>
      </c>
    </row>
    <row r="8" spans="1:24" ht="42" customHeight="1" x14ac:dyDescent="0.2">
      <c r="A8" s="1" t="s">
        <v>58</v>
      </c>
      <c r="B8" s="36">
        <f>COUNT(A11:A28)</f>
        <v>18</v>
      </c>
      <c r="H8" s="37" t="s">
        <v>59</v>
      </c>
      <c r="I8" s="75" t="s">
        <v>144</v>
      </c>
      <c r="J8" s="76"/>
      <c r="K8" s="75" t="s">
        <v>145</v>
      </c>
      <c r="L8" s="76"/>
      <c r="M8" s="75" t="s">
        <v>146</v>
      </c>
      <c r="N8" s="76"/>
      <c r="O8" s="75" t="s">
        <v>147</v>
      </c>
      <c r="P8" s="76"/>
      <c r="Q8" s="75" t="s">
        <v>148</v>
      </c>
      <c r="R8" s="76"/>
      <c r="S8" s="75" t="s">
        <v>149</v>
      </c>
      <c r="T8" s="76"/>
      <c r="U8" s="75" t="s">
        <v>67</v>
      </c>
      <c r="V8" s="76"/>
      <c r="W8" s="75" t="s">
        <v>67</v>
      </c>
      <c r="X8" s="76"/>
    </row>
    <row r="9" spans="1:24" x14ac:dyDescent="0.2">
      <c r="A9" s="38" t="s">
        <v>68</v>
      </c>
      <c r="H9" s="37" t="s">
        <v>69</v>
      </c>
      <c r="I9" s="77">
        <v>0.6</v>
      </c>
      <c r="J9" s="76"/>
      <c r="K9" s="78">
        <v>8</v>
      </c>
      <c r="L9" s="76"/>
      <c r="M9" s="77">
        <v>1</v>
      </c>
      <c r="N9" s="76"/>
      <c r="O9" s="77">
        <v>0.95</v>
      </c>
      <c r="P9" s="76"/>
      <c r="Q9" s="78">
        <v>12</v>
      </c>
      <c r="R9" s="76"/>
      <c r="S9" s="78">
        <v>3</v>
      </c>
      <c r="T9" s="76"/>
      <c r="U9" s="78"/>
      <c r="V9" s="76"/>
      <c r="W9" s="78"/>
      <c r="X9" s="76"/>
    </row>
    <row r="10" spans="1:24" x14ac:dyDescent="0.2">
      <c r="A10" s="3" t="s">
        <v>11</v>
      </c>
      <c r="B10" s="3" t="s">
        <v>3</v>
      </c>
      <c r="C10" s="3" t="s">
        <v>15</v>
      </c>
      <c r="D10" s="3" t="s">
        <v>72</v>
      </c>
      <c r="E10" s="3"/>
      <c r="F10" s="3"/>
      <c r="G10" s="3" t="s">
        <v>103</v>
      </c>
      <c r="H10" s="3" t="s">
        <v>9</v>
      </c>
      <c r="I10" s="39" t="s">
        <v>72</v>
      </c>
      <c r="J10" s="39" t="s">
        <v>73</v>
      </c>
      <c r="K10" s="39" t="s">
        <v>72</v>
      </c>
      <c r="L10" s="39" t="s">
        <v>73</v>
      </c>
      <c r="M10" s="39" t="s">
        <v>72</v>
      </c>
      <c r="N10" s="39" t="s">
        <v>73</v>
      </c>
      <c r="O10" s="39" t="s">
        <v>72</v>
      </c>
      <c r="P10" s="39" t="s">
        <v>73</v>
      </c>
      <c r="Q10" s="39" t="s">
        <v>72</v>
      </c>
      <c r="R10" s="39" t="s">
        <v>73</v>
      </c>
      <c r="S10" s="39" t="s">
        <v>72</v>
      </c>
      <c r="T10" s="39" t="s">
        <v>73</v>
      </c>
      <c r="U10" s="39" t="s">
        <v>72</v>
      </c>
      <c r="V10" s="39" t="s">
        <v>73</v>
      </c>
      <c r="W10" s="39" t="s">
        <v>72</v>
      </c>
      <c r="X10" s="39" t="s">
        <v>73</v>
      </c>
    </row>
    <row r="11" spans="1:24" x14ac:dyDescent="0.2">
      <c r="A11" s="14">
        <v>1</v>
      </c>
      <c r="B11" s="4">
        <v>46204</v>
      </c>
      <c r="C11" s="62">
        <f t="shared" ref="C11:C28" si="0">$B$5</f>
        <v>4.5</v>
      </c>
      <c r="D11" s="42"/>
      <c r="E11" s="14"/>
      <c r="F11" s="14"/>
      <c r="G11" s="63" t="str">
        <f t="shared" ref="G11:G28" si="1">IF(D11="","",D11-C11)</f>
        <v/>
      </c>
      <c r="H11" s="44" t="str">
        <f t="shared" ref="H11:H28" si="2">IF(D11="","",IF(D11&gt;=C11,"En meta",IF(D11&gt;=C11-0.3,"Riesgo","Atrasado")))</f>
        <v/>
      </c>
      <c r="I11" s="47"/>
      <c r="J11" s="46" t="str">
        <f t="shared" ref="J11:J28" si="3">IF(I11="","",IF($I$9="","",IF($I$9=0,"",I11/$I$9)))</f>
        <v/>
      </c>
      <c r="K11" s="45"/>
      <c r="L11" s="46" t="str">
        <f t="shared" ref="L11:L28" si="4">IF(K11="","",IF($K$9="","",IF($K$9=0,"",K11/$K$9)))</f>
        <v/>
      </c>
      <c r="M11" s="47"/>
      <c r="N11" s="46" t="str">
        <f t="shared" ref="N11:N28" si="5">IF(M11="","",IF($M$9="","",IF($M$9=0,"",M11/$M$9)))</f>
        <v/>
      </c>
      <c r="O11" s="47"/>
      <c r="P11" s="46" t="str">
        <f t="shared" ref="P11:P28" si="6">IF(O11="","",IF($O$9="","",IF($O$9=0,"",O11/$O$9)))</f>
        <v/>
      </c>
      <c r="Q11" s="45"/>
      <c r="R11" s="46" t="str">
        <f t="shared" ref="R11:R28" si="7">IF(Q11="","",IF($Q$9="","",IF($Q$9=0,"",Q11/$Q$9)))</f>
        <v/>
      </c>
      <c r="S11" s="45"/>
      <c r="T11" s="46" t="str">
        <f t="shared" ref="T11:T28" si="8">IF(S11="","",IF($S$9="","",IF($S$9=0,"",S11/$S$9)))</f>
        <v/>
      </c>
      <c r="U11" s="45"/>
      <c r="V11" s="46" t="str">
        <f t="shared" ref="V11:V28" si="9">IF(U11="","",IF($U$9="","",IF($U$9=0,"",U11/$U$9)))</f>
        <v/>
      </c>
      <c r="W11" s="45"/>
      <c r="X11" s="46" t="str">
        <f t="shared" ref="X11:X28" si="10">IF(W11="","",IF($W$9="","",IF($W$9=0,"",W11/$W$9)))</f>
        <v/>
      </c>
    </row>
    <row r="12" spans="1:24" x14ac:dyDescent="0.2">
      <c r="A12" s="21">
        <v>2</v>
      </c>
      <c r="B12" s="9">
        <v>46235</v>
      </c>
      <c r="C12" s="64">
        <f t="shared" si="0"/>
        <v>4.5</v>
      </c>
      <c r="D12" s="42"/>
      <c r="E12" s="21"/>
      <c r="F12" s="21"/>
      <c r="G12" s="65" t="str">
        <f t="shared" si="1"/>
        <v/>
      </c>
      <c r="H12" s="51" t="str">
        <f t="shared" si="2"/>
        <v/>
      </c>
      <c r="I12" s="47"/>
      <c r="J12" s="52" t="str">
        <f t="shared" si="3"/>
        <v/>
      </c>
      <c r="K12" s="45"/>
      <c r="L12" s="52" t="str">
        <f t="shared" si="4"/>
        <v/>
      </c>
      <c r="M12" s="47"/>
      <c r="N12" s="52" t="str">
        <f t="shared" si="5"/>
        <v/>
      </c>
      <c r="O12" s="47"/>
      <c r="P12" s="52" t="str">
        <f t="shared" si="6"/>
        <v/>
      </c>
      <c r="Q12" s="45"/>
      <c r="R12" s="52" t="str">
        <f t="shared" si="7"/>
        <v/>
      </c>
      <c r="S12" s="45"/>
      <c r="T12" s="52" t="str">
        <f t="shared" si="8"/>
        <v/>
      </c>
      <c r="U12" s="45"/>
      <c r="V12" s="52" t="str">
        <f t="shared" si="9"/>
        <v/>
      </c>
      <c r="W12" s="45"/>
      <c r="X12" s="52" t="str">
        <f t="shared" si="10"/>
        <v/>
      </c>
    </row>
    <row r="13" spans="1:24" x14ac:dyDescent="0.2">
      <c r="A13" s="14">
        <v>3</v>
      </c>
      <c r="B13" s="4">
        <v>46266</v>
      </c>
      <c r="C13" s="62">
        <f t="shared" si="0"/>
        <v>4.5</v>
      </c>
      <c r="D13" s="42"/>
      <c r="E13" s="14"/>
      <c r="F13" s="14"/>
      <c r="G13" s="63" t="str">
        <f t="shared" si="1"/>
        <v/>
      </c>
      <c r="H13" s="44" t="str">
        <f t="shared" si="2"/>
        <v/>
      </c>
      <c r="I13" s="47"/>
      <c r="J13" s="46" t="str">
        <f t="shared" si="3"/>
        <v/>
      </c>
      <c r="K13" s="45"/>
      <c r="L13" s="46" t="str">
        <f t="shared" si="4"/>
        <v/>
      </c>
      <c r="M13" s="47"/>
      <c r="N13" s="46" t="str">
        <f t="shared" si="5"/>
        <v/>
      </c>
      <c r="O13" s="47"/>
      <c r="P13" s="46" t="str">
        <f t="shared" si="6"/>
        <v/>
      </c>
      <c r="Q13" s="45"/>
      <c r="R13" s="46" t="str">
        <f t="shared" si="7"/>
        <v/>
      </c>
      <c r="S13" s="45"/>
      <c r="T13" s="46" t="str">
        <f t="shared" si="8"/>
        <v/>
      </c>
      <c r="U13" s="45"/>
      <c r="V13" s="46" t="str">
        <f t="shared" si="9"/>
        <v/>
      </c>
      <c r="W13" s="45"/>
      <c r="X13" s="46" t="str">
        <f t="shared" si="10"/>
        <v/>
      </c>
    </row>
    <row r="14" spans="1:24" x14ac:dyDescent="0.2">
      <c r="A14" s="21">
        <v>4</v>
      </c>
      <c r="B14" s="9">
        <v>46296</v>
      </c>
      <c r="C14" s="64">
        <f t="shared" si="0"/>
        <v>4.5</v>
      </c>
      <c r="D14" s="42"/>
      <c r="E14" s="21"/>
      <c r="F14" s="21"/>
      <c r="G14" s="65" t="str">
        <f t="shared" si="1"/>
        <v/>
      </c>
      <c r="H14" s="51" t="str">
        <f t="shared" si="2"/>
        <v/>
      </c>
      <c r="I14" s="47"/>
      <c r="J14" s="52" t="str">
        <f t="shared" si="3"/>
        <v/>
      </c>
      <c r="K14" s="45"/>
      <c r="L14" s="52" t="str">
        <f t="shared" si="4"/>
        <v/>
      </c>
      <c r="M14" s="47"/>
      <c r="N14" s="52" t="str">
        <f t="shared" si="5"/>
        <v/>
      </c>
      <c r="O14" s="47"/>
      <c r="P14" s="52" t="str">
        <f t="shared" si="6"/>
        <v/>
      </c>
      <c r="Q14" s="45"/>
      <c r="R14" s="52" t="str">
        <f t="shared" si="7"/>
        <v/>
      </c>
      <c r="S14" s="45"/>
      <c r="T14" s="52" t="str">
        <f t="shared" si="8"/>
        <v/>
      </c>
      <c r="U14" s="45"/>
      <c r="V14" s="52" t="str">
        <f t="shared" si="9"/>
        <v/>
      </c>
      <c r="W14" s="45"/>
      <c r="X14" s="52" t="str">
        <f t="shared" si="10"/>
        <v/>
      </c>
    </row>
    <row r="15" spans="1:24" x14ac:dyDescent="0.2">
      <c r="A15" s="14">
        <v>5</v>
      </c>
      <c r="B15" s="4">
        <v>46327</v>
      </c>
      <c r="C15" s="62">
        <f t="shared" si="0"/>
        <v>4.5</v>
      </c>
      <c r="D15" s="42"/>
      <c r="E15" s="14"/>
      <c r="F15" s="14"/>
      <c r="G15" s="63" t="str">
        <f t="shared" si="1"/>
        <v/>
      </c>
      <c r="H15" s="44" t="str">
        <f t="shared" si="2"/>
        <v/>
      </c>
      <c r="I15" s="47"/>
      <c r="J15" s="46" t="str">
        <f t="shared" si="3"/>
        <v/>
      </c>
      <c r="K15" s="45"/>
      <c r="L15" s="46" t="str">
        <f t="shared" si="4"/>
        <v/>
      </c>
      <c r="M15" s="47"/>
      <c r="N15" s="46" t="str">
        <f t="shared" si="5"/>
        <v/>
      </c>
      <c r="O15" s="47"/>
      <c r="P15" s="46" t="str">
        <f t="shared" si="6"/>
        <v/>
      </c>
      <c r="Q15" s="45"/>
      <c r="R15" s="46" t="str">
        <f t="shared" si="7"/>
        <v/>
      </c>
      <c r="S15" s="45"/>
      <c r="T15" s="46" t="str">
        <f t="shared" si="8"/>
        <v/>
      </c>
      <c r="U15" s="45"/>
      <c r="V15" s="46" t="str">
        <f t="shared" si="9"/>
        <v/>
      </c>
      <c r="W15" s="45"/>
      <c r="X15" s="46" t="str">
        <f t="shared" si="10"/>
        <v/>
      </c>
    </row>
    <row r="16" spans="1:24" x14ac:dyDescent="0.2">
      <c r="A16" s="21">
        <v>6</v>
      </c>
      <c r="B16" s="9">
        <v>46357</v>
      </c>
      <c r="C16" s="64">
        <f t="shared" si="0"/>
        <v>4.5</v>
      </c>
      <c r="D16" s="42"/>
      <c r="E16" s="21"/>
      <c r="F16" s="21"/>
      <c r="G16" s="65" t="str">
        <f t="shared" si="1"/>
        <v/>
      </c>
      <c r="H16" s="51" t="str">
        <f t="shared" si="2"/>
        <v/>
      </c>
      <c r="I16" s="47"/>
      <c r="J16" s="52" t="str">
        <f t="shared" si="3"/>
        <v/>
      </c>
      <c r="K16" s="45"/>
      <c r="L16" s="52" t="str">
        <f t="shared" si="4"/>
        <v/>
      </c>
      <c r="M16" s="47"/>
      <c r="N16" s="52" t="str">
        <f t="shared" si="5"/>
        <v/>
      </c>
      <c r="O16" s="47"/>
      <c r="P16" s="52" t="str">
        <f t="shared" si="6"/>
        <v/>
      </c>
      <c r="Q16" s="45"/>
      <c r="R16" s="52" t="str">
        <f t="shared" si="7"/>
        <v/>
      </c>
      <c r="S16" s="45"/>
      <c r="T16" s="52" t="str">
        <f t="shared" si="8"/>
        <v/>
      </c>
      <c r="U16" s="45"/>
      <c r="V16" s="52" t="str">
        <f t="shared" si="9"/>
        <v/>
      </c>
      <c r="W16" s="45"/>
      <c r="X16" s="52" t="str">
        <f t="shared" si="10"/>
        <v/>
      </c>
    </row>
    <row r="17" spans="1:24" x14ac:dyDescent="0.2">
      <c r="A17" s="14">
        <v>7</v>
      </c>
      <c r="B17" s="4">
        <v>46388</v>
      </c>
      <c r="C17" s="62">
        <f t="shared" si="0"/>
        <v>4.5</v>
      </c>
      <c r="D17" s="42"/>
      <c r="E17" s="14"/>
      <c r="F17" s="14"/>
      <c r="G17" s="63" t="str">
        <f t="shared" si="1"/>
        <v/>
      </c>
      <c r="H17" s="44" t="str">
        <f t="shared" si="2"/>
        <v/>
      </c>
      <c r="I17" s="47"/>
      <c r="J17" s="46" t="str">
        <f t="shared" si="3"/>
        <v/>
      </c>
      <c r="K17" s="45"/>
      <c r="L17" s="46" t="str">
        <f t="shared" si="4"/>
        <v/>
      </c>
      <c r="M17" s="47"/>
      <c r="N17" s="46" t="str">
        <f t="shared" si="5"/>
        <v/>
      </c>
      <c r="O17" s="47"/>
      <c r="P17" s="46" t="str">
        <f t="shared" si="6"/>
        <v/>
      </c>
      <c r="Q17" s="45"/>
      <c r="R17" s="46" t="str">
        <f t="shared" si="7"/>
        <v/>
      </c>
      <c r="S17" s="45"/>
      <c r="T17" s="46" t="str">
        <f t="shared" si="8"/>
        <v/>
      </c>
      <c r="U17" s="45"/>
      <c r="V17" s="46" t="str">
        <f t="shared" si="9"/>
        <v/>
      </c>
      <c r="W17" s="45"/>
      <c r="X17" s="46" t="str">
        <f t="shared" si="10"/>
        <v/>
      </c>
    </row>
    <row r="18" spans="1:24" x14ac:dyDescent="0.2">
      <c r="A18" s="21">
        <v>8</v>
      </c>
      <c r="B18" s="9">
        <v>46419</v>
      </c>
      <c r="C18" s="64">
        <f t="shared" si="0"/>
        <v>4.5</v>
      </c>
      <c r="D18" s="42"/>
      <c r="E18" s="21"/>
      <c r="F18" s="21"/>
      <c r="G18" s="65" t="str">
        <f t="shared" si="1"/>
        <v/>
      </c>
      <c r="H18" s="51" t="str">
        <f t="shared" si="2"/>
        <v/>
      </c>
      <c r="I18" s="47"/>
      <c r="J18" s="52" t="str">
        <f t="shared" si="3"/>
        <v/>
      </c>
      <c r="K18" s="45"/>
      <c r="L18" s="52" t="str">
        <f t="shared" si="4"/>
        <v/>
      </c>
      <c r="M18" s="47"/>
      <c r="N18" s="52" t="str">
        <f t="shared" si="5"/>
        <v/>
      </c>
      <c r="O18" s="47"/>
      <c r="P18" s="52" t="str">
        <f t="shared" si="6"/>
        <v/>
      </c>
      <c r="Q18" s="45"/>
      <c r="R18" s="52" t="str">
        <f t="shared" si="7"/>
        <v/>
      </c>
      <c r="S18" s="45"/>
      <c r="T18" s="52" t="str">
        <f t="shared" si="8"/>
        <v/>
      </c>
      <c r="U18" s="45"/>
      <c r="V18" s="52" t="str">
        <f t="shared" si="9"/>
        <v/>
      </c>
      <c r="W18" s="45"/>
      <c r="X18" s="52" t="str">
        <f t="shared" si="10"/>
        <v/>
      </c>
    </row>
    <row r="19" spans="1:24" x14ac:dyDescent="0.2">
      <c r="A19" s="14">
        <v>9</v>
      </c>
      <c r="B19" s="4">
        <v>46447</v>
      </c>
      <c r="C19" s="62">
        <f t="shared" si="0"/>
        <v>4.5</v>
      </c>
      <c r="D19" s="42"/>
      <c r="E19" s="14"/>
      <c r="F19" s="14"/>
      <c r="G19" s="63" t="str">
        <f t="shared" si="1"/>
        <v/>
      </c>
      <c r="H19" s="44" t="str">
        <f t="shared" si="2"/>
        <v/>
      </c>
      <c r="I19" s="47"/>
      <c r="J19" s="46" t="str">
        <f t="shared" si="3"/>
        <v/>
      </c>
      <c r="K19" s="45"/>
      <c r="L19" s="46" t="str">
        <f t="shared" si="4"/>
        <v/>
      </c>
      <c r="M19" s="47"/>
      <c r="N19" s="46" t="str">
        <f t="shared" si="5"/>
        <v/>
      </c>
      <c r="O19" s="47"/>
      <c r="P19" s="46" t="str">
        <f t="shared" si="6"/>
        <v/>
      </c>
      <c r="Q19" s="45"/>
      <c r="R19" s="46" t="str">
        <f t="shared" si="7"/>
        <v/>
      </c>
      <c r="S19" s="45"/>
      <c r="T19" s="46" t="str">
        <f t="shared" si="8"/>
        <v/>
      </c>
      <c r="U19" s="45"/>
      <c r="V19" s="46" t="str">
        <f t="shared" si="9"/>
        <v/>
      </c>
      <c r="W19" s="45"/>
      <c r="X19" s="46" t="str">
        <f t="shared" si="10"/>
        <v/>
      </c>
    </row>
    <row r="20" spans="1:24" x14ac:dyDescent="0.2">
      <c r="A20" s="21">
        <v>10</v>
      </c>
      <c r="B20" s="9">
        <v>46478</v>
      </c>
      <c r="C20" s="64">
        <f t="shared" si="0"/>
        <v>4.5</v>
      </c>
      <c r="D20" s="42"/>
      <c r="E20" s="21"/>
      <c r="F20" s="21"/>
      <c r="G20" s="65" t="str">
        <f t="shared" si="1"/>
        <v/>
      </c>
      <c r="H20" s="51" t="str">
        <f t="shared" si="2"/>
        <v/>
      </c>
      <c r="I20" s="47"/>
      <c r="J20" s="52" t="str">
        <f t="shared" si="3"/>
        <v/>
      </c>
      <c r="K20" s="45"/>
      <c r="L20" s="52" t="str">
        <f t="shared" si="4"/>
        <v/>
      </c>
      <c r="M20" s="47"/>
      <c r="N20" s="52" t="str">
        <f t="shared" si="5"/>
        <v/>
      </c>
      <c r="O20" s="47"/>
      <c r="P20" s="52" t="str">
        <f t="shared" si="6"/>
        <v/>
      </c>
      <c r="Q20" s="45"/>
      <c r="R20" s="52" t="str">
        <f t="shared" si="7"/>
        <v/>
      </c>
      <c r="S20" s="45"/>
      <c r="T20" s="52" t="str">
        <f t="shared" si="8"/>
        <v/>
      </c>
      <c r="U20" s="45"/>
      <c r="V20" s="52" t="str">
        <f t="shared" si="9"/>
        <v/>
      </c>
      <c r="W20" s="45"/>
      <c r="X20" s="52" t="str">
        <f t="shared" si="10"/>
        <v/>
      </c>
    </row>
    <row r="21" spans="1:24" x14ac:dyDescent="0.2">
      <c r="A21" s="14">
        <v>11</v>
      </c>
      <c r="B21" s="4">
        <v>46508</v>
      </c>
      <c r="C21" s="62">
        <f t="shared" si="0"/>
        <v>4.5</v>
      </c>
      <c r="D21" s="42"/>
      <c r="E21" s="14"/>
      <c r="F21" s="14"/>
      <c r="G21" s="63" t="str">
        <f t="shared" si="1"/>
        <v/>
      </c>
      <c r="H21" s="44" t="str">
        <f t="shared" si="2"/>
        <v/>
      </c>
      <c r="I21" s="47"/>
      <c r="J21" s="46" t="str">
        <f t="shared" si="3"/>
        <v/>
      </c>
      <c r="K21" s="45"/>
      <c r="L21" s="46" t="str">
        <f t="shared" si="4"/>
        <v/>
      </c>
      <c r="M21" s="47"/>
      <c r="N21" s="46" t="str">
        <f t="shared" si="5"/>
        <v/>
      </c>
      <c r="O21" s="47"/>
      <c r="P21" s="46" t="str">
        <f t="shared" si="6"/>
        <v/>
      </c>
      <c r="Q21" s="45"/>
      <c r="R21" s="46" t="str">
        <f t="shared" si="7"/>
        <v/>
      </c>
      <c r="S21" s="45"/>
      <c r="T21" s="46" t="str">
        <f t="shared" si="8"/>
        <v/>
      </c>
      <c r="U21" s="45"/>
      <c r="V21" s="46" t="str">
        <f t="shared" si="9"/>
        <v/>
      </c>
      <c r="W21" s="45"/>
      <c r="X21" s="46" t="str">
        <f t="shared" si="10"/>
        <v/>
      </c>
    </row>
    <row r="22" spans="1:24" x14ac:dyDescent="0.2">
      <c r="A22" s="21">
        <v>12</v>
      </c>
      <c r="B22" s="9">
        <v>46539</v>
      </c>
      <c r="C22" s="64">
        <f t="shared" si="0"/>
        <v>4.5</v>
      </c>
      <c r="D22" s="42"/>
      <c r="E22" s="21"/>
      <c r="F22" s="21"/>
      <c r="G22" s="65" t="str">
        <f t="shared" si="1"/>
        <v/>
      </c>
      <c r="H22" s="51" t="str">
        <f t="shared" si="2"/>
        <v/>
      </c>
      <c r="I22" s="47"/>
      <c r="J22" s="52" t="str">
        <f t="shared" si="3"/>
        <v/>
      </c>
      <c r="K22" s="45"/>
      <c r="L22" s="52" t="str">
        <f t="shared" si="4"/>
        <v/>
      </c>
      <c r="M22" s="47"/>
      <c r="N22" s="52" t="str">
        <f t="shared" si="5"/>
        <v/>
      </c>
      <c r="O22" s="47"/>
      <c r="P22" s="52" t="str">
        <f t="shared" si="6"/>
        <v/>
      </c>
      <c r="Q22" s="45"/>
      <c r="R22" s="52" t="str">
        <f t="shared" si="7"/>
        <v/>
      </c>
      <c r="S22" s="45"/>
      <c r="T22" s="52" t="str">
        <f t="shared" si="8"/>
        <v/>
      </c>
      <c r="U22" s="45"/>
      <c r="V22" s="52" t="str">
        <f t="shared" si="9"/>
        <v/>
      </c>
      <c r="W22" s="45"/>
      <c r="X22" s="52" t="str">
        <f t="shared" si="10"/>
        <v/>
      </c>
    </row>
    <row r="23" spans="1:24" x14ac:dyDescent="0.2">
      <c r="A23" s="14">
        <v>13</v>
      </c>
      <c r="B23" s="4">
        <v>46569</v>
      </c>
      <c r="C23" s="62">
        <f t="shared" si="0"/>
        <v>4.5</v>
      </c>
      <c r="D23" s="42"/>
      <c r="E23" s="14"/>
      <c r="F23" s="14"/>
      <c r="G23" s="63" t="str">
        <f t="shared" si="1"/>
        <v/>
      </c>
      <c r="H23" s="44" t="str">
        <f t="shared" si="2"/>
        <v/>
      </c>
      <c r="I23" s="47"/>
      <c r="J23" s="46" t="str">
        <f t="shared" si="3"/>
        <v/>
      </c>
      <c r="K23" s="45"/>
      <c r="L23" s="46" t="str">
        <f t="shared" si="4"/>
        <v/>
      </c>
      <c r="M23" s="47"/>
      <c r="N23" s="46" t="str">
        <f t="shared" si="5"/>
        <v/>
      </c>
      <c r="O23" s="47"/>
      <c r="P23" s="46" t="str">
        <f t="shared" si="6"/>
        <v/>
      </c>
      <c r="Q23" s="45"/>
      <c r="R23" s="46" t="str">
        <f t="shared" si="7"/>
        <v/>
      </c>
      <c r="S23" s="45"/>
      <c r="T23" s="46" t="str">
        <f t="shared" si="8"/>
        <v/>
      </c>
      <c r="U23" s="45"/>
      <c r="V23" s="46" t="str">
        <f t="shared" si="9"/>
        <v/>
      </c>
      <c r="W23" s="45"/>
      <c r="X23" s="46" t="str">
        <f t="shared" si="10"/>
        <v/>
      </c>
    </row>
    <row r="24" spans="1:24" x14ac:dyDescent="0.2">
      <c r="A24" s="21">
        <v>14</v>
      </c>
      <c r="B24" s="9">
        <v>46600</v>
      </c>
      <c r="C24" s="64">
        <f t="shared" si="0"/>
        <v>4.5</v>
      </c>
      <c r="D24" s="42"/>
      <c r="E24" s="21"/>
      <c r="F24" s="21"/>
      <c r="G24" s="65" t="str">
        <f t="shared" si="1"/>
        <v/>
      </c>
      <c r="H24" s="51" t="str">
        <f t="shared" si="2"/>
        <v/>
      </c>
      <c r="I24" s="47"/>
      <c r="J24" s="52" t="str">
        <f t="shared" si="3"/>
        <v/>
      </c>
      <c r="K24" s="45"/>
      <c r="L24" s="52" t="str">
        <f t="shared" si="4"/>
        <v/>
      </c>
      <c r="M24" s="47"/>
      <c r="N24" s="52" t="str">
        <f t="shared" si="5"/>
        <v/>
      </c>
      <c r="O24" s="47"/>
      <c r="P24" s="52" t="str">
        <f t="shared" si="6"/>
        <v/>
      </c>
      <c r="Q24" s="45"/>
      <c r="R24" s="52" t="str">
        <f t="shared" si="7"/>
        <v/>
      </c>
      <c r="S24" s="45"/>
      <c r="T24" s="52" t="str">
        <f t="shared" si="8"/>
        <v/>
      </c>
      <c r="U24" s="45"/>
      <c r="V24" s="52" t="str">
        <f t="shared" si="9"/>
        <v/>
      </c>
      <c r="W24" s="45"/>
      <c r="X24" s="52" t="str">
        <f t="shared" si="10"/>
        <v/>
      </c>
    </row>
    <row r="25" spans="1:24" x14ac:dyDescent="0.2">
      <c r="A25" s="14">
        <v>15</v>
      </c>
      <c r="B25" s="4">
        <v>46631</v>
      </c>
      <c r="C25" s="62">
        <f t="shared" si="0"/>
        <v>4.5</v>
      </c>
      <c r="D25" s="42"/>
      <c r="E25" s="14"/>
      <c r="F25" s="14"/>
      <c r="G25" s="63" t="str">
        <f t="shared" si="1"/>
        <v/>
      </c>
      <c r="H25" s="44" t="str">
        <f t="shared" si="2"/>
        <v/>
      </c>
      <c r="I25" s="47"/>
      <c r="J25" s="46" t="str">
        <f t="shared" si="3"/>
        <v/>
      </c>
      <c r="K25" s="45"/>
      <c r="L25" s="46" t="str">
        <f t="shared" si="4"/>
        <v/>
      </c>
      <c r="M25" s="47"/>
      <c r="N25" s="46" t="str">
        <f t="shared" si="5"/>
        <v/>
      </c>
      <c r="O25" s="47"/>
      <c r="P25" s="46" t="str">
        <f t="shared" si="6"/>
        <v/>
      </c>
      <c r="Q25" s="45"/>
      <c r="R25" s="46" t="str">
        <f t="shared" si="7"/>
        <v/>
      </c>
      <c r="S25" s="45"/>
      <c r="T25" s="46" t="str">
        <f t="shared" si="8"/>
        <v/>
      </c>
      <c r="U25" s="45"/>
      <c r="V25" s="46" t="str">
        <f t="shared" si="9"/>
        <v/>
      </c>
      <c r="W25" s="45"/>
      <c r="X25" s="46" t="str">
        <f t="shared" si="10"/>
        <v/>
      </c>
    </row>
    <row r="26" spans="1:24" x14ac:dyDescent="0.2">
      <c r="A26" s="21">
        <v>16</v>
      </c>
      <c r="B26" s="9">
        <v>46661</v>
      </c>
      <c r="C26" s="64">
        <f t="shared" si="0"/>
        <v>4.5</v>
      </c>
      <c r="D26" s="42"/>
      <c r="E26" s="21"/>
      <c r="F26" s="21"/>
      <c r="G26" s="65" t="str">
        <f t="shared" si="1"/>
        <v/>
      </c>
      <c r="H26" s="51" t="str">
        <f t="shared" si="2"/>
        <v/>
      </c>
      <c r="I26" s="47"/>
      <c r="J26" s="52" t="str">
        <f t="shared" si="3"/>
        <v/>
      </c>
      <c r="K26" s="45"/>
      <c r="L26" s="52" t="str">
        <f t="shared" si="4"/>
        <v/>
      </c>
      <c r="M26" s="47"/>
      <c r="N26" s="52" t="str">
        <f t="shared" si="5"/>
        <v/>
      </c>
      <c r="O26" s="47"/>
      <c r="P26" s="52" t="str">
        <f t="shared" si="6"/>
        <v/>
      </c>
      <c r="Q26" s="45"/>
      <c r="R26" s="52" t="str">
        <f t="shared" si="7"/>
        <v/>
      </c>
      <c r="S26" s="45"/>
      <c r="T26" s="52" t="str">
        <f t="shared" si="8"/>
        <v/>
      </c>
      <c r="U26" s="45"/>
      <c r="V26" s="52" t="str">
        <f t="shared" si="9"/>
        <v/>
      </c>
      <c r="W26" s="45"/>
      <c r="X26" s="52" t="str">
        <f t="shared" si="10"/>
        <v/>
      </c>
    </row>
    <row r="27" spans="1:24" x14ac:dyDescent="0.2">
      <c r="A27" s="14">
        <v>17</v>
      </c>
      <c r="B27" s="4">
        <v>46692</v>
      </c>
      <c r="C27" s="62">
        <f t="shared" si="0"/>
        <v>4.5</v>
      </c>
      <c r="D27" s="42"/>
      <c r="E27" s="14"/>
      <c r="F27" s="14"/>
      <c r="G27" s="63" t="str">
        <f t="shared" si="1"/>
        <v/>
      </c>
      <c r="H27" s="44" t="str">
        <f t="shared" si="2"/>
        <v/>
      </c>
      <c r="I27" s="47"/>
      <c r="J27" s="46" t="str">
        <f t="shared" si="3"/>
        <v/>
      </c>
      <c r="K27" s="45"/>
      <c r="L27" s="46" t="str">
        <f t="shared" si="4"/>
        <v/>
      </c>
      <c r="M27" s="47"/>
      <c r="N27" s="46" t="str">
        <f t="shared" si="5"/>
        <v/>
      </c>
      <c r="O27" s="47"/>
      <c r="P27" s="46" t="str">
        <f t="shared" si="6"/>
        <v/>
      </c>
      <c r="Q27" s="45"/>
      <c r="R27" s="46" t="str">
        <f t="shared" si="7"/>
        <v/>
      </c>
      <c r="S27" s="45"/>
      <c r="T27" s="46" t="str">
        <f t="shared" si="8"/>
        <v/>
      </c>
      <c r="U27" s="45"/>
      <c r="V27" s="46" t="str">
        <f t="shared" si="9"/>
        <v/>
      </c>
      <c r="W27" s="45"/>
      <c r="X27" s="46" t="str">
        <f t="shared" si="10"/>
        <v/>
      </c>
    </row>
    <row r="28" spans="1:24" x14ac:dyDescent="0.2">
      <c r="A28" s="21">
        <v>18</v>
      </c>
      <c r="B28" s="9">
        <v>46722</v>
      </c>
      <c r="C28" s="64">
        <f t="shared" si="0"/>
        <v>4.5</v>
      </c>
      <c r="D28" s="42"/>
      <c r="E28" s="21"/>
      <c r="F28" s="21"/>
      <c r="G28" s="65" t="str">
        <f t="shared" si="1"/>
        <v/>
      </c>
      <c r="H28" s="51" t="str">
        <f t="shared" si="2"/>
        <v/>
      </c>
      <c r="I28" s="47"/>
      <c r="J28" s="52" t="str">
        <f t="shared" si="3"/>
        <v/>
      </c>
      <c r="K28" s="45"/>
      <c r="L28" s="52" t="str">
        <f t="shared" si="4"/>
        <v/>
      </c>
      <c r="M28" s="47"/>
      <c r="N28" s="52" t="str">
        <f t="shared" si="5"/>
        <v/>
      </c>
      <c r="O28" s="47"/>
      <c r="P28" s="52" t="str">
        <f t="shared" si="6"/>
        <v/>
      </c>
      <c r="Q28" s="45"/>
      <c r="R28" s="52" t="str">
        <f t="shared" si="7"/>
        <v/>
      </c>
      <c r="S28" s="45"/>
      <c r="T28" s="52" t="str">
        <f t="shared" si="8"/>
        <v/>
      </c>
      <c r="U28" s="45"/>
      <c r="V28" s="52" t="str">
        <f t="shared" si="9"/>
        <v/>
      </c>
      <c r="W28" s="45"/>
      <c r="X28" s="52" t="str">
        <f t="shared" si="10"/>
        <v/>
      </c>
    </row>
  </sheetData>
  <mergeCells count="17">
    <mergeCell ref="A1:X1"/>
    <mergeCell ref="I8:J8"/>
    <mergeCell ref="O9:P9"/>
    <mergeCell ref="I9:J9"/>
    <mergeCell ref="W9:X9"/>
    <mergeCell ref="Q8:R8"/>
    <mergeCell ref="M8:N8"/>
    <mergeCell ref="U8:V8"/>
    <mergeCell ref="S8:T8"/>
    <mergeCell ref="W8:X8"/>
    <mergeCell ref="U9:V9"/>
    <mergeCell ref="K8:L8"/>
    <mergeCell ref="S9:T9"/>
    <mergeCell ref="O8:P8"/>
    <mergeCell ref="K9:L9"/>
    <mergeCell ref="M9:N9"/>
    <mergeCell ref="Q9:R9"/>
  </mergeCells>
  <conditionalFormatting sqref="H11:H28">
    <cfRule type="containsText" dxfId="4" priority="1" operator="containsText" text="En meta">
      <formula>NOT(ISERROR(SEARCH("En meta",H11)))</formula>
    </cfRule>
    <cfRule type="containsText" dxfId="3" priority="2" operator="containsText" text="Riesgo">
      <formula>NOT(ISERROR(SEARCH("Riesgo",H11)))</formula>
    </cfRule>
    <cfRule type="containsText" dxfId="2" priority="3" operator="containsText" text="Atrasado">
      <formula>NOT(ISERROR(SEARCH("Atrasado",H11)))</formula>
    </cfRule>
  </conditionalFormatting>
  <pageMargins left="0.75" right="0.75" top="1" bottom="1" header="0.5" footer="0.5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F401"/>
  <sheetViews>
    <sheetView showGridLines="0"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11" customWidth="1"/>
    <col min="2" max="3" width="6" customWidth="1"/>
    <col min="4" max="4" width="64" customWidth="1"/>
    <col min="5" max="5" width="18" customWidth="1"/>
    <col min="6" max="6" width="12" customWidth="1"/>
  </cols>
  <sheetData>
    <row r="1" spans="1:6" x14ac:dyDescent="0.2">
      <c r="A1" s="3" t="s">
        <v>70</v>
      </c>
      <c r="B1" s="3" t="s">
        <v>150</v>
      </c>
      <c r="C1" s="3" t="s">
        <v>151</v>
      </c>
      <c r="D1" s="3" t="s">
        <v>152</v>
      </c>
      <c r="E1" s="3" t="s">
        <v>153</v>
      </c>
      <c r="F1" s="3" t="s">
        <v>9</v>
      </c>
    </row>
    <row r="2" spans="1:6" x14ac:dyDescent="0.2">
      <c r="A2" s="66"/>
      <c r="B2" s="67"/>
      <c r="C2" s="67"/>
      <c r="D2" s="68"/>
      <c r="E2" s="42"/>
      <c r="F2" s="67"/>
    </row>
    <row r="3" spans="1:6" x14ac:dyDescent="0.2">
      <c r="A3" s="66"/>
      <c r="B3" s="67"/>
      <c r="C3" s="67"/>
      <c r="D3" s="68"/>
      <c r="E3" s="42"/>
      <c r="F3" s="67"/>
    </row>
    <row r="4" spans="1:6" x14ac:dyDescent="0.2">
      <c r="A4" s="66"/>
      <c r="B4" s="67"/>
      <c r="C4" s="67"/>
      <c r="D4" s="68"/>
      <c r="E4" s="42"/>
      <c r="F4" s="67"/>
    </row>
    <row r="5" spans="1:6" x14ac:dyDescent="0.2">
      <c r="A5" s="66"/>
      <c r="B5" s="67"/>
      <c r="C5" s="67"/>
      <c r="D5" s="68"/>
      <c r="E5" s="42"/>
      <c r="F5" s="67"/>
    </row>
    <row r="6" spans="1:6" x14ac:dyDescent="0.2">
      <c r="A6" s="66"/>
      <c r="B6" s="67"/>
      <c r="C6" s="67"/>
      <c r="D6" s="68"/>
      <c r="E6" s="42"/>
      <c r="F6" s="67"/>
    </row>
    <row r="7" spans="1:6" x14ac:dyDescent="0.2">
      <c r="A7" s="66"/>
      <c r="B7" s="67"/>
      <c r="C7" s="67"/>
      <c r="D7" s="68"/>
      <c r="E7" s="42"/>
      <c r="F7" s="67"/>
    </row>
    <row r="8" spans="1:6" x14ac:dyDescent="0.2">
      <c r="A8" s="66"/>
      <c r="B8" s="67"/>
      <c r="C8" s="67"/>
      <c r="D8" s="68"/>
      <c r="E8" s="42"/>
      <c r="F8" s="67"/>
    </row>
    <row r="9" spans="1:6" x14ac:dyDescent="0.2">
      <c r="A9" s="66"/>
      <c r="B9" s="67"/>
      <c r="C9" s="67"/>
      <c r="D9" s="68"/>
      <c r="E9" s="42"/>
      <c r="F9" s="67"/>
    </row>
    <row r="10" spans="1:6" x14ac:dyDescent="0.2">
      <c r="A10" s="66"/>
      <c r="B10" s="67"/>
      <c r="C10" s="67"/>
      <c r="D10" s="68"/>
      <c r="E10" s="42"/>
      <c r="F10" s="67"/>
    </row>
    <row r="11" spans="1:6" x14ac:dyDescent="0.2">
      <c r="A11" s="66"/>
      <c r="B11" s="67"/>
      <c r="C11" s="67"/>
      <c r="D11" s="68"/>
      <c r="E11" s="42"/>
      <c r="F11" s="67"/>
    </row>
    <row r="12" spans="1:6" x14ac:dyDescent="0.2">
      <c r="A12" s="66"/>
      <c r="B12" s="67"/>
      <c r="C12" s="67"/>
      <c r="D12" s="68"/>
      <c r="E12" s="42"/>
      <c r="F12" s="67"/>
    </row>
    <row r="13" spans="1:6" x14ac:dyDescent="0.2">
      <c r="A13" s="66"/>
      <c r="B13" s="67"/>
      <c r="C13" s="67"/>
      <c r="D13" s="68"/>
      <c r="E13" s="42"/>
      <c r="F13" s="67"/>
    </row>
    <row r="14" spans="1:6" x14ac:dyDescent="0.2">
      <c r="A14" s="66"/>
      <c r="B14" s="67"/>
      <c r="C14" s="67"/>
      <c r="D14" s="68"/>
      <c r="E14" s="42"/>
      <c r="F14" s="67"/>
    </row>
    <row r="15" spans="1:6" x14ac:dyDescent="0.2">
      <c r="A15" s="66"/>
      <c r="B15" s="67"/>
      <c r="C15" s="67"/>
      <c r="D15" s="68"/>
      <c r="E15" s="42"/>
      <c r="F15" s="67"/>
    </row>
    <row r="16" spans="1:6" x14ac:dyDescent="0.2">
      <c r="A16" s="66"/>
      <c r="B16" s="67"/>
      <c r="C16" s="67"/>
      <c r="D16" s="68"/>
      <c r="E16" s="42"/>
      <c r="F16" s="67"/>
    </row>
    <row r="17" spans="1:6" x14ac:dyDescent="0.2">
      <c r="A17" s="66"/>
      <c r="B17" s="67"/>
      <c r="C17" s="67"/>
      <c r="D17" s="68"/>
      <c r="E17" s="42"/>
      <c r="F17" s="67"/>
    </row>
    <row r="18" spans="1:6" x14ac:dyDescent="0.2">
      <c r="A18" s="66"/>
      <c r="B18" s="67"/>
      <c r="C18" s="67"/>
      <c r="D18" s="68"/>
      <c r="E18" s="42"/>
      <c r="F18" s="67"/>
    </row>
    <row r="19" spans="1:6" x14ac:dyDescent="0.2">
      <c r="A19" s="66"/>
      <c r="B19" s="67"/>
      <c r="C19" s="67"/>
      <c r="D19" s="68"/>
      <c r="E19" s="42"/>
      <c r="F19" s="67"/>
    </row>
    <row r="20" spans="1:6" x14ac:dyDescent="0.2">
      <c r="A20" s="66"/>
      <c r="B20" s="67"/>
      <c r="C20" s="67"/>
      <c r="D20" s="68"/>
      <c r="E20" s="42"/>
      <c r="F20" s="67"/>
    </row>
    <row r="21" spans="1:6" x14ac:dyDescent="0.2">
      <c r="A21" s="66"/>
      <c r="B21" s="67"/>
      <c r="C21" s="67"/>
      <c r="D21" s="68"/>
      <c r="E21" s="42"/>
      <c r="F21" s="67"/>
    </row>
    <row r="22" spans="1:6" x14ac:dyDescent="0.2">
      <c r="A22" s="66"/>
      <c r="B22" s="67"/>
      <c r="C22" s="67"/>
      <c r="D22" s="68"/>
      <c r="E22" s="42"/>
      <c r="F22" s="67"/>
    </row>
    <row r="23" spans="1:6" x14ac:dyDescent="0.2">
      <c r="A23" s="66"/>
      <c r="B23" s="67"/>
      <c r="C23" s="67"/>
      <c r="D23" s="68"/>
      <c r="E23" s="42"/>
      <c r="F23" s="67"/>
    </row>
    <row r="24" spans="1:6" x14ac:dyDescent="0.2">
      <c r="A24" s="66"/>
      <c r="B24" s="67"/>
      <c r="C24" s="67"/>
      <c r="D24" s="68"/>
      <c r="E24" s="42"/>
      <c r="F24" s="67"/>
    </row>
    <row r="25" spans="1:6" x14ac:dyDescent="0.2">
      <c r="A25" s="66"/>
      <c r="B25" s="67"/>
      <c r="C25" s="67"/>
      <c r="D25" s="68"/>
      <c r="E25" s="42"/>
      <c r="F25" s="67"/>
    </row>
    <row r="26" spans="1:6" x14ac:dyDescent="0.2">
      <c r="A26" s="66"/>
      <c r="B26" s="67"/>
      <c r="C26" s="67"/>
      <c r="D26" s="68"/>
      <c r="E26" s="42"/>
      <c r="F26" s="67"/>
    </row>
    <row r="27" spans="1:6" x14ac:dyDescent="0.2">
      <c r="A27" s="66"/>
      <c r="B27" s="67"/>
      <c r="C27" s="67"/>
      <c r="D27" s="68"/>
      <c r="E27" s="42"/>
      <c r="F27" s="67"/>
    </row>
    <row r="28" spans="1:6" x14ac:dyDescent="0.2">
      <c r="A28" s="66"/>
      <c r="B28" s="67"/>
      <c r="C28" s="67"/>
      <c r="D28" s="68"/>
      <c r="E28" s="42"/>
      <c r="F28" s="67"/>
    </row>
    <row r="29" spans="1:6" x14ac:dyDescent="0.2">
      <c r="A29" s="66"/>
      <c r="B29" s="67"/>
      <c r="C29" s="67"/>
      <c r="D29" s="68"/>
      <c r="E29" s="42"/>
      <c r="F29" s="67"/>
    </row>
    <row r="30" spans="1:6" x14ac:dyDescent="0.2">
      <c r="A30" s="66"/>
      <c r="B30" s="67"/>
      <c r="C30" s="67"/>
      <c r="D30" s="68"/>
      <c r="E30" s="42"/>
      <c r="F30" s="67"/>
    </row>
    <row r="31" spans="1:6" x14ac:dyDescent="0.2">
      <c r="A31" s="66"/>
      <c r="B31" s="67"/>
      <c r="C31" s="67"/>
      <c r="D31" s="68"/>
      <c r="E31" s="42"/>
      <c r="F31" s="67"/>
    </row>
    <row r="32" spans="1:6" x14ac:dyDescent="0.2">
      <c r="A32" s="66"/>
      <c r="B32" s="67"/>
      <c r="C32" s="67"/>
      <c r="D32" s="68"/>
      <c r="E32" s="42"/>
      <c r="F32" s="67"/>
    </row>
    <row r="33" spans="1:6" x14ac:dyDescent="0.2">
      <c r="A33" s="66"/>
      <c r="B33" s="67"/>
      <c r="C33" s="67"/>
      <c r="D33" s="68"/>
      <c r="E33" s="42"/>
      <c r="F33" s="67"/>
    </row>
    <row r="34" spans="1:6" x14ac:dyDescent="0.2">
      <c r="A34" s="66"/>
      <c r="B34" s="67"/>
      <c r="C34" s="67"/>
      <c r="D34" s="68"/>
      <c r="E34" s="42"/>
      <c r="F34" s="67"/>
    </row>
    <row r="35" spans="1:6" x14ac:dyDescent="0.2">
      <c r="A35" s="66"/>
      <c r="B35" s="67"/>
      <c r="C35" s="67"/>
      <c r="D35" s="68"/>
      <c r="E35" s="42"/>
      <c r="F35" s="67"/>
    </row>
    <row r="36" spans="1:6" x14ac:dyDescent="0.2">
      <c r="A36" s="66"/>
      <c r="B36" s="67"/>
      <c r="C36" s="67"/>
      <c r="D36" s="68"/>
      <c r="E36" s="42"/>
      <c r="F36" s="67"/>
    </row>
    <row r="37" spans="1:6" x14ac:dyDescent="0.2">
      <c r="A37" s="66"/>
      <c r="B37" s="67"/>
      <c r="C37" s="67"/>
      <c r="D37" s="68"/>
      <c r="E37" s="42"/>
      <c r="F37" s="67"/>
    </row>
    <row r="38" spans="1:6" x14ac:dyDescent="0.2">
      <c r="A38" s="66"/>
      <c r="B38" s="67"/>
      <c r="C38" s="67"/>
      <c r="D38" s="68"/>
      <c r="E38" s="42"/>
      <c r="F38" s="67"/>
    </row>
    <row r="39" spans="1:6" x14ac:dyDescent="0.2">
      <c r="A39" s="66"/>
      <c r="B39" s="67"/>
      <c r="C39" s="67"/>
      <c r="D39" s="68"/>
      <c r="E39" s="42"/>
      <c r="F39" s="67"/>
    </row>
    <row r="40" spans="1:6" x14ac:dyDescent="0.2">
      <c r="A40" s="66"/>
      <c r="B40" s="67"/>
      <c r="C40" s="67"/>
      <c r="D40" s="68"/>
      <c r="E40" s="42"/>
      <c r="F40" s="67"/>
    </row>
    <row r="41" spans="1:6" x14ac:dyDescent="0.2">
      <c r="A41" s="66"/>
      <c r="B41" s="67"/>
      <c r="C41" s="67"/>
      <c r="D41" s="68"/>
      <c r="E41" s="42"/>
      <c r="F41" s="67"/>
    </row>
    <row r="42" spans="1:6" x14ac:dyDescent="0.2">
      <c r="A42" s="66"/>
      <c r="B42" s="67"/>
      <c r="C42" s="67"/>
      <c r="D42" s="68"/>
      <c r="E42" s="42"/>
      <c r="F42" s="67"/>
    </row>
    <row r="43" spans="1:6" x14ac:dyDescent="0.2">
      <c r="A43" s="66"/>
      <c r="B43" s="67"/>
      <c r="C43" s="67"/>
      <c r="D43" s="68"/>
      <c r="E43" s="42"/>
      <c r="F43" s="67"/>
    </row>
    <row r="44" spans="1:6" x14ac:dyDescent="0.2">
      <c r="A44" s="66"/>
      <c r="B44" s="67"/>
      <c r="C44" s="67"/>
      <c r="D44" s="68"/>
      <c r="E44" s="42"/>
      <c r="F44" s="67"/>
    </row>
    <row r="45" spans="1:6" x14ac:dyDescent="0.2">
      <c r="A45" s="66"/>
      <c r="B45" s="67"/>
      <c r="C45" s="67"/>
      <c r="D45" s="68"/>
      <c r="E45" s="42"/>
      <c r="F45" s="67"/>
    </row>
    <row r="46" spans="1:6" x14ac:dyDescent="0.2">
      <c r="A46" s="66"/>
      <c r="B46" s="67"/>
      <c r="C46" s="67"/>
      <c r="D46" s="68"/>
      <c r="E46" s="42"/>
      <c r="F46" s="67"/>
    </row>
    <row r="47" spans="1:6" x14ac:dyDescent="0.2">
      <c r="A47" s="66"/>
      <c r="B47" s="67"/>
      <c r="C47" s="67"/>
      <c r="D47" s="68"/>
      <c r="E47" s="42"/>
      <c r="F47" s="67"/>
    </row>
    <row r="48" spans="1:6" x14ac:dyDescent="0.2">
      <c r="A48" s="66"/>
      <c r="B48" s="67"/>
      <c r="C48" s="67"/>
      <c r="D48" s="68"/>
      <c r="E48" s="42"/>
      <c r="F48" s="67"/>
    </row>
    <row r="49" spans="1:6" x14ac:dyDescent="0.2">
      <c r="A49" s="66"/>
      <c r="B49" s="67"/>
      <c r="C49" s="67"/>
      <c r="D49" s="68"/>
      <c r="E49" s="42"/>
      <c r="F49" s="67"/>
    </row>
    <row r="50" spans="1:6" x14ac:dyDescent="0.2">
      <c r="A50" s="66"/>
      <c r="B50" s="67"/>
      <c r="C50" s="67"/>
      <c r="D50" s="68"/>
      <c r="E50" s="42"/>
      <c r="F50" s="67"/>
    </row>
    <row r="51" spans="1:6" x14ac:dyDescent="0.2">
      <c r="A51" s="66"/>
      <c r="B51" s="67"/>
      <c r="C51" s="67"/>
      <c r="D51" s="68"/>
      <c r="E51" s="42"/>
      <c r="F51" s="67"/>
    </row>
    <row r="52" spans="1:6" x14ac:dyDescent="0.2">
      <c r="A52" s="66"/>
      <c r="B52" s="67"/>
      <c r="C52" s="67"/>
      <c r="D52" s="68"/>
      <c r="E52" s="42"/>
      <c r="F52" s="67"/>
    </row>
    <row r="53" spans="1:6" x14ac:dyDescent="0.2">
      <c r="A53" s="66"/>
      <c r="B53" s="67"/>
      <c r="C53" s="67"/>
      <c r="D53" s="68"/>
      <c r="E53" s="42"/>
      <c r="F53" s="67"/>
    </row>
    <row r="54" spans="1:6" x14ac:dyDescent="0.2">
      <c r="A54" s="66"/>
      <c r="B54" s="67"/>
      <c r="C54" s="67"/>
      <c r="D54" s="68"/>
      <c r="E54" s="42"/>
      <c r="F54" s="67"/>
    </row>
    <row r="55" spans="1:6" x14ac:dyDescent="0.2">
      <c r="A55" s="66"/>
      <c r="B55" s="67"/>
      <c r="C55" s="67"/>
      <c r="D55" s="68"/>
      <c r="E55" s="42"/>
      <c r="F55" s="67"/>
    </row>
    <row r="56" spans="1:6" x14ac:dyDescent="0.2">
      <c r="A56" s="66"/>
      <c r="B56" s="67"/>
      <c r="C56" s="67"/>
      <c r="D56" s="68"/>
      <c r="E56" s="42"/>
      <c r="F56" s="67"/>
    </row>
    <row r="57" spans="1:6" x14ac:dyDescent="0.2">
      <c r="A57" s="66"/>
      <c r="B57" s="67"/>
      <c r="C57" s="67"/>
      <c r="D57" s="68"/>
      <c r="E57" s="42"/>
      <c r="F57" s="67"/>
    </row>
    <row r="58" spans="1:6" x14ac:dyDescent="0.2">
      <c r="A58" s="66"/>
      <c r="B58" s="67"/>
      <c r="C58" s="67"/>
      <c r="D58" s="68"/>
      <c r="E58" s="42"/>
      <c r="F58" s="67"/>
    </row>
    <row r="59" spans="1:6" x14ac:dyDescent="0.2">
      <c r="A59" s="66"/>
      <c r="B59" s="67"/>
      <c r="C59" s="67"/>
      <c r="D59" s="68"/>
      <c r="E59" s="42"/>
      <c r="F59" s="67"/>
    </row>
    <row r="60" spans="1:6" x14ac:dyDescent="0.2">
      <c r="A60" s="66"/>
      <c r="B60" s="67"/>
      <c r="C60" s="67"/>
      <c r="D60" s="68"/>
      <c r="E60" s="42"/>
      <c r="F60" s="67"/>
    </row>
    <row r="61" spans="1:6" x14ac:dyDescent="0.2">
      <c r="A61" s="66"/>
      <c r="B61" s="67"/>
      <c r="C61" s="67"/>
      <c r="D61" s="68"/>
      <c r="E61" s="42"/>
      <c r="F61" s="67"/>
    </row>
    <row r="62" spans="1:6" x14ac:dyDescent="0.2">
      <c r="A62" s="66"/>
      <c r="B62" s="67"/>
      <c r="C62" s="67"/>
      <c r="D62" s="68"/>
      <c r="E62" s="42"/>
      <c r="F62" s="67"/>
    </row>
    <row r="63" spans="1:6" x14ac:dyDescent="0.2">
      <c r="A63" s="66"/>
      <c r="B63" s="67"/>
      <c r="C63" s="67"/>
      <c r="D63" s="68"/>
      <c r="E63" s="42"/>
      <c r="F63" s="67"/>
    </row>
    <row r="64" spans="1:6" x14ac:dyDescent="0.2">
      <c r="A64" s="66"/>
      <c r="B64" s="67"/>
      <c r="C64" s="67"/>
      <c r="D64" s="68"/>
      <c r="E64" s="42"/>
      <c r="F64" s="67"/>
    </row>
    <row r="65" spans="1:6" x14ac:dyDescent="0.2">
      <c r="A65" s="66"/>
      <c r="B65" s="67"/>
      <c r="C65" s="67"/>
      <c r="D65" s="68"/>
      <c r="E65" s="42"/>
      <c r="F65" s="67"/>
    </row>
    <row r="66" spans="1:6" x14ac:dyDescent="0.2">
      <c r="A66" s="66"/>
      <c r="B66" s="67"/>
      <c r="C66" s="67"/>
      <c r="D66" s="68"/>
      <c r="E66" s="42"/>
      <c r="F66" s="67"/>
    </row>
    <row r="67" spans="1:6" x14ac:dyDescent="0.2">
      <c r="A67" s="66"/>
      <c r="B67" s="67"/>
      <c r="C67" s="67"/>
      <c r="D67" s="68"/>
      <c r="E67" s="42"/>
      <c r="F67" s="67"/>
    </row>
    <row r="68" spans="1:6" x14ac:dyDescent="0.2">
      <c r="A68" s="66"/>
      <c r="B68" s="67"/>
      <c r="C68" s="67"/>
      <c r="D68" s="68"/>
      <c r="E68" s="42"/>
      <c r="F68" s="67"/>
    </row>
    <row r="69" spans="1:6" x14ac:dyDescent="0.2">
      <c r="A69" s="66"/>
      <c r="B69" s="67"/>
      <c r="C69" s="67"/>
      <c r="D69" s="68"/>
      <c r="E69" s="42"/>
      <c r="F69" s="67"/>
    </row>
    <row r="70" spans="1:6" x14ac:dyDescent="0.2">
      <c r="A70" s="66"/>
      <c r="B70" s="67"/>
      <c r="C70" s="67"/>
      <c r="D70" s="68"/>
      <c r="E70" s="42"/>
      <c r="F70" s="67"/>
    </row>
    <row r="71" spans="1:6" x14ac:dyDescent="0.2">
      <c r="A71" s="66"/>
      <c r="B71" s="67"/>
      <c r="C71" s="67"/>
      <c r="D71" s="68"/>
      <c r="E71" s="42"/>
      <c r="F71" s="67"/>
    </row>
    <row r="72" spans="1:6" x14ac:dyDescent="0.2">
      <c r="A72" s="66"/>
      <c r="B72" s="67"/>
      <c r="C72" s="67"/>
      <c r="D72" s="68"/>
      <c r="E72" s="42"/>
      <c r="F72" s="67"/>
    </row>
    <row r="73" spans="1:6" x14ac:dyDescent="0.2">
      <c r="A73" s="66"/>
      <c r="B73" s="67"/>
      <c r="C73" s="67"/>
      <c r="D73" s="68"/>
      <c r="E73" s="42"/>
      <c r="F73" s="67"/>
    </row>
    <row r="74" spans="1:6" x14ac:dyDescent="0.2">
      <c r="A74" s="66"/>
      <c r="B74" s="67"/>
      <c r="C74" s="67"/>
      <c r="D74" s="68"/>
      <c r="E74" s="42"/>
      <c r="F74" s="67"/>
    </row>
    <row r="75" spans="1:6" x14ac:dyDescent="0.2">
      <c r="A75" s="66"/>
      <c r="B75" s="67"/>
      <c r="C75" s="67"/>
      <c r="D75" s="68"/>
      <c r="E75" s="42"/>
      <c r="F75" s="67"/>
    </row>
    <row r="76" spans="1:6" x14ac:dyDescent="0.2">
      <c r="A76" s="66"/>
      <c r="B76" s="67"/>
      <c r="C76" s="67"/>
      <c r="D76" s="68"/>
      <c r="E76" s="42"/>
      <c r="F76" s="67"/>
    </row>
    <row r="77" spans="1:6" x14ac:dyDescent="0.2">
      <c r="A77" s="66"/>
      <c r="B77" s="67"/>
      <c r="C77" s="67"/>
      <c r="D77" s="68"/>
      <c r="E77" s="42"/>
      <c r="F77" s="67"/>
    </row>
    <row r="78" spans="1:6" x14ac:dyDescent="0.2">
      <c r="A78" s="66"/>
      <c r="B78" s="67"/>
      <c r="C78" s="67"/>
      <c r="D78" s="68"/>
      <c r="E78" s="42"/>
      <c r="F78" s="67"/>
    </row>
    <row r="79" spans="1:6" x14ac:dyDescent="0.2">
      <c r="A79" s="66"/>
      <c r="B79" s="67"/>
      <c r="C79" s="67"/>
      <c r="D79" s="68"/>
      <c r="E79" s="42"/>
      <c r="F79" s="67"/>
    </row>
    <row r="80" spans="1:6" x14ac:dyDescent="0.2">
      <c r="A80" s="66"/>
      <c r="B80" s="67"/>
      <c r="C80" s="67"/>
      <c r="D80" s="68"/>
      <c r="E80" s="42"/>
      <c r="F80" s="67"/>
    </row>
    <row r="81" spans="1:6" x14ac:dyDescent="0.2">
      <c r="A81" s="66"/>
      <c r="B81" s="67"/>
      <c r="C81" s="67"/>
      <c r="D81" s="68"/>
      <c r="E81" s="42"/>
      <c r="F81" s="67"/>
    </row>
    <row r="82" spans="1:6" x14ac:dyDescent="0.2">
      <c r="A82" s="66"/>
      <c r="B82" s="67"/>
      <c r="C82" s="67"/>
      <c r="D82" s="68"/>
      <c r="E82" s="42"/>
      <c r="F82" s="67"/>
    </row>
    <row r="83" spans="1:6" x14ac:dyDescent="0.2">
      <c r="A83" s="66"/>
      <c r="B83" s="67"/>
      <c r="C83" s="67"/>
      <c r="D83" s="68"/>
      <c r="E83" s="42"/>
      <c r="F83" s="67"/>
    </row>
    <row r="84" spans="1:6" x14ac:dyDescent="0.2">
      <c r="A84" s="66"/>
      <c r="B84" s="67"/>
      <c r="C84" s="67"/>
      <c r="D84" s="68"/>
      <c r="E84" s="42"/>
      <c r="F84" s="67"/>
    </row>
    <row r="85" spans="1:6" x14ac:dyDescent="0.2">
      <c r="A85" s="66"/>
      <c r="B85" s="67"/>
      <c r="C85" s="67"/>
      <c r="D85" s="68"/>
      <c r="E85" s="42"/>
      <c r="F85" s="67"/>
    </row>
    <row r="86" spans="1:6" x14ac:dyDescent="0.2">
      <c r="A86" s="66"/>
      <c r="B86" s="67"/>
      <c r="C86" s="67"/>
      <c r="D86" s="68"/>
      <c r="E86" s="42"/>
      <c r="F86" s="67"/>
    </row>
    <row r="87" spans="1:6" x14ac:dyDescent="0.2">
      <c r="A87" s="66"/>
      <c r="B87" s="67"/>
      <c r="C87" s="67"/>
      <c r="D87" s="68"/>
      <c r="E87" s="42"/>
      <c r="F87" s="67"/>
    </row>
    <row r="88" spans="1:6" x14ac:dyDescent="0.2">
      <c r="A88" s="66"/>
      <c r="B88" s="67"/>
      <c r="C88" s="67"/>
      <c r="D88" s="68"/>
      <c r="E88" s="42"/>
      <c r="F88" s="67"/>
    </row>
    <row r="89" spans="1:6" x14ac:dyDescent="0.2">
      <c r="A89" s="66"/>
      <c r="B89" s="67"/>
      <c r="C89" s="67"/>
      <c r="D89" s="68"/>
      <c r="E89" s="42"/>
      <c r="F89" s="67"/>
    </row>
    <row r="90" spans="1:6" x14ac:dyDescent="0.2">
      <c r="A90" s="66"/>
      <c r="B90" s="67"/>
      <c r="C90" s="67"/>
      <c r="D90" s="68"/>
      <c r="E90" s="42"/>
      <c r="F90" s="67"/>
    </row>
    <row r="91" spans="1:6" x14ac:dyDescent="0.2">
      <c r="A91" s="66"/>
      <c r="B91" s="67"/>
      <c r="C91" s="67"/>
      <c r="D91" s="68"/>
      <c r="E91" s="42"/>
      <c r="F91" s="67"/>
    </row>
    <row r="92" spans="1:6" x14ac:dyDescent="0.2">
      <c r="A92" s="66"/>
      <c r="B92" s="67"/>
      <c r="C92" s="67"/>
      <c r="D92" s="68"/>
      <c r="E92" s="42"/>
      <c r="F92" s="67"/>
    </row>
    <row r="93" spans="1:6" x14ac:dyDescent="0.2">
      <c r="A93" s="66"/>
      <c r="B93" s="67"/>
      <c r="C93" s="67"/>
      <c r="D93" s="68"/>
      <c r="E93" s="42"/>
      <c r="F93" s="67"/>
    </row>
    <row r="94" spans="1:6" x14ac:dyDescent="0.2">
      <c r="A94" s="66"/>
      <c r="B94" s="67"/>
      <c r="C94" s="67"/>
      <c r="D94" s="68"/>
      <c r="E94" s="42"/>
      <c r="F94" s="67"/>
    </row>
    <row r="95" spans="1:6" x14ac:dyDescent="0.2">
      <c r="A95" s="66"/>
      <c r="B95" s="67"/>
      <c r="C95" s="67"/>
      <c r="D95" s="68"/>
      <c r="E95" s="42"/>
      <c r="F95" s="67"/>
    </row>
    <row r="96" spans="1:6" x14ac:dyDescent="0.2">
      <c r="A96" s="66"/>
      <c r="B96" s="67"/>
      <c r="C96" s="67"/>
      <c r="D96" s="68"/>
      <c r="E96" s="42"/>
      <c r="F96" s="67"/>
    </row>
    <row r="97" spans="1:6" x14ac:dyDescent="0.2">
      <c r="A97" s="66"/>
      <c r="B97" s="67"/>
      <c r="C97" s="67"/>
      <c r="D97" s="68"/>
      <c r="E97" s="42"/>
      <c r="F97" s="67"/>
    </row>
    <row r="98" spans="1:6" x14ac:dyDescent="0.2">
      <c r="A98" s="66"/>
      <c r="B98" s="67"/>
      <c r="C98" s="67"/>
      <c r="D98" s="68"/>
      <c r="E98" s="42"/>
      <c r="F98" s="67"/>
    </row>
    <row r="99" spans="1:6" x14ac:dyDescent="0.2">
      <c r="A99" s="66"/>
      <c r="B99" s="67"/>
      <c r="C99" s="67"/>
      <c r="D99" s="68"/>
      <c r="E99" s="42"/>
      <c r="F99" s="67"/>
    </row>
    <row r="100" spans="1:6" x14ac:dyDescent="0.2">
      <c r="A100" s="66"/>
      <c r="B100" s="67"/>
      <c r="C100" s="67"/>
      <c r="D100" s="68"/>
      <c r="E100" s="42"/>
      <c r="F100" s="67"/>
    </row>
    <row r="101" spans="1:6" x14ac:dyDescent="0.2">
      <c r="A101" s="66"/>
      <c r="B101" s="67"/>
      <c r="C101" s="67"/>
      <c r="D101" s="68"/>
      <c r="E101" s="42"/>
      <c r="F101" s="67"/>
    </row>
    <row r="102" spans="1:6" x14ac:dyDescent="0.2">
      <c r="A102" s="66"/>
      <c r="B102" s="67"/>
      <c r="C102" s="67"/>
      <c r="D102" s="68"/>
      <c r="E102" s="42"/>
      <c r="F102" s="67"/>
    </row>
    <row r="103" spans="1:6" x14ac:dyDescent="0.2">
      <c r="A103" s="66"/>
      <c r="B103" s="67"/>
      <c r="C103" s="67"/>
      <c r="D103" s="68"/>
      <c r="E103" s="42"/>
      <c r="F103" s="67"/>
    </row>
    <row r="104" spans="1:6" x14ac:dyDescent="0.2">
      <c r="A104" s="66"/>
      <c r="B104" s="67"/>
      <c r="C104" s="67"/>
      <c r="D104" s="68"/>
      <c r="E104" s="42"/>
      <c r="F104" s="67"/>
    </row>
    <row r="105" spans="1:6" x14ac:dyDescent="0.2">
      <c r="A105" s="66"/>
      <c r="B105" s="67"/>
      <c r="C105" s="67"/>
      <c r="D105" s="68"/>
      <c r="E105" s="42"/>
      <c r="F105" s="67"/>
    </row>
    <row r="106" spans="1:6" x14ac:dyDescent="0.2">
      <c r="A106" s="66"/>
      <c r="B106" s="67"/>
      <c r="C106" s="67"/>
      <c r="D106" s="68"/>
      <c r="E106" s="42"/>
      <c r="F106" s="67"/>
    </row>
    <row r="107" spans="1:6" x14ac:dyDescent="0.2">
      <c r="A107" s="66"/>
      <c r="B107" s="67"/>
      <c r="C107" s="67"/>
      <c r="D107" s="68"/>
      <c r="E107" s="42"/>
      <c r="F107" s="67"/>
    </row>
    <row r="108" spans="1:6" x14ac:dyDescent="0.2">
      <c r="A108" s="66"/>
      <c r="B108" s="67"/>
      <c r="C108" s="67"/>
      <c r="D108" s="68"/>
      <c r="E108" s="42"/>
      <c r="F108" s="67"/>
    </row>
    <row r="109" spans="1:6" x14ac:dyDescent="0.2">
      <c r="A109" s="66"/>
      <c r="B109" s="67"/>
      <c r="C109" s="67"/>
      <c r="D109" s="68"/>
      <c r="E109" s="42"/>
      <c r="F109" s="67"/>
    </row>
    <row r="110" spans="1:6" x14ac:dyDescent="0.2">
      <c r="A110" s="66"/>
      <c r="B110" s="67"/>
      <c r="C110" s="67"/>
      <c r="D110" s="68"/>
      <c r="E110" s="42"/>
      <c r="F110" s="67"/>
    </row>
    <row r="111" spans="1:6" x14ac:dyDescent="0.2">
      <c r="A111" s="66"/>
      <c r="B111" s="67"/>
      <c r="C111" s="67"/>
      <c r="D111" s="68"/>
      <c r="E111" s="42"/>
      <c r="F111" s="67"/>
    </row>
    <row r="112" spans="1:6" x14ac:dyDescent="0.2">
      <c r="A112" s="66"/>
      <c r="B112" s="67"/>
      <c r="C112" s="67"/>
      <c r="D112" s="68"/>
      <c r="E112" s="42"/>
      <c r="F112" s="67"/>
    </row>
    <row r="113" spans="1:6" x14ac:dyDescent="0.2">
      <c r="A113" s="66"/>
      <c r="B113" s="67"/>
      <c r="C113" s="67"/>
      <c r="D113" s="68"/>
      <c r="E113" s="42"/>
      <c r="F113" s="67"/>
    </row>
    <row r="114" spans="1:6" x14ac:dyDescent="0.2">
      <c r="A114" s="66"/>
      <c r="B114" s="67"/>
      <c r="C114" s="67"/>
      <c r="D114" s="68"/>
      <c r="E114" s="42"/>
      <c r="F114" s="67"/>
    </row>
    <row r="115" spans="1:6" x14ac:dyDescent="0.2">
      <c r="A115" s="66"/>
      <c r="B115" s="67"/>
      <c r="C115" s="67"/>
      <c r="D115" s="68"/>
      <c r="E115" s="42"/>
      <c r="F115" s="67"/>
    </row>
    <row r="116" spans="1:6" x14ac:dyDescent="0.2">
      <c r="A116" s="66"/>
      <c r="B116" s="67"/>
      <c r="C116" s="67"/>
      <c r="D116" s="68"/>
      <c r="E116" s="42"/>
      <c r="F116" s="67"/>
    </row>
    <row r="117" spans="1:6" x14ac:dyDescent="0.2">
      <c r="A117" s="66"/>
      <c r="B117" s="67"/>
      <c r="C117" s="67"/>
      <c r="D117" s="68"/>
      <c r="E117" s="42"/>
      <c r="F117" s="67"/>
    </row>
    <row r="118" spans="1:6" x14ac:dyDescent="0.2">
      <c r="A118" s="66"/>
      <c r="B118" s="67"/>
      <c r="C118" s="67"/>
      <c r="D118" s="68"/>
      <c r="E118" s="42"/>
      <c r="F118" s="67"/>
    </row>
    <row r="119" spans="1:6" x14ac:dyDescent="0.2">
      <c r="A119" s="66"/>
      <c r="B119" s="67"/>
      <c r="C119" s="67"/>
      <c r="D119" s="68"/>
      <c r="E119" s="42"/>
      <c r="F119" s="67"/>
    </row>
    <row r="120" spans="1:6" x14ac:dyDescent="0.2">
      <c r="A120" s="66"/>
      <c r="B120" s="67"/>
      <c r="C120" s="67"/>
      <c r="D120" s="68"/>
      <c r="E120" s="42"/>
      <c r="F120" s="67"/>
    </row>
    <row r="121" spans="1:6" x14ac:dyDescent="0.2">
      <c r="A121" s="66"/>
      <c r="B121" s="67"/>
      <c r="C121" s="67"/>
      <c r="D121" s="68"/>
      <c r="E121" s="42"/>
      <c r="F121" s="67"/>
    </row>
    <row r="122" spans="1:6" x14ac:dyDescent="0.2">
      <c r="A122" s="66"/>
      <c r="B122" s="67"/>
      <c r="C122" s="67"/>
      <c r="D122" s="68"/>
      <c r="E122" s="42"/>
      <c r="F122" s="67"/>
    </row>
    <row r="123" spans="1:6" x14ac:dyDescent="0.2">
      <c r="A123" s="66"/>
      <c r="B123" s="67"/>
      <c r="C123" s="67"/>
      <c r="D123" s="68"/>
      <c r="E123" s="42"/>
      <c r="F123" s="67"/>
    </row>
    <row r="124" spans="1:6" x14ac:dyDescent="0.2">
      <c r="A124" s="66"/>
      <c r="B124" s="67"/>
      <c r="C124" s="67"/>
      <c r="D124" s="68"/>
      <c r="E124" s="42"/>
      <c r="F124" s="67"/>
    </row>
    <row r="125" spans="1:6" x14ac:dyDescent="0.2">
      <c r="A125" s="66"/>
      <c r="B125" s="67"/>
      <c r="C125" s="67"/>
      <c r="D125" s="68"/>
      <c r="E125" s="42"/>
      <c r="F125" s="67"/>
    </row>
    <row r="126" spans="1:6" x14ac:dyDescent="0.2">
      <c r="A126" s="66"/>
      <c r="B126" s="67"/>
      <c r="C126" s="67"/>
      <c r="D126" s="68"/>
      <c r="E126" s="42"/>
      <c r="F126" s="67"/>
    </row>
    <row r="127" spans="1:6" x14ac:dyDescent="0.2">
      <c r="A127" s="66"/>
      <c r="B127" s="67"/>
      <c r="C127" s="67"/>
      <c r="D127" s="68"/>
      <c r="E127" s="42"/>
      <c r="F127" s="67"/>
    </row>
    <row r="128" spans="1:6" x14ac:dyDescent="0.2">
      <c r="A128" s="66"/>
      <c r="B128" s="67"/>
      <c r="C128" s="67"/>
      <c r="D128" s="68"/>
      <c r="E128" s="42"/>
      <c r="F128" s="67"/>
    </row>
    <row r="129" spans="1:6" x14ac:dyDescent="0.2">
      <c r="A129" s="66"/>
      <c r="B129" s="67"/>
      <c r="C129" s="67"/>
      <c r="D129" s="68"/>
      <c r="E129" s="42"/>
      <c r="F129" s="67"/>
    </row>
    <row r="130" spans="1:6" x14ac:dyDescent="0.2">
      <c r="A130" s="66"/>
      <c r="B130" s="67"/>
      <c r="C130" s="67"/>
      <c r="D130" s="68"/>
      <c r="E130" s="42"/>
      <c r="F130" s="67"/>
    </row>
    <row r="131" spans="1:6" x14ac:dyDescent="0.2">
      <c r="A131" s="66"/>
      <c r="B131" s="67"/>
      <c r="C131" s="67"/>
      <c r="D131" s="68"/>
      <c r="E131" s="42"/>
      <c r="F131" s="67"/>
    </row>
    <row r="132" spans="1:6" x14ac:dyDescent="0.2">
      <c r="A132" s="66"/>
      <c r="B132" s="67"/>
      <c r="C132" s="67"/>
      <c r="D132" s="68"/>
      <c r="E132" s="42"/>
      <c r="F132" s="67"/>
    </row>
    <row r="133" spans="1:6" x14ac:dyDescent="0.2">
      <c r="A133" s="66"/>
      <c r="B133" s="67"/>
      <c r="C133" s="67"/>
      <c r="D133" s="68"/>
      <c r="E133" s="42"/>
      <c r="F133" s="67"/>
    </row>
    <row r="134" spans="1:6" x14ac:dyDescent="0.2">
      <c r="A134" s="66"/>
      <c r="B134" s="67"/>
      <c r="C134" s="67"/>
      <c r="D134" s="68"/>
      <c r="E134" s="42"/>
      <c r="F134" s="67"/>
    </row>
    <row r="135" spans="1:6" x14ac:dyDescent="0.2">
      <c r="A135" s="66"/>
      <c r="B135" s="67"/>
      <c r="C135" s="67"/>
      <c r="D135" s="68"/>
      <c r="E135" s="42"/>
      <c r="F135" s="67"/>
    </row>
    <row r="136" spans="1:6" x14ac:dyDescent="0.2">
      <c r="A136" s="66"/>
      <c r="B136" s="67"/>
      <c r="C136" s="67"/>
      <c r="D136" s="68"/>
      <c r="E136" s="42"/>
      <c r="F136" s="67"/>
    </row>
    <row r="137" spans="1:6" x14ac:dyDescent="0.2">
      <c r="A137" s="66"/>
      <c r="B137" s="67"/>
      <c r="C137" s="67"/>
      <c r="D137" s="68"/>
      <c r="E137" s="42"/>
      <c r="F137" s="67"/>
    </row>
    <row r="138" spans="1:6" x14ac:dyDescent="0.2">
      <c r="A138" s="66"/>
      <c r="B138" s="67"/>
      <c r="C138" s="67"/>
      <c r="D138" s="68"/>
      <c r="E138" s="42"/>
      <c r="F138" s="67"/>
    </row>
    <row r="139" spans="1:6" x14ac:dyDescent="0.2">
      <c r="A139" s="66"/>
      <c r="B139" s="67"/>
      <c r="C139" s="67"/>
      <c r="D139" s="68"/>
      <c r="E139" s="42"/>
      <c r="F139" s="67"/>
    </row>
    <row r="140" spans="1:6" x14ac:dyDescent="0.2">
      <c r="A140" s="66"/>
      <c r="B140" s="67"/>
      <c r="C140" s="67"/>
      <c r="D140" s="68"/>
      <c r="E140" s="42"/>
      <c r="F140" s="67"/>
    </row>
    <row r="141" spans="1:6" x14ac:dyDescent="0.2">
      <c r="A141" s="66"/>
      <c r="B141" s="67"/>
      <c r="C141" s="67"/>
      <c r="D141" s="68"/>
      <c r="E141" s="42"/>
      <c r="F141" s="67"/>
    </row>
    <row r="142" spans="1:6" x14ac:dyDescent="0.2">
      <c r="A142" s="66"/>
      <c r="B142" s="67"/>
      <c r="C142" s="67"/>
      <c r="D142" s="68"/>
      <c r="E142" s="42"/>
      <c r="F142" s="67"/>
    </row>
    <row r="143" spans="1:6" x14ac:dyDescent="0.2">
      <c r="A143" s="66"/>
      <c r="B143" s="67"/>
      <c r="C143" s="67"/>
      <c r="D143" s="68"/>
      <c r="E143" s="42"/>
      <c r="F143" s="67"/>
    </row>
    <row r="144" spans="1:6" x14ac:dyDescent="0.2">
      <c r="A144" s="66"/>
      <c r="B144" s="67"/>
      <c r="C144" s="67"/>
      <c r="D144" s="68"/>
      <c r="E144" s="42"/>
      <c r="F144" s="67"/>
    </row>
    <row r="145" spans="1:6" x14ac:dyDescent="0.2">
      <c r="A145" s="66"/>
      <c r="B145" s="67"/>
      <c r="C145" s="67"/>
      <c r="D145" s="68"/>
      <c r="E145" s="42"/>
      <c r="F145" s="67"/>
    </row>
    <row r="146" spans="1:6" x14ac:dyDescent="0.2">
      <c r="A146" s="66"/>
      <c r="B146" s="67"/>
      <c r="C146" s="67"/>
      <c r="D146" s="68"/>
      <c r="E146" s="42"/>
      <c r="F146" s="67"/>
    </row>
    <row r="147" spans="1:6" x14ac:dyDescent="0.2">
      <c r="A147" s="66"/>
      <c r="B147" s="67"/>
      <c r="C147" s="67"/>
      <c r="D147" s="68"/>
      <c r="E147" s="42"/>
      <c r="F147" s="67"/>
    </row>
    <row r="148" spans="1:6" x14ac:dyDescent="0.2">
      <c r="A148" s="66"/>
      <c r="B148" s="67"/>
      <c r="C148" s="67"/>
      <c r="D148" s="68"/>
      <c r="E148" s="42"/>
      <c r="F148" s="67"/>
    </row>
    <row r="149" spans="1:6" x14ac:dyDescent="0.2">
      <c r="A149" s="66"/>
      <c r="B149" s="67"/>
      <c r="C149" s="67"/>
      <c r="D149" s="68"/>
      <c r="E149" s="42"/>
      <c r="F149" s="67"/>
    </row>
    <row r="150" spans="1:6" x14ac:dyDescent="0.2">
      <c r="A150" s="66"/>
      <c r="B150" s="67"/>
      <c r="C150" s="67"/>
      <c r="D150" s="68"/>
      <c r="E150" s="42"/>
      <c r="F150" s="67"/>
    </row>
    <row r="151" spans="1:6" x14ac:dyDescent="0.2">
      <c r="A151" s="66"/>
      <c r="B151" s="67"/>
      <c r="C151" s="67"/>
      <c r="D151" s="68"/>
      <c r="E151" s="42"/>
      <c r="F151" s="67"/>
    </row>
    <row r="152" spans="1:6" x14ac:dyDescent="0.2">
      <c r="A152" s="66"/>
      <c r="B152" s="67"/>
      <c r="C152" s="67"/>
      <c r="D152" s="68"/>
      <c r="E152" s="42"/>
      <c r="F152" s="67"/>
    </row>
    <row r="153" spans="1:6" x14ac:dyDescent="0.2">
      <c r="A153" s="66"/>
      <c r="B153" s="67"/>
      <c r="C153" s="67"/>
      <c r="D153" s="68"/>
      <c r="E153" s="42"/>
      <c r="F153" s="67"/>
    </row>
    <row r="154" spans="1:6" x14ac:dyDescent="0.2">
      <c r="A154" s="66"/>
      <c r="B154" s="67"/>
      <c r="C154" s="67"/>
      <c r="D154" s="68"/>
      <c r="E154" s="42"/>
      <c r="F154" s="67"/>
    </row>
    <row r="155" spans="1:6" x14ac:dyDescent="0.2">
      <c r="A155" s="66"/>
      <c r="B155" s="67"/>
      <c r="C155" s="67"/>
      <c r="D155" s="68"/>
      <c r="E155" s="42"/>
      <c r="F155" s="67"/>
    </row>
    <row r="156" spans="1:6" x14ac:dyDescent="0.2">
      <c r="A156" s="66"/>
      <c r="B156" s="67"/>
      <c r="C156" s="67"/>
      <c r="D156" s="68"/>
      <c r="E156" s="42"/>
      <c r="F156" s="67"/>
    </row>
    <row r="157" spans="1:6" x14ac:dyDescent="0.2">
      <c r="A157" s="66"/>
      <c r="B157" s="67"/>
      <c r="C157" s="67"/>
      <c r="D157" s="68"/>
      <c r="E157" s="42"/>
      <c r="F157" s="67"/>
    </row>
    <row r="158" spans="1:6" x14ac:dyDescent="0.2">
      <c r="A158" s="66"/>
      <c r="B158" s="67"/>
      <c r="C158" s="67"/>
      <c r="D158" s="68"/>
      <c r="E158" s="42"/>
      <c r="F158" s="67"/>
    </row>
    <row r="159" spans="1:6" x14ac:dyDescent="0.2">
      <c r="A159" s="66"/>
      <c r="B159" s="67"/>
      <c r="C159" s="67"/>
      <c r="D159" s="68"/>
      <c r="E159" s="42"/>
      <c r="F159" s="67"/>
    </row>
    <row r="160" spans="1:6" x14ac:dyDescent="0.2">
      <c r="A160" s="66"/>
      <c r="B160" s="67"/>
      <c r="C160" s="67"/>
      <c r="D160" s="68"/>
      <c r="E160" s="42"/>
      <c r="F160" s="67"/>
    </row>
    <row r="161" spans="1:6" x14ac:dyDescent="0.2">
      <c r="A161" s="66"/>
      <c r="B161" s="67"/>
      <c r="C161" s="67"/>
      <c r="D161" s="68"/>
      <c r="E161" s="42"/>
      <c r="F161" s="67"/>
    </row>
    <row r="162" spans="1:6" x14ac:dyDescent="0.2">
      <c r="A162" s="66"/>
      <c r="B162" s="67"/>
      <c r="C162" s="67"/>
      <c r="D162" s="68"/>
      <c r="E162" s="42"/>
      <c r="F162" s="67"/>
    </row>
    <row r="163" spans="1:6" x14ac:dyDescent="0.2">
      <c r="A163" s="66"/>
      <c r="B163" s="67"/>
      <c r="C163" s="67"/>
      <c r="D163" s="68"/>
      <c r="E163" s="42"/>
      <c r="F163" s="67"/>
    </row>
    <row r="164" spans="1:6" x14ac:dyDescent="0.2">
      <c r="A164" s="66"/>
      <c r="B164" s="67"/>
      <c r="C164" s="67"/>
      <c r="D164" s="68"/>
      <c r="E164" s="42"/>
      <c r="F164" s="67"/>
    </row>
    <row r="165" spans="1:6" x14ac:dyDescent="0.2">
      <c r="A165" s="66"/>
      <c r="B165" s="67"/>
      <c r="C165" s="67"/>
      <c r="D165" s="68"/>
      <c r="E165" s="42"/>
      <c r="F165" s="67"/>
    </row>
    <row r="166" spans="1:6" x14ac:dyDescent="0.2">
      <c r="A166" s="66"/>
      <c r="B166" s="67"/>
      <c r="C166" s="67"/>
      <c r="D166" s="68"/>
      <c r="E166" s="42"/>
      <c r="F166" s="67"/>
    </row>
    <row r="167" spans="1:6" x14ac:dyDescent="0.2">
      <c r="A167" s="66"/>
      <c r="B167" s="67"/>
      <c r="C167" s="67"/>
      <c r="D167" s="68"/>
      <c r="E167" s="42"/>
      <c r="F167" s="67"/>
    </row>
    <row r="168" spans="1:6" x14ac:dyDescent="0.2">
      <c r="A168" s="66"/>
      <c r="B168" s="67"/>
      <c r="C168" s="67"/>
      <c r="D168" s="68"/>
      <c r="E168" s="42"/>
      <c r="F168" s="67"/>
    </row>
    <row r="169" spans="1:6" x14ac:dyDescent="0.2">
      <c r="A169" s="66"/>
      <c r="B169" s="67"/>
      <c r="C169" s="67"/>
      <c r="D169" s="68"/>
      <c r="E169" s="42"/>
      <c r="F169" s="67"/>
    </row>
    <row r="170" spans="1:6" x14ac:dyDescent="0.2">
      <c r="A170" s="66"/>
      <c r="B170" s="67"/>
      <c r="C170" s="67"/>
      <c r="D170" s="68"/>
      <c r="E170" s="42"/>
      <c r="F170" s="67"/>
    </row>
    <row r="171" spans="1:6" x14ac:dyDescent="0.2">
      <c r="A171" s="66"/>
      <c r="B171" s="67"/>
      <c r="C171" s="67"/>
      <c r="D171" s="68"/>
      <c r="E171" s="42"/>
      <c r="F171" s="67"/>
    </row>
    <row r="172" spans="1:6" x14ac:dyDescent="0.2">
      <c r="A172" s="66"/>
      <c r="B172" s="67"/>
      <c r="C172" s="67"/>
      <c r="D172" s="68"/>
      <c r="E172" s="42"/>
      <c r="F172" s="67"/>
    </row>
    <row r="173" spans="1:6" x14ac:dyDescent="0.2">
      <c r="A173" s="66"/>
      <c r="B173" s="67"/>
      <c r="C173" s="67"/>
      <c r="D173" s="68"/>
      <c r="E173" s="42"/>
      <c r="F173" s="67"/>
    </row>
    <row r="174" spans="1:6" x14ac:dyDescent="0.2">
      <c r="A174" s="66"/>
      <c r="B174" s="67"/>
      <c r="C174" s="67"/>
      <c r="D174" s="68"/>
      <c r="E174" s="42"/>
      <c r="F174" s="67"/>
    </row>
    <row r="175" spans="1:6" x14ac:dyDescent="0.2">
      <c r="A175" s="66"/>
      <c r="B175" s="67"/>
      <c r="C175" s="67"/>
      <c r="D175" s="68"/>
      <c r="E175" s="42"/>
      <c r="F175" s="67"/>
    </row>
    <row r="176" spans="1:6" x14ac:dyDescent="0.2">
      <c r="A176" s="66"/>
      <c r="B176" s="67"/>
      <c r="C176" s="67"/>
      <c r="D176" s="68"/>
      <c r="E176" s="42"/>
      <c r="F176" s="67"/>
    </row>
    <row r="177" spans="1:6" x14ac:dyDescent="0.2">
      <c r="A177" s="66"/>
      <c r="B177" s="67"/>
      <c r="C177" s="67"/>
      <c r="D177" s="68"/>
      <c r="E177" s="42"/>
      <c r="F177" s="67"/>
    </row>
    <row r="178" spans="1:6" x14ac:dyDescent="0.2">
      <c r="A178" s="66"/>
      <c r="B178" s="67"/>
      <c r="C178" s="67"/>
      <c r="D178" s="68"/>
      <c r="E178" s="42"/>
      <c r="F178" s="67"/>
    </row>
    <row r="179" spans="1:6" x14ac:dyDescent="0.2">
      <c r="A179" s="66"/>
      <c r="B179" s="67"/>
      <c r="C179" s="67"/>
      <c r="D179" s="68"/>
      <c r="E179" s="42"/>
      <c r="F179" s="67"/>
    </row>
    <row r="180" spans="1:6" x14ac:dyDescent="0.2">
      <c r="A180" s="66"/>
      <c r="B180" s="67"/>
      <c r="C180" s="67"/>
      <c r="D180" s="68"/>
      <c r="E180" s="42"/>
      <c r="F180" s="67"/>
    </row>
    <row r="181" spans="1:6" x14ac:dyDescent="0.2">
      <c r="A181" s="66"/>
      <c r="B181" s="67"/>
      <c r="C181" s="67"/>
      <c r="D181" s="68"/>
      <c r="E181" s="42"/>
      <c r="F181" s="67"/>
    </row>
    <row r="182" spans="1:6" x14ac:dyDescent="0.2">
      <c r="A182" s="66"/>
      <c r="B182" s="67"/>
      <c r="C182" s="67"/>
      <c r="D182" s="68"/>
      <c r="E182" s="42"/>
      <c r="F182" s="67"/>
    </row>
    <row r="183" spans="1:6" x14ac:dyDescent="0.2">
      <c r="A183" s="66"/>
      <c r="B183" s="67"/>
      <c r="C183" s="67"/>
      <c r="D183" s="68"/>
      <c r="E183" s="42"/>
      <c r="F183" s="67"/>
    </row>
    <row r="184" spans="1:6" x14ac:dyDescent="0.2">
      <c r="A184" s="66"/>
      <c r="B184" s="67"/>
      <c r="C184" s="67"/>
      <c r="D184" s="68"/>
      <c r="E184" s="42"/>
      <c r="F184" s="67"/>
    </row>
    <row r="185" spans="1:6" x14ac:dyDescent="0.2">
      <c r="A185" s="66"/>
      <c r="B185" s="67"/>
      <c r="C185" s="67"/>
      <c r="D185" s="68"/>
      <c r="E185" s="42"/>
      <c r="F185" s="67"/>
    </row>
    <row r="186" spans="1:6" x14ac:dyDescent="0.2">
      <c r="A186" s="66"/>
      <c r="B186" s="67"/>
      <c r="C186" s="67"/>
      <c r="D186" s="68"/>
      <c r="E186" s="42"/>
      <c r="F186" s="67"/>
    </row>
    <row r="187" spans="1:6" x14ac:dyDescent="0.2">
      <c r="A187" s="66"/>
      <c r="B187" s="67"/>
      <c r="C187" s="67"/>
      <c r="D187" s="68"/>
      <c r="E187" s="42"/>
      <c r="F187" s="67"/>
    </row>
    <row r="188" spans="1:6" x14ac:dyDescent="0.2">
      <c r="A188" s="66"/>
      <c r="B188" s="67"/>
      <c r="C188" s="67"/>
      <c r="D188" s="68"/>
      <c r="E188" s="42"/>
      <c r="F188" s="67"/>
    </row>
    <row r="189" spans="1:6" x14ac:dyDescent="0.2">
      <c r="A189" s="66"/>
      <c r="B189" s="67"/>
      <c r="C189" s="67"/>
      <c r="D189" s="68"/>
      <c r="E189" s="42"/>
      <c r="F189" s="67"/>
    </row>
    <row r="190" spans="1:6" x14ac:dyDescent="0.2">
      <c r="A190" s="66"/>
      <c r="B190" s="67"/>
      <c r="C190" s="67"/>
      <c r="D190" s="68"/>
      <c r="E190" s="42"/>
      <c r="F190" s="67"/>
    </row>
    <row r="191" spans="1:6" x14ac:dyDescent="0.2">
      <c r="A191" s="66"/>
      <c r="B191" s="67"/>
      <c r="C191" s="67"/>
      <c r="D191" s="68"/>
      <c r="E191" s="42"/>
      <c r="F191" s="67"/>
    </row>
    <row r="192" spans="1:6" x14ac:dyDescent="0.2">
      <c r="A192" s="66"/>
      <c r="B192" s="67"/>
      <c r="C192" s="67"/>
      <c r="D192" s="68"/>
      <c r="E192" s="42"/>
      <c r="F192" s="67"/>
    </row>
    <row r="193" spans="1:6" x14ac:dyDescent="0.2">
      <c r="A193" s="66"/>
      <c r="B193" s="67"/>
      <c r="C193" s="67"/>
      <c r="D193" s="68"/>
      <c r="E193" s="42"/>
      <c r="F193" s="67"/>
    </row>
    <row r="194" spans="1:6" x14ac:dyDescent="0.2">
      <c r="A194" s="66"/>
      <c r="B194" s="67"/>
      <c r="C194" s="67"/>
      <c r="D194" s="68"/>
      <c r="E194" s="42"/>
      <c r="F194" s="67"/>
    </row>
    <row r="195" spans="1:6" x14ac:dyDescent="0.2">
      <c r="A195" s="66"/>
      <c r="B195" s="67"/>
      <c r="C195" s="67"/>
      <c r="D195" s="68"/>
      <c r="E195" s="42"/>
      <c r="F195" s="67"/>
    </row>
    <row r="196" spans="1:6" x14ac:dyDescent="0.2">
      <c r="A196" s="66"/>
      <c r="B196" s="67"/>
      <c r="C196" s="67"/>
      <c r="D196" s="68"/>
      <c r="E196" s="42"/>
      <c r="F196" s="67"/>
    </row>
    <row r="197" spans="1:6" x14ac:dyDescent="0.2">
      <c r="A197" s="66"/>
      <c r="B197" s="67"/>
      <c r="C197" s="67"/>
      <c r="D197" s="68"/>
      <c r="E197" s="42"/>
      <c r="F197" s="67"/>
    </row>
    <row r="198" spans="1:6" x14ac:dyDescent="0.2">
      <c r="A198" s="66"/>
      <c r="B198" s="67"/>
      <c r="C198" s="67"/>
      <c r="D198" s="68"/>
      <c r="E198" s="42"/>
      <c r="F198" s="67"/>
    </row>
    <row r="199" spans="1:6" x14ac:dyDescent="0.2">
      <c r="A199" s="66"/>
      <c r="B199" s="67"/>
      <c r="C199" s="67"/>
      <c r="D199" s="68"/>
      <c r="E199" s="42"/>
      <c r="F199" s="67"/>
    </row>
    <row r="200" spans="1:6" x14ac:dyDescent="0.2">
      <c r="A200" s="66"/>
      <c r="B200" s="67"/>
      <c r="C200" s="67"/>
      <c r="D200" s="68"/>
      <c r="E200" s="42"/>
      <c r="F200" s="67"/>
    </row>
    <row r="201" spans="1:6" x14ac:dyDescent="0.2">
      <c r="A201" s="66"/>
      <c r="B201" s="67"/>
      <c r="C201" s="67"/>
      <c r="D201" s="68"/>
      <c r="E201" s="42"/>
      <c r="F201" s="67"/>
    </row>
    <row r="202" spans="1:6" x14ac:dyDescent="0.2">
      <c r="A202" s="66"/>
      <c r="B202" s="67"/>
      <c r="C202" s="67"/>
      <c r="D202" s="68"/>
      <c r="E202" s="42"/>
      <c r="F202" s="67"/>
    </row>
    <row r="203" spans="1:6" x14ac:dyDescent="0.2">
      <c r="A203" s="66"/>
      <c r="B203" s="67"/>
      <c r="C203" s="67"/>
      <c r="D203" s="68"/>
      <c r="E203" s="42"/>
      <c r="F203" s="67"/>
    </row>
    <row r="204" spans="1:6" x14ac:dyDescent="0.2">
      <c r="A204" s="66"/>
      <c r="B204" s="67"/>
      <c r="C204" s="67"/>
      <c r="D204" s="68"/>
      <c r="E204" s="42"/>
      <c r="F204" s="67"/>
    </row>
    <row r="205" spans="1:6" x14ac:dyDescent="0.2">
      <c r="A205" s="66"/>
      <c r="B205" s="67"/>
      <c r="C205" s="67"/>
      <c r="D205" s="68"/>
      <c r="E205" s="42"/>
      <c r="F205" s="67"/>
    </row>
    <row r="206" spans="1:6" x14ac:dyDescent="0.2">
      <c r="A206" s="66"/>
      <c r="B206" s="67"/>
      <c r="C206" s="67"/>
      <c r="D206" s="68"/>
      <c r="E206" s="42"/>
      <c r="F206" s="67"/>
    </row>
    <row r="207" spans="1:6" x14ac:dyDescent="0.2">
      <c r="A207" s="66"/>
      <c r="B207" s="67"/>
      <c r="C207" s="67"/>
      <c r="D207" s="68"/>
      <c r="E207" s="42"/>
      <c r="F207" s="67"/>
    </row>
    <row r="208" spans="1:6" x14ac:dyDescent="0.2">
      <c r="A208" s="66"/>
      <c r="B208" s="67"/>
      <c r="C208" s="67"/>
      <c r="D208" s="68"/>
      <c r="E208" s="42"/>
      <c r="F208" s="67"/>
    </row>
    <row r="209" spans="1:6" x14ac:dyDescent="0.2">
      <c r="A209" s="66"/>
      <c r="B209" s="67"/>
      <c r="C209" s="67"/>
      <c r="D209" s="68"/>
      <c r="E209" s="42"/>
      <c r="F209" s="67"/>
    </row>
    <row r="210" spans="1:6" x14ac:dyDescent="0.2">
      <c r="A210" s="66"/>
      <c r="B210" s="67"/>
      <c r="C210" s="67"/>
      <c r="D210" s="68"/>
      <c r="E210" s="42"/>
      <c r="F210" s="67"/>
    </row>
    <row r="211" spans="1:6" x14ac:dyDescent="0.2">
      <c r="A211" s="66"/>
      <c r="B211" s="67"/>
      <c r="C211" s="67"/>
      <c r="D211" s="68"/>
      <c r="E211" s="42"/>
      <c r="F211" s="67"/>
    </row>
    <row r="212" spans="1:6" x14ac:dyDescent="0.2">
      <c r="A212" s="66"/>
      <c r="B212" s="67"/>
      <c r="C212" s="67"/>
      <c r="D212" s="68"/>
      <c r="E212" s="42"/>
      <c r="F212" s="67"/>
    </row>
    <row r="213" spans="1:6" x14ac:dyDescent="0.2">
      <c r="A213" s="66"/>
      <c r="B213" s="67"/>
      <c r="C213" s="67"/>
      <c r="D213" s="68"/>
      <c r="E213" s="42"/>
      <c r="F213" s="67"/>
    </row>
    <row r="214" spans="1:6" x14ac:dyDescent="0.2">
      <c r="A214" s="66"/>
      <c r="B214" s="67"/>
      <c r="C214" s="67"/>
      <c r="D214" s="68"/>
      <c r="E214" s="42"/>
      <c r="F214" s="67"/>
    </row>
    <row r="215" spans="1:6" x14ac:dyDescent="0.2">
      <c r="A215" s="66"/>
      <c r="B215" s="67"/>
      <c r="C215" s="67"/>
      <c r="D215" s="68"/>
      <c r="E215" s="42"/>
      <c r="F215" s="67"/>
    </row>
    <row r="216" spans="1:6" x14ac:dyDescent="0.2">
      <c r="A216" s="66"/>
      <c r="B216" s="67"/>
      <c r="C216" s="67"/>
      <c r="D216" s="68"/>
      <c r="E216" s="42"/>
      <c r="F216" s="67"/>
    </row>
    <row r="217" spans="1:6" x14ac:dyDescent="0.2">
      <c r="A217" s="66"/>
      <c r="B217" s="67"/>
      <c r="C217" s="67"/>
      <c r="D217" s="68"/>
      <c r="E217" s="42"/>
      <c r="F217" s="67"/>
    </row>
    <row r="218" spans="1:6" x14ac:dyDescent="0.2">
      <c r="A218" s="66"/>
      <c r="B218" s="67"/>
      <c r="C218" s="67"/>
      <c r="D218" s="68"/>
      <c r="E218" s="42"/>
      <c r="F218" s="67"/>
    </row>
    <row r="219" spans="1:6" x14ac:dyDescent="0.2">
      <c r="A219" s="66"/>
      <c r="B219" s="67"/>
      <c r="C219" s="67"/>
      <c r="D219" s="68"/>
      <c r="E219" s="42"/>
      <c r="F219" s="67"/>
    </row>
    <row r="220" spans="1:6" x14ac:dyDescent="0.2">
      <c r="A220" s="66"/>
      <c r="B220" s="67"/>
      <c r="C220" s="67"/>
      <c r="D220" s="68"/>
      <c r="E220" s="42"/>
      <c r="F220" s="67"/>
    </row>
    <row r="221" spans="1:6" x14ac:dyDescent="0.2">
      <c r="A221" s="66"/>
      <c r="B221" s="67"/>
      <c r="C221" s="67"/>
      <c r="D221" s="68"/>
      <c r="E221" s="42"/>
      <c r="F221" s="67"/>
    </row>
    <row r="222" spans="1:6" x14ac:dyDescent="0.2">
      <c r="A222" s="66"/>
      <c r="B222" s="67"/>
      <c r="C222" s="67"/>
      <c r="D222" s="68"/>
      <c r="E222" s="42"/>
      <c r="F222" s="67"/>
    </row>
    <row r="223" spans="1:6" x14ac:dyDescent="0.2">
      <c r="A223" s="66"/>
      <c r="B223" s="67"/>
      <c r="C223" s="67"/>
      <c r="D223" s="68"/>
      <c r="E223" s="42"/>
      <c r="F223" s="67"/>
    </row>
    <row r="224" spans="1:6" x14ac:dyDescent="0.2">
      <c r="A224" s="66"/>
      <c r="B224" s="67"/>
      <c r="C224" s="67"/>
      <c r="D224" s="68"/>
      <c r="E224" s="42"/>
      <c r="F224" s="67"/>
    </row>
    <row r="225" spans="1:6" x14ac:dyDescent="0.2">
      <c r="A225" s="66"/>
      <c r="B225" s="67"/>
      <c r="C225" s="67"/>
      <c r="D225" s="68"/>
      <c r="E225" s="42"/>
      <c r="F225" s="67"/>
    </row>
    <row r="226" spans="1:6" x14ac:dyDescent="0.2">
      <c r="A226" s="66"/>
      <c r="B226" s="67"/>
      <c r="C226" s="67"/>
      <c r="D226" s="68"/>
      <c r="E226" s="42"/>
      <c r="F226" s="67"/>
    </row>
    <row r="227" spans="1:6" x14ac:dyDescent="0.2">
      <c r="A227" s="66"/>
      <c r="B227" s="67"/>
      <c r="C227" s="67"/>
      <c r="D227" s="68"/>
      <c r="E227" s="42"/>
      <c r="F227" s="67"/>
    </row>
    <row r="228" spans="1:6" x14ac:dyDescent="0.2">
      <c r="A228" s="66"/>
      <c r="B228" s="67"/>
      <c r="C228" s="67"/>
      <c r="D228" s="68"/>
      <c r="E228" s="42"/>
      <c r="F228" s="67"/>
    </row>
    <row r="229" spans="1:6" x14ac:dyDescent="0.2">
      <c r="A229" s="66"/>
      <c r="B229" s="67"/>
      <c r="C229" s="67"/>
      <c r="D229" s="68"/>
      <c r="E229" s="42"/>
      <c r="F229" s="67"/>
    </row>
    <row r="230" spans="1:6" x14ac:dyDescent="0.2">
      <c r="A230" s="66"/>
      <c r="B230" s="67"/>
      <c r="C230" s="67"/>
      <c r="D230" s="68"/>
      <c r="E230" s="42"/>
      <c r="F230" s="67"/>
    </row>
    <row r="231" spans="1:6" x14ac:dyDescent="0.2">
      <c r="A231" s="66"/>
      <c r="B231" s="67"/>
      <c r="C231" s="67"/>
      <c r="D231" s="68"/>
      <c r="E231" s="42"/>
      <c r="F231" s="67"/>
    </row>
    <row r="232" spans="1:6" x14ac:dyDescent="0.2">
      <c r="A232" s="66"/>
      <c r="B232" s="67"/>
      <c r="C232" s="67"/>
      <c r="D232" s="68"/>
      <c r="E232" s="42"/>
      <c r="F232" s="67"/>
    </row>
    <row r="233" spans="1:6" x14ac:dyDescent="0.2">
      <c r="A233" s="66"/>
      <c r="B233" s="67"/>
      <c r="C233" s="67"/>
      <c r="D233" s="68"/>
      <c r="E233" s="42"/>
      <c r="F233" s="67"/>
    </row>
    <row r="234" spans="1:6" x14ac:dyDescent="0.2">
      <c r="A234" s="66"/>
      <c r="B234" s="67"/>
      <c r="C234" s="67"/>
      <c r="D234" s="68"/>
      <c r="E234" s="42"/>
      <c r="F234" s="67"/>
    </row>
    <row r="235" spans="1:6" x14ac:dyDescent="0.2">
      <c r="A235" s="66"/>
      <c r="B235" s="67"/>
      <c r="C235" s="67"/>
      <c r="D235" s="68"/>
      <c r="E235" s="42"/>
      <c r="F235" s="67"/>
    </row>
    <row r="236" spans="1:6" x14ac:dyDescent="0.2">
      <c r="A236" s="66"/>
      <c r="B236" s="67"/>
      <c r="C236" s="67"/>
      <c r="D236" s="68"/>
      <c r="E236" s="42"/>
      <c r="F236" s="67"/>
    </row>
    <row r="237" spans="1:6" x14ac:dyDescent="0.2">
      <c r="A237" s="66"/>
      <c r="B237" s="67"/>
      <c r="C237" s="67"/>
      <c r="D237" s="68"/>
      <c r="E237" s="42"/>
      <c r="F237" s="67"/>
    </row>
    <row r="238" spans="1:6" x14ac:dyDescent="0.2">
      <c r="A238" s="66"/>
      <c r="B238" s="67"/>
      <c r="C238" s="67"/>
      <c r="D238" s="68"/>
      <c r="E238" s="42"/>
      <c r="F238" s="67"/>
    </row>
    <row r="239" spans="1:6" x14ac:dyDescent="0.2">
      <c r="A239" s="66"/>
      <c r="B239" s="67"/>
      <c r="C239" s="67"/>
      <c r="D239" s="68"/>
      <c r="E239" s="42"/>
      <c r="F239" s="67"/>
    </row>
    <row r="240" spans="1:6" x14ac:dyDescent="0.2">
      <c r="A240" s="66"/>
      <c r="B240" s="67"/>
      <c r="C240" s="67"/>
      <c r="D240" s="68"/>
      <c r="E240" s="42"/>
      <c r="F240" s="67"/>
    </row>
    <row r="241" spans="1:6" x14ac:dyDescent="0.2">
      <c r="A241" s="66"/>
      <c r="B241" s="67"/>
      <c r="C241" s="67"/>
      <c r="D241" s="68"/>
      <c r="E241" s="42"/>
      <c r="F241" s="67"/>
    </row>
    <row r="242" spans="1:6" x14ac:dyDescent="0.2">
      <c r="A242" s="66"/>
      <c r="B242" s="67"/>
      <c r="C242" s="67"/>
      <c r="D242" s="68"/>
      <c r="E242" s="42"/>
      <c r="F242" s="67"/>
    </row>
    <row r="243" spans="1:6" x14ac:dyDescent="0.2">
      <c r="A243" s="66"/>
      <c r="B243" s="67"/>
      <c r="C243" s="67"/>
      <c r="D243" s="68"/>
      <c r="E243" s="42"/>
      <c r="F243" s="67"/>
    </row>
    <row r="244" spans="1:6" x14ac:dyDescent="0.2">
      <c r="A244" s="66"/>
      <c r="B244" s="67"/>
      <c r="C244" s="67"/>
      <c r="D244" s="68"/>
      <c r="E244" s="42"/>
      <c r="F244" s="67"/>
    </row>
    <row r="245" spans="1:6" x14ac:dyDescent="0.2">
      <c r="A245" s="66"/>
      <c r="B245" s="67"/>
      <c r="C245" s="67"/>
      <c r="D245" s="68"/>
      <c r="E245" s="42"/>
      <c r="F245" s="67"/>
    </row>
    <row r="246" spans="1:6" x14ac:dyDescent="0.2">
      <c r="A246" s="66"/>
      <c r="B246" s="67"/>
      <c r="C246" s="67"/>
      <c r="D246" s="68"/>
      <c r="E246" s="42"/>
      <c r="F246" s="67"/>
    </row>
    <row r="247" spans="1:6" x14ac:dyDescent="0.2">
      <c r="A247" s="66"/>
      <c r="B247" s="67"/>
      <c r="C247" s="67"/>
      <c r="D247" s="68"/>
      <c r="E247" s="42"/>
      <c r="F247" s="67"/>
    </row>
    <row r="248" spans="1:6" x14ac:dyDescent="0.2">
      <c r="A248" s="66"/>
      <c r="B248" s="67"/>
      <c r="C248" s="67"/>
      <c r="D248" s="68"/>
      <c r="E248" s="42"/>
      <c r="F248" s="67"/>
    </row>
    <row r="249" spans="1:6" x14ac:dyDescent="0.2">
      <c r="A249" s="66"/>
      <c r="B249" s="67"/>
      <c r="C249" s="67"/>
      <c r="D249" s="68"/>
      <c r="E249" s="42"/>
      <c r="F249" s="67"/>
    </row>
    <row r="250" spans="1:6" x14ac:dyDescent="0.2">
      <c r="A250" s="66"/>
      <c r="B250" s="67"/>
      <c r="C250" s="67"/>
      <c r="D250" s="68"/>
      <c r="E250" s="42"/>
      <c r="F250" s="67"/>
    </row>
    <row r="251" spans="1:6" x14ac:dyDescent="0.2">
      <c r="A251" s="66"/>
      <c r="B251" s="67"/>
      <c r="C251" s="67"/>
      <c r="D251" s="68"/>
      <c r="E251" s="42"/>
      <c r="F251" s="67"/>
    </row>
    <row r="252" spans="1:6" x14ac:dyDescent="0.2">
      <c r="A252" s="66"/>
      <c r="B252" s="67"/>
      <c r="C252" s="67"/>
      <c r="D252" s="68"/>
      <c r="E252" s="42"/>
      <c r="F252" s="67"/>
    </row>
    <row r="253" spans="1:6" x14ac:dyDescent="0.2">
      <c r="A253" s="66"/>
      <c r="B253" s="67"/>
      <c r="C253" s="67"/>
      <c r="D253" s="68"/>
      <c r="E253" s="42"/>
      <c r="F253" s="67"/>
    </row>
    <row r="254" spans="1:6" x14ac:dyDescent="0.2">
      <c r="A254" s="66"/>
      <c r="B254" s="67"/>
      <c r="C254" s="67"/>
      <c r="D254" s="68"/>
      <c r="E254" s="42"/>
      <c r="F254" s="67"/>
    </row>
    <row r="255" spans="1:6" x14ac:dyDescent="0.2">
      <c r="A255" s="66"/>
      <c r="B255" s="67"/>
      <c r="C255" s="67"/>
      <c r="D255" s="68"/>
      <c r="E255" s="42"/>
      <c r="F255" s="67"/>
    </row>
    <row r="256" spans="1:6" x14ac:dyDescent="0.2">
      <c r="A256" s="66"/>
      <c r="B256" s="67"/>
      <c r="C256" s="67"/>
      <c r="D256" s="68"/>
      <c r="E256" s="42"/>
      <c r="F256" s="67"/>
    </row>
    <row r="257" spans="1:6" x14ac:dyDescent="0.2">
      <c r="A257" s="66"/>
      <c r="B257" s="67"/>
      <c r="C257" s="67"/>
      <c r="D257" s="68"/>
      <c r="E257" s="42"/>
      <c r="F257" s="67"/>
    </row>
    <row r="258" spans="1:6" x14ac:dyDescent="0.2">
      <c r="A258" s="66"/>
      <c r="B258" s="67"/>
      <c r="C258" s="67"/>
      <c r="D258" s="68"/>
      <c r="E258" s="42"/>
      <c r="F258" s="67"/>
    </row>
    <row r="259" spans="1:6" x14ac:dyDescent="0.2">
      <c r="A259" s="66"/>
      <c r="B259" s="67"/>
      <c r="C259" s="67"/>
      <c r="D259" s="68"/>
      <c r="E259" s="42"/>
      <c r="F259" s="67"/>
    </row>
    <row r="260" spans="1:6" x14ac:dyDescent="0.2">
      <c r="A260" s="66"/>
      <c r="B260" s="67"/>
      <c r="C260" s="67"/>
      <c r="D260" s="68"/>
      <c r="E260" s="42"/>
      <c r="F260" s="67"/>
    </row>
    <row r="261" spans="1:6" x14ac:dyDescent="0.2">
      <c r="A261" s="66"/>
      <c r="B261" s="67"/>
      <c r="C261" s="67"/>
      <c r="D261" s="68"/>
      <c r="E261" s="42"/>
      <c r="F261" s="67"/>
    </row>
    <row r="262" spans="1:6" x14ac:dyDescent="0.2">
      <c r="A262" s="66"/>
      <c r="B262" s="67"/>
      <c r="C262" s="67"/>
      <c r="D262" s="68"/>
      <c r="E262" s="42"/>
      <c r="F262" s="67"/>
    </row>
    <row r="263" spans="1:6" x14ac:dyDescent="0.2">
      <c r="A263" s="66"/>
      <c r="B263" s="67"/>
      <c r="C263" s="67"/>
      <c r="D263" s="68"/>
      <c r="E263" s="42"/>
      <c r="F263" s="67"/>
    </row>
    <row r="264" spans="1:6" x14ac:dyDescent="0.2">
      <c r="A264" s="66"/>
      <c r="B264" s="67"/>
      <c r="C264" s="67"/>
      <c r="D264" s="68"/>
      <c r="E264" s="42"/>
      <c r="F264" s="67"/>
    </row>
    <row r="265" spans="1:6" x14ac:dyDescent="0.2">
      <c r="A265" s="66"/>
      <c r="B265" s="67"/>
      <c r="C265" s="67"/>
      <c r="D265" s="68"/>
      <c r="E265" s="42"/>
      <c r="F265" s="67"/>
    </row>
    <row r="266" spans="1:6" x14ac:dyDescent="0.2">
      <c r="A266" s="66"/>
      <c r="B266" s="67"/>
      <c r="C266" s="67"/>
      <c r="D266" s="68"/>
      <c r="E266" s="42"/>
      <c r="F266" s="67"/>
    </row>
    <row r="267" spans="1:6" x14ac:dyDescent="0.2">
      <c r="A267" s="66"/>
      <c r="B267" s="67"/>
      <c r="C267" s="67"/>
      <c r="D267" s="68"/>
      <c r="E267" s="42"/>
      <c r="F267" s="67"/>
    </row>
    <row r="268" spans="1:6" x14ac:dyDescent="0.2">
      <c r="A268" s="66"/>
      <c r="B268" s="67"/>
      <c r="C268" s="67"/>
      <c r="D268" s="68"/>
      <c r="E268" s="42"/>
      <c r="F268" s="67"/>
    </row>
    <row r="269" spans="1:6" x14ac:dyDescent="0.2">
      <c r="A269" s="66"/>
      <c r="B269" s="67"/>
      <c r="C269" s="67"/>
      <c r="D269" s="68"/>
      <c r="E269" s="42"/>
      <c r="F269" s="67"/>
    </row>
    <row r="270" spans="1:6" x14ac:dyDescent="0.2">
      <c r="A270" s="66"/>
      <c r="B270" s="67"/>
      <c r="C270" s="67"/>
      <c r="D270" s="68"/>
      <c r="E270" s="42"/>
      <c r="F270" s="67"/>
    </row>
    <row r="271" spans="1:6" x14ac:dyDescent="0.2">
      <c r="A271" s="66"/>
      <c r="B271" s="67"/>
      <c r="C271" s="67"/>
      <c r="D271" s="68"/>
      <c r="E271" s="42"/>
      <c r="F271" s="67"/>
    </row>
    <row r="272" spans="1:6" x14ac:dyDescent="0.2">
      <c r="A272" s="66"/>
      <c r="B272" s="67"/>
      <c r="C272" s="67"/>
      <c r="D272" s="68"/>
      <c r="E272" s="42"/>
      <c r="F272" s="67"/>
    </row>
    <row r="273" spans="1:6" x14ac:dyDescent="0.2">
      <c r="A273" s="66"/>
      <c r="B273" s="67"/>
      <c r="C273" s="67"/>
      <c r="D273" s="68"/>
      <c r="E273" s="42"/>
      <c r="F273" s="67"/>
    </row>
    <row r="274" spans="1:6" x14ac:dyDescent="0.2">
      <c r="A274" s="66"/>
      <c r="B274" s="67"/>
      <c r="C274" s="67"/>
      <c r="D274" s="68"/>
      <c r="E274" s="42"/>
      <c r="F274" s="67"/>
    </row>
    <row r="275" spans="1:6" x14ac:dyDescent="0.2">
      <c r="A275" s="66"/>
      <c r="B275" s="67"/>
      <c r="C275" s="67"/>
      <c r="D275" s="68"/>
      <c r="E275" s="42"/>
      <c r="F275" s="67"/>
    </row>
    <row r="276" spans="1:6" x14ac:dyDescent="0.2">
      <c r="A276" s="66"/>
      <c r="B276" s="67"/>
      <c r="C276" s="67"/>
      <c r="D276" s="68"/>
      <c r="E276" s="42"/>
      <c r="F276" s="67"/>
    </row>
    <row r="277" spans="1:6" x14ac:dyDescent="0.2">
      <c r="A277" s="66"/>
      <c r="B277" s="67"/>
      <c r="C277" s="67"/>
      <c r="D277" s="68"/>
      <c r="E277" s="42"/>
      <c r="F277" s="67"/>
    </row>
    <row r="278" spans="1:6" x14ac:dyDescent="0.2">
      <c r="A278" s="66"/>
      <c r="B278" s="67"/>
      <c r="C278" s="67"/>
      <c r="D278" s="68"/>
      <c r="E278" s="42"/>
      <c r="F278" s="67"/>
    </row>
    <row r="279" spans="1:6" x14ac:dyDescent="0.2">
      <c r="A279" s="66"/>
      <c r="B279" s="67"/>
      <c r="C279" s="67"/>
      <c r="D279" s="68"/>
      <c r="E279" s="42"/>
      <c r="F279" s="67"/>
    </row>
    <row r="280" spans="1:6" x14ac:dyDescent="0.2">
      <c r="A280" s="66"/>
      <c r="B280" s="67"/>
      <c r="C280" s="67"/>
      <c r="D280" s="68"/>
      <c r="E280" s="42"/>
      <c r="F280" s="67"/>
    </row>
    <row r="281" spans="1:6" x14ac:dyDescent="0.2">
      <c r="A281" s="66"/>
      <c r="B281" s="67"/>
      <c r="C281" s="67"/>
      <c r="D281" s="68"/>
      <c r="E281" s="42"/>
      <c r="F281" s="67"/>
    </row>
    <row r="282" spans="1:6" x14ac:dyDescent="0.2">
      <c r="A282" s="66"/>
      <c r="B282" s="67"/>
      <c r="C282" s="67"/>
      <c r="D282" s="68"/>
      <c r="E282" s="42"/>
      <c r="F282" s="67"/>
    </row>
    <row r="283" spans="1:6" x14ac:dyDescent="0.2">
      <c r="A283" s="66"/>
      <c r="B283" s="67"/>
      <c r="C283" s="67"/>
      <c r="D283" s="68"/>
      <c r="E283" s="42"/>
      <c r="F283" s="67"/>
    </row>
    <row r="284" spans="1:6" x14ac:dyDescent="0.2">
      <c r="A284" s="66"/>
      <c r="B284" s="67"/>
      <c r="C284" s="67"/>
      <c r="D284" s="68"/>
      <c r="E284" s="42"/>
      <c r="F284" s="67"/>
    </row>
    <row r="285" spans="1:6" x14ac:dyDescent="0.2">
      <c r="A285" s="66"/>
      <c r="B285" s="67"/>
      <c r="C285" s="67"/>
      <c r="D285" s="68"/>
      <c r="E285" s="42"/>
      <c r="F285" s="67"/>
    </row>
    <row r="286" spans="1:6" x14ac:dyDescent="0.2">
      <c r="A286" s="66"/>
      <c r="B286" s="67"/>
      <c r="C286" s="67"/>
      <c r="D286" s="68"/>
      <c r="E286" s="42"/>
      <c r="F286" s="67"/>
    </row>
    <row r="287" spans="1:6" x14ac:dyDescent="0.2">
      <c r="A287" s="66"/>
      <c r="B287" s="67"/>
      <c r="C287" s="67"/>
      <c r="D287" s="68"/>
      <c r="E287" s="42"/>
      <c r="F287" s="67"/>
    </row>
    <row r="288" spans="1:6" x14ac:dyDescent="0.2">
      <c r="A288" s="66"/>
      <c r="B288" s="67"/>
      <c r="C288" s="67"/>
      <c r="D288" s="68"/>
      <c r="E288" s="42"/>
      <c r="F288" s="67"/>
    </row>
    <row r="289" spans="1:6" x14ac:dyDescent="0.2">
      <c r="A289" s="66"/>
      <c r="B289" s="67"/>
      <c r="C289" s="67"/>
      <c r="D289" s="68"/>
      <c r="E289" s="42"/>
      <c r="F289" s="67"/>
    </row>
    <row r="290" spans="1:6" x14ac:dyDescent="0.2">
      <c r="A290" s="66"/>
      <c r="B290" s="67"/>
      <c r="C290" s="67"/>
      <c r="D290" s="68"/>
      <c r="E290" s="42"/>
      <c r="F290" s="67"/>
    </row>
    <row r="291" spans="1:6" x14ac:dyDescent="0.2">
      <c r="A291" s="66"/>
      <c r="B291" s="67"/>
      <c r="C291" s="67"/>
      <c r="D291" s="68"/>
      <c r="E291" s="42"/>
      <c r="F291" s="67"/>
    </row>
    <row r="292" spans="1:6" x14ac:dyDescent="0.2">
      <c r="A292" s="66"/>
      <c r="B292" s="67"/>
      <c r="C292" s="67"/>
      <c r="D292" s="68"/>
      <c r="E292" s="42"/>
      <c r="F292" s="67"/>
    </row>
    <row r="293" spans="1:6" x14ac:dyDescent="0.2">
      <c r="A293" s="66"/>
      <c r="B293" s="67"/>
      <c r="C293" s="67"/>
      <c r="D293" s="68"/>
      <c r="E293" s="42"/>
      <c r="F293" s="67"/>
    </row>
    <row r="294" spans="1:6" x14ac:dyDescent="0.2">
      <c r="A294" s="66"/>
      <c r="B294" s="67"/>
      <c r="C294" s="67"/>
      <c r="D294" s="68"/>
      <c r="E294" s="42"/>
      <c r="F294" s="67"/>
    </row>
    <row r="295" spans="1:6" x14ac:dyDescent="0.2">
      <c r="A295" s="66"/>
      <c r="B295" s="67"/>
      <c r="C295" s="67"/>
      <c r="D295" s="68"/>
      <c r="E295" s="42"/>
      <c r="F295" s="67"/>
    </row>
    <row r="296" spans="1:6" x14ac:dyDescent="0.2">
      <c r="A296" s="66"/>
      <c r="B296" s="67"/>
      <c r="C296" s="67"/>
      <c r="D296" s="68"/>
      <c r="E296" s="42"/>
      <c r="F296" s="67"/>
    </row>
    <row r="297" spans="1:6" x14ac:dyDescent="0.2">
      <c r="A297" s="66"/>
      <c r="B297" s="67"/>
      <c r="C297" s="67"/>
      <c r="D297" s="68"/>
      <c r="E297" s="42"/>
      <c r="F297" s="67"/>
    </row>
    <row r="298" spans="1:6" x14ac:dyDescent="0.2">
      <c r="A298" s="66"/>
      <c r="B298" s="67"/>
      <c r="C298" s="67"/>
      <c r="D298" s="68"/>
      <c r="E298" s="42"/>
      <c r="F298" s="67"/>
    </row>
    <row r="299" spans="1:6" x14ac:dyDescent="0.2">
      <c r="A299" s="66"/>
      <c r="B299" s="67"/>
      <c r="C299" s="67"/>
      <c r="D299" s="68"/>
      <c r="E299" s="42"/>
      <c r="F299" s="67"/>
    </row>
    <row r="300" spans="1:6" x14ac:dyDescent="0.2">
      <c r="A300" s="66"/>
      <c r="B300" s="67"/>
      <c r="C300" s="67"/>
      <c r="D300" s="68"/>
      <c r="E300" s="42"/>
      <c r="F300" s="67"/>
    </row>
    <row r="301" spans="1:6" x14ac:dyDescent="0.2">
      <c r="A301" s="66"/>
      <c r="B301" s="67"/>
      <c r="C301" s="67"/>
      <c r="D301" s="68"/>
      <c r="E301" s="42"/>
      <c r="F301" s="67"/>
    </row>
    <row r="302" spans="1:6" x14ac:dyDescent="0.2">
      <c r="A302" s="66"/>
      <c r="B302" s="67"/>
      <c r="C302" s="67"/>
      <c r="D302" s="68"/>
      <c r="E302" s="42"/>
      <c r="F302" s="67"/>
    </row>
    <row r="303" spans="1:6" x14ac:dyDescent="0.2">
      <c r="A303" s="66"/>
      <c r="B303" s="67"/>
      <c r="C303" s="67"/>
      <c r="D303" s="68"/>
      <c r="E303" s="42"/>
      <c r="F303" s="67"/>
    </row>
    <row r="304" spans="1:6" x14ac:dyDescent="0.2">
      <c r="A304" s="66"/>
      <c r="B304" s="67"/>
      <c r="C304" s="67"/>
      <c r="D304" s="68"/>
      <c r="E304" s="42"/>
      <c r="F304" s="67"/>
    </row>
    <row r="305" spans="1:6" x14ac:dyDescent="0.2">
      <c r="A305" s="66"/>
      <c r="B305" s="67"/>
      <c r="C305" s="67"/>
      <c r="D305" s="68"/>
      <c r="E305" s="42"/>
      <c r="F305" s="67"/>
    </row>
    <row r="306" spans="1:6" x14ac:dyDescent="0.2">
      <c r="A306" s="66"/>
      <c r="B306" s="67"/>
      <c r="C306" s="67"/>
      <c r="D306" s="68"/>
      <c r="E306" s="42"/>
      <c r="F306" s="67"/>
    </row>
    <row r="307" spans="1:6" x14ac:dyDescent="0.2">
      <c r="A307" s="66"/>
      <c r="B307" s="67"/>
      <c r="C307" s="67"/>
      <c r="D307" s="68"/>
      <c r="E307" s="42"/>
      <c r="F307" s="67"/>
    </row>
    <row r="308" spans="1:6" x14ac:dyDescent="0.2">
      <c r="A308" s="66"/>
      <c r="B308" s="67"/>
      <c r="C308" s="67"/>
      <c r="D308" s="68"/>
      <c r="E308" s="42"/>
      <c r="F308" s="67"/>
    </row>
    <row r="309" spans="1:6" x14ac:dyDescent="0.2">
      <c r="A309" s="66"/>
      <c r="B309" s="67"/>
      <c r="C309" s="67"/>
      <c r="D309" s="68"/>
      <c r="E309" s="42"/>
      <c r="F309" s="67"/>
    </row>
    <row r="310" spans="1:6" x14ac:dyDescent="0.2">
      <c r="A310" s="66"/>
      <c r="B310" s="67"/>
      <c r="C310" s="67"/>
      <c r="D310" s="68"/>
      <c r="E310" s="42"/>
      <c r="F310" s="67"/>
    </row>
    <row r="311" spans="1:6" x14ac:dyDescent="0.2">
      <c r="A311" s="66"/>
      <c r="B311" s="67"/>
      <c r="C311" s="67"/>
      <c r="D311" s="68"/>
      <c r="E311" s="42"/>
      <c r="F311" s="67"/>
    </row>
    <row r="312" spans="1:6" x14ac:dyDescent="0.2">
      <c r="A312" s="66"/>
      <c r="B312" s="67"/>
      <c r="C312" s="67"/>
      <c r="D312" s="68"/>
      <c r="E312" s="42"/>
      <c r="F312" s="67"/>
    </row>
    <row r="313" spans="1:6" x14ac:dyDescent="0.2">
      <c r="A313" s="66"/>
      <c r="B313" s="67"/>
      <c r="C313" s="67"/>
      <c r="D313" s="68"/>
      <c r="E313" s="42"/>
      <c r="F313" s="67"/>
    </row>
    <row r="314" spans="1:6" x14ac:dyDescent="0.2">
      <c r="A314" s="66"/>
      <c r="B314" s="67"/>
      <c r="C314" s="67"/>
      <c r="D314" s="68"/>
      <c r="E314" s="42"/>
      <c r="F314" s="67"/>
    </row>
    <row r="315" spans="1:6" x14ac:dyDescent="0.2">
      <c r="A315" s="66"/>
      <c r="B315" s="67"/>
      <c r="C315" s="67"/>
      <c r="D315" s="68"/>
      <c r="E315" s="42"/>
      <c r="F315" s="67"/>
    </row>
    <row r="316" spans="1:6" x14ac:dyDescent="0.2">
      <c r="A316" s="66"/>
      <c r="B316" s="67"/>
      <c r="C316" s="67"/>
      <c r="D316" s="68"/>
      <c r="E316" s="42"/>
      <c r="F316" s="67"/>
    </row>
    <row r="317" spans="1:6" x14ac:dyDescent="0.2">
      <c r="A317" s="66"/>
      <c r="B317" s="67"/>
      <c r="C317" s="67"/>
      <c r="D317" s="68"/>
      <c r="E317" s="42"/>
      <c r="F317" s="67"/>
    </row>
    <row r="318" spans="1:6" x14ac:dyDescent="0.2">
      <c r="A318" s="66"/>
      <c r="B318" s="67"/>
      <c r="C318" s="67"/>
      <c r="D318" s="68"/>
      <c r="E318" s="42"/>
      <c r="F318" s="67"/>
    </row>
    <row r="319" spans="1:6" x14ac:dyDescent="0.2">
      <c r="A319" s="66"/>
      <c r="B319" s="67"/>
      <c r="C319" s="67"/>
      <c r="D319" s="68"/>
      <c r="E319" s="42"/>
      <c r="F319" s="67"/>
    </row>
    <row r="320" spans="1:6" x14ac:dyDescent="0.2">
      <c r="A320" s="66"/>
      <c r="B320" s="67"/>
      <c r="C320" s="67"/>
      <c r="D320" s="68"/>
      <c r="E320" s="42"/>
      <c r="F320" s="67"/>
    </row>
    <row r="321" spans="1:6" x14ac:dyDescent="0.2">
      <c r="A321" s="66"/>
      <c r="B321" s="67"/>
      <c r="C321" s="67"/>
      <c r="D321" s="68"/>
      <c r="E321" s="42"/>
      <c r="F321" s="67"/>
    </row>
    <row r="322" spans="1:6" x14ac:dyDescent="0.2">
      <c r="A322" s="66"/>
      <c r="B322" s="67"/>
      <c r="C322" s="67"/>
      <c r="D322" s="68"/>
      <c r="E322" s="42"/>
      <c r="F322" s="67"/>
    </row>
    <row r="323" spans="1:6" x14ac:dyDescent="0.2">
      <c r="A323" s="66"/>
      <c r="B323" s="67"/>
      <c r="C323" s="67"/>
      <c r="D323" s="68"/>
      <c r="E323" s="42"/>
      <c r="F323" s="67"/>
    </row>
    <row r="324" spans="1:6" x14ac:dyDescent="0.2">
      <c r="A324" s="66"/>
      <c r="B324" s="67"/>
      <c r="C324" s="67"/>
      <c r="D324" s="68"/>
      <c r="E324" s="42"/>
      <c r="F324" s="67"/>
    </row>
    <row r="325" spans="1:6" x14ac:dyDescent="0.2">
      <c r="A325" s="66"/>
      <c r="B325" s="67"/>
      <c r="C325" s="67"/>
      <c r="D325" s="68"/>
      <c r="E325" s="42"/>
      <c r="F325" s="67"/>
    </row>
    <row r="326" spans="1:6" x14ac:dyDescent="0.2">
      <c r="A326" s="66"/>
      <c r="B326" s="67"/>
      <c r="C326" s="67"/>
      <c r="D326" s="68"/>
      <c r="E326" s="42"/>
      <c r="F326" s="67"/>
    </row>
    <row r="327" spans="1:6" x14ac:dyDescent="0.2">
      <c r="A327" s="66"/>
      <c r="B327" s="67"/>
      <c r="C327" s="67"/>
      <c r="D327" s="68"/>
      <c r="E327" s="42"/>
      <c r="F327" s="67"/>
    </row>
    <row r="328" spans="1:6" x14ac:dyDescent="0.2">
      <c r="A328" s="66"/>
      <c r="B328" s="67"/>
      <c r="C328" s="67"/>
      <c r="D328" s="68"/>
      <c r="E328" s="42"/>
      <c r="F328" s="67"/>
    </row>
    <row r="329" spans="1:6" x14ac:dyDescent="0.2">
      <c r="A329" s="66"/>
      <c r="B329" s="67"/>
      <c r="C329" s="67"/>
      <c r="D329" s="68"/>
      <c r="E329" s="42"/>
      <c r="F329" s="67"/>
    </row>
    <row r="330" spans="1:6" x14ac:dyDescent="0.2">
      <c r="A330" s="66"/>
      <c r="B330" s="67"/>
      <c r="C330" s="67"/>
      <c r="D330" s="68"/>
      <c r="E330" s="42"/>
      <c r="F330" s="67"/>
    </row>
    <row r="331" spans="1:6" x14ac:dyDescent="0.2">
      <c r="A331" s="66"/>
      <c r="B331" s="67"/>
      <c r="C331" s="67"/>
      <c r="D331" s="68"/>
      <c r="E331" s="42"/>
      <c r="F331" s="67"/>
    </row>
    <row r="332" spans="1:6" x14ac:dyDescent="0.2">
      <c r="A332" s="66"/>
      <c r="B332" s="67"/>
      <c r="C332" s="67"/>
      <c r="D332" s="68"/>
      <c r="E332" s="42"/>
      <c r="F332" s="67"/>
    </row>
    <row r="333" spans="1:6" x14ac:dyDescent="0.2">
      <c r="A333" s="66"/>
      <c r="B333" s="67"/>
      <c r="C333" s="67"/>
      <c r="D333" s="68"/>
      <c r="E333" s="42"/>
      <c r="F333" s="67"/>
    </row>
    <row r="334" spans="1:6" x14ac:dyDescent="0.2">
      <c r="A334" s="66"/>
      <c r="B334" s="67"/>
      <c r="C334" s="67"/>
      <c r="D334" s="68"/>
      <c r="E334" s="42"/>
      <c r="F334" s="67"/>
    </row>
    <row r="335" spans="1:6" x14ac:dyDescent="0.2">
      <c r="A335" s="66"/>
      <c r="B335" s="67"/>
      <c r="C335" s="67"/>
      <c r="D335" s="68"/>
      <c r="E335" s="42"/>
      <c r="F335" s="67"/>
    </row>
    <row r="336" spans="1:6" x14ac:dyDescent="0.2">
      <c r="A336" s="66"/>
      <c r="B336" s="67"/>
      <c r="C336" s="67"/>
      <c r="D336" s="68"/>
      <c r="E336" s="42"/>
      <c r="F336" s="67"/>
    </row>
    <row r="337" spans="1:6" x14ac:dyDescent="0.2">
      <c r="A337" s="66"/>
      <c r="B337" s="67"/>
      <c r="C337" s="67"/>
      <c r="D337" s="68"/>
      <c r="E337" s="42"/>
      <c r="F337" s="67"/>
    </row>
    <row r="338" spans="1:6" x14ac:dyDescent="0.2">
      <c r="A338" s="66"/>
      <c r="B338" s="67"/>
      <c r="C338" s="67"/>
      <c r="D338" s="68"/>
      <c r="E338" s="42"/>
      <c r="F338" s="67"/>
    </row>
    <row r="339" spans="1:6" x14ac:dyDescent="0.2">
      <c r="A339" s="66"/>
      <c r="B339" s="67"/>
      <c r="C339" s="67"/>
      <c r="D339" s="68"/>
      <c r="E339" s="42"/>
      <c r="F339" s="67"/>
    </row>
    <row r="340" spans="1:6" x14ac:dyDescent="0.2">
      <c r="A340" s="66"/>
      <c r="B340" s="67"/>
      <c r="C340" s="67"/>
      <c r="D340" s="68"/>
      <c r="E340" s="42"/>
      <c r="F340" s="67"/>
    </row>
    <row r="341" spans="1:6" x14ac:dyDescent="0.2">
      <c r="A341" s="66"/>
      <c r="B341" s="67"/>
      <c r="C341" s="67"/>
      <c r="D341" s="68"/>
      <c r="E341" s="42"/>
      <c r="F341" s="67"/>
    </row>
    <row r="342" spans="1:6" x14ac:dyDescent="0.2">
      <c r="A342" s="66"/>
      <c r="B342" s="67"/>
      <c r="C342" s="67"/>
      <c r="D342" s="68"/>
      <c r="E342" s="42"/>
      <c r="F342" s="67"/>
    </row>
    <row r="343" spans="1:6" x14ac:dyDescent="0.2">
      <c r="A343" s="66"/>
      <c r="B343" s="67"/>
      <c r="C343" s="67"/>
      <c r="D343" s="68"/>
      <c r="E343" s="42"/>
      <c r="F343" s="67"/>
    </row>
    <row r="344" spans="1:6" x14ac:dyDescent="0.2">
      <c r="A344" s="66"/>
      <c r="B344" s="67"/>
      <c r="C344" s="67"/>
      <c r="D344" s="68"/>
      <c r="E344" s="42"/>
      <c r="F344" s="67"/>
    </row>
    <row r="345" spans="1:6" x14ac:dyDescent="0.2">
      <c r="A345" s="66"/>
      <c r="B345" s="67"/>
      <c r="C345" s="67"/>
      <c r="D345" s="68"/>
      <c r="E345" s="42"/>
      <c r="F345" s="67"/>
    </row>
    <row r="346" spans="1:6" x14ac:dyDescent="0.2">
      <c r="A346" s="66"/>
      <c r="B346" s="67"/>
      <c r="C346" s="67"/>
      <c r="D346" s="68"/>
      <c r="E346" s="42"/>
      <c r="F346" s="67"/>
    </row>
    <row r="347" spans="1:6" x14ac:dyDescent="0.2">
      <c r="A347" s="66"/>
      <c r="B347" s="67"/>
      <c r="C347" s="67"/>
      <c r="D347" s="68"/>
      <c r="E347" s="42"/>
      <c r="F347" s="67"/>
    </row>
    <row r="348" spans="1:6" x14ac:dyDescent="0.2">
      <c r="A348" s="66"/>
      <c r="B348" s="67"/>
      <c r="C348" s="67"/>
      <c r="D348" s="68"/>
      <c r="E348" s="42"/>
      <c r="F348" s="67"/>
    </row>
    <row r="349" spans="1:6" x14ac:dyDescent="0.2">
      <c r="A349" s="66"/>
      <c r="B349" s="67"/>
      <c r="C349" s="67"/>
      <c r="D349" s="68"/>
      <c r="E349" s="42"/>
      <c r="F349" s="67"/>
    </row>
    <row r="350" spans="1:6" x14ac:dyDescent="0.2">
      <c r="A350" s="66"/>
      <c r="B350" s="67"/>
      <c r="C350" s="67"/>
      <c r="D350" s="68"/>
      <c r="E350" s="42"/>
      <c r="F350" s="67"/>
    </row>
    <row r="351" spans="1:6" x14ac:dyDescent="0.2">
      <c r="A351" s="66"/>
      <c r="B351" s="67"/>
      <c r="C351" s="67"/>
      <c r="D351" s="68"/>
      <c r="E351" s="42"/>
      <c r="F351" s="67"/>
    </row>
    <row r="352" spans="1:6" x14ac:dyDescent="0.2">
      <c r="A352" s="66"/>
      <c r="B352" s="67"/>
      <c r="C352" s="67"/>
      <c r="D352" s="68"/>
      <c r="E352" s="42"/>
      <c r="F352" s="67"/>
    </row>
    <row r="353" spans="1:6" x14ac:dyDescent="0.2">
      <c r="A353" s="66"/>
      <c r="B353" s="67"/>
      <c r="C353" s="67"/>
      <c r="D353" s="68"/>
      <c r="E353" s="42"/>
      <c r="F353" s="67"/>
    </row>
    <row r="354" spans="1:6" x14ac:dyDescent="0.2">
      <c r="A354" s="66"/>
      <c r="B354" s="67"/>
      <c r="C354" s="67"/>
      <c r="D354" s="68"/>
      <c r="E354" s="42"/>
      <c r="F354" s="67"/>
    </row>
    <row r="355" spans="1:6" x14ac:dyDescent="0.2">
      <c r="A355" s="66"/>
      <c r="B355" s="67"/>
      <c r="C355" s="67"/>
      <c r="D355" s="68"/>
      <c r="E355" s="42"/>
      <c r="F355" s="67"/>
    </row>
    <row r="356" spans="1:6" x14ac:dyDescent="0.2">
      <c r="A356" s="66"/>
      <c r="B356" s="67"/>
      <c r="C356" s="67"/>
      <c r="D356" s="68"/>
      <c r="E356" s="42"/>
      <c r="F356" s="67"/>
    </row>
    <row r="357" spans="1:6" x14ac:dyDescent="0.2">
      <c r="A357" s="66"/>
      <c r="B357" s="67"/>
      <c r="C357" s="67"/>
      <c r="D357" s="68"/>
      <c r="E357" s="42"/>
      <c r="F357" s="67"/>
    </row>
    <row r="358" spans="1:6" x14ac:dyDescent="0.2">
      <c r="A358" s="66"/>
      <c r="B358" s="67"/>
      <c r="C358" s="67"/>
      <c r="D358" s="68"/>
      <c r="E358" s="42"/>
      <c r="F358" s="67"/>
    </row>
    <row r="359" spans="1:6" x14ac:dyDescent="0.2">
      <c r="A359" s="66"/>
      <c r="B359" s="67"/>
      <c r="C359" s="67"/>
      <c r="D359" s="68"/>
      <c r="E359" s="42"/>
      <c r="F359" s="67"/>
    </row>
    <row r="360" spans="1:6" x14ac:dyDescent="0.2">
      <c r="A360" s="66"/>
      <c r="B360" s="67"/>
      <c r="C360" s="67"/>
      <c r="D360" s="68"/>
      <c r="E360" s="42"/>
      <c r="F360" s="67"/>
    </row>
    <row r="361" spans="1:6" x14ac:dyDescent="0.2">
      <c r="A361" s="66"/>
      <c r="B361" s="67"/>
      <c r="C361" s="67"/>
      <c r="D361" s="68"/>
      <c r="E361" s="42"/>
      <c r="F361" s="67"/>
    </row>
    <row r="362" spans="1:6" x14ac:dyDescent="0.2">
      <c r="A362" s="66"/>
      <c r="B362" s="67"/>
      <c r="C362" s="67"/>
      <c r="D362" s="68"/>
      <c r="E362" s="42"/>
      <c r="F362" s="67"/>
    </row>
    <row r="363" spans="1:6" x14ac:dyDescent="0.2">
      <c r="A363" s="66"/>
      <c r="B363" s="67"/>
      <c r="C363" s="67"/>
      <c r="D363" s="68"/>
      <c r="E363" s="42"/>
      <c r="F363" s="67"/>
    </row>
    <row r="364" spans="1:6" x14ac:dyDescent="0.2">
      <c r="A364" s="66"/>
      <c r="B364" s="67"/>
      <c r="C364" s="67"/>
      <c r="D364" s="68"/>
      <c r="E364" s="42"/>
      <c r="F364" s="67"/>
    </row>
    <row r="365" spans="1:6" x14ac:dyDescent="0.2">
      <c r="A365" s="66"/>
      <c r="B365" s="67"/>
      <c r="C365" s="67"/>
      <c r="D365" s="68"/>
      <c r="E365" s="42"/>
      <c r="F365" s="67"/>
    </row>
    <row r="366" spans="1:6" x14ac:dyDescent="0.2">
      <c r="A366" s="66"/>
      <c r="B366" s="67"/>
      <c r="C366" s="67"/>
      <c r="D366" s="68"/>
      <c r="E366" s="42"/>
      <c r="F366" s="67"/>
    </row>
    <row r="367" spans="1:6" x14ac:dyDescent="0.2">
      <c r="A367" s="66"/>
      <c r="B367" s="67"/>
      <c r="C367" s="67"/>
      <c r="D367" s="68"/>
      <c r="E367" s="42"/>
      <c r="F367" s="67"/>
    </row>
    <row r="368" spans="1:6" x14ac:dyDescent="0.2">
      <c r="A368" s="66"/>
      <c r="B368" s="67"/>
      <c r="C368" s="67"/>
      <c r="D368" s="68"/>
      <c r="E368" s="42"/>
      <c r="F368" s="67"/>
    </row>
    <row r="369" spans="1:6" x14ac:dyDescent="0.2">
      <c r="A369" s="66"/>
      <c r="B369" s="67"/>
      <c r="C369" s="67"/>
      <c r="D369" s="68"/>
      <c r="E369" s="42"/>
      <c r="F369" s="67"/>
    </row>
    <row r="370" spans="1:6" x14ac:dyDescent="0.2">
      <c r="A370" s="66"/>
      <c r="B370" s="67"/>
      <c r="C370" s="67"/>
      <c r="D370" s="68"/>
      <c r="E370" s="42"/>
      <c r="F370" s="67"/>
    </row>
    <row r="371" spans="1:6" x14ac:dyDescent="0.2">
      <c r="A371" s="66"/>
      <c r="B371" s="67"/>
      <c r="C371" s="67"/>
      <c r="D371" s="68"/>
      <c r="E371" s="42"/>
      <c r="F371" s="67"/>
    </row>
    <row r="372" spans="1:6" x14ac:dyDescent="0.2">
      <c r="A372" s="66"/>
      <c r="B372" s="67"/>
      <c r="C372" s="67"/>
      <c r="D372" s="68"/>
      <c r="E372" s="42"/>
      <c r="F372" s="67"/>
    </row>
    <row r="373" spans="1:6" x14ac:dyDescent="0.2">
      <c r="A373" s="66"/>
      <c r="B373" s="67"/>
      <c r="C373" s="67"/>
      <c r="D373" s="68"/>
      <c r="E373" s="42"/>
      <c r="F373" s="67"/>
    </row>
    <row r="374" spans="1:6" x14ac:dyDescent="0.2">
      <c r="A374" s="66"/>
      <c r="B374" s="67"/>
      <c r="C374" s="67"/>
      <c r="D374" s="68"/>
      <c r="E374" s="42"/>
      <c r="F374" s="67"/>
    </row>
    <row r="375" spans="1:6" x14ac:dyDescent="0.2">
      <c r="A375" s="66"/>
      <c r="B375" s="67"/>
      <c r="C375" s="67"/>
      <c r="D375" s="68"/>
      <c r="E375" s="42"/>
      <c r="F375" s="67"/>
    </row>
    <row r="376" spans="1:6" x14ac:dyDescent="0.2">
      <c r="A376" s="66"/>
      <c r="B376" s="67"/>
      <c r="C376" s="67"/>
      <c r="D376" s="68"/>
      <c r="E376" s="42"/>
      <c r="F376" s="67"/>
    </row>
    <row r="377" spans="1:6" x14ac:dyDescent="0.2">
      <c r="A377" s="66"/>
      <c r="B377" s="67"/>
      <c r="C377" s="67"/>
      <c r="D377" s="68"/>
      <c r="E377" s="42"/>
      <c r="F377" s="67"/>
    </row>
    <row r="378" spans="1:6" x14ac:dyDescent="0.2">
      <c r="A378" s="66"/>
      <c r="B378" s="67"/>
      <c r="C378" s="67"/>
      <c r="D378" s="68"/>
      <c r="E378" s="42"/>
      <c r="F378" s="67"/>
    </row>
    <row r="379" spans="1:6" x14ac:dyDescent="0.2">
      <c r="A379" s="66"/>
      <c r="B379" s="67"/>
      <c r="C379" s="67"/>
      <c r="D379" s="68"/>
      <c r="E379" s="42"/>
      <c r="F379" s="67"/>
    </row>
    <row r="380" spans="1:6" x14ac:dyDescent="0.2">
      <c r="A380" s="66"/>
      <c r="B380" s="67"/>
      <c r="C380" s="67"/>
      <c r="D380" s="68"/>
      <c r="E380" s="42"/>
      <c r="F380" s="67"/>
    </row>
    <row r="381" spans="1:6" x14ac:dyDescent="0.2">
      <c r="A381" s="66"/>
      <c r="B381" s="67"/>
      <c r="C381" s="67"/>
      <c r="D381" s="68"/>
      <c r="E381" s="42"/>
      <c r="F381" s="67"/>
    </row>
    <row r="382" spans="1:6" x14ac:dyDescent="0.2">
      <c r="A382" s="66"/>
      <c r="B382" s="67"/>
      <c r="C382" s="67"/>
      <c r="D382" s="68"/>
      <c r="E382" s="42"/>
      <c r="F382" s="67"/>
    </row>
    <row r="383" spans="1:6" x14ac:dyDescent="0.2">
      <c r="A383" s="66"/>
      <c r="B383" s="67"/>
      <c r="C383" s="67"/>
      <c r="D383" s="68"/>
      <c r="E383" s="42"/>
      <c r="F383" s="67"/>
    </row>
    <row r="384" spans="1:6" x14ac:dyDescent="0.2">
      <c r="A384" s="66"/>
      <c r="B384" s="67"/>
      <c r="C384" s="67"/>
      <c r="D384" s="68"/>
      <c r="E384" s="42"/>
      <c r="F384" s="67"/>
    </row>
    <row r="385" spans="1:6" x14ac:dyDescent="0.2">
      <c r="A385" s="66"/>
      <c r="B385" s="67"/>
      <c r="C385" s="67"/>
      <c r="D385" s="68"/>
      <c r="E385" s="42"/>
      <c r="F385" s="67"/>
    </row>
    <row r="386" spans="1:6" x14ac:dyDescent="0.2">
      <c r="A386" s="66"/>
      <c r="B386" s="67"/>
      <c r="C386" s="67"/>
      <c r="D386" s="68"/>
      <c r="E386" s="42"/>
      <c r="F386" s="67"/>
    </row>
    <row r="387" spans="1:6" x14ac:dyDescent="0.2">
      <c r="A387" s="66"/>
      <c r="B387" s="67"/>
      <c r="C387" s="67"/>
      <c r="D387" s="68"/>
      <c r="E387" s="42"/>
      <c r="F387" s="67"/>
    </row>
    <row r="388" spans="1:6" x14ac:dyDescent="0.2">
      <c r="A388" s="66"/>
      <c r="B388" s="67"/>
      <c r="C388" s="67"/>
      <c r="D388" s="68"/>
      <c r="E388" s="42"/>
      <c r="F388" s="67"/>
    </row>
    <row r="389" spans="1:6" x14ac:dyDescent="0.2">
      <c r="A389" s="66"/>
      <c r="B389" s="67"/>
      <c r="C389" s="67"/>
      <c r="D389" s="68"/>
      <c r="E389" s="42"/>
      <c r="F389" s="67"/>
    </row>
    <row r="390" spans="1:6" x14ac:dyDescent="0.2">
      <c r="A390" s="66"/>
      <c r="B390" s="67"/>
      <c r="C390" s="67"/>
      <c r="D390" s="68"/>
      <c r="E390" s="42"/>
      <c r="F390" s="67"/>
    </row>
    <row r="391" spans="1:6" x14ac:dyDescent="0.2">
      <c r="A391" s="66"/>
      <c r="B391" s="67"/>
      <c r="C391" s="67"/>
      <c r="D391" s="68"/>
      <c r="E391" s="42"/>
      <c r="F391" s="67"/>
    </row>
    <row r="392" spans="1:6" x14ac:dyDescent="0.2">
      <c r="A392" s="66"/>
      <c r="B392" s="67"/>
      <c r="C392" s="67"/>
      <c r="D392" s="68"/>
      <c r="E392" s="42"/>
      <c r="F392" s="67"/>
    </row>
    <row r="393" spans="1:6" x14ac:dyDescent="0.2">
      <c r="A393" s="66"/>
      <c r="B393" s="67"/>
      <c r="C393" s="67"/>
      <c r="D393" s="68"/>
      <c r="E393" s="42"/>
      <c r="F393" s="67"/>
    </row>
    <row r="394" spans="1:6" x14ac:dyDescent="0.2">
      <c r="A394" s="66"/>
      <c r="B394" s="67"/>
      <c r="C394" s="67"/>
      <c r="D394" s="68"/>
      <c r="E394" s="42"/>
      <c r="F394" s="67"/>
    </row>
    <row r="395" spans="1:6" x14ac:dyDescent="0.2">
      <c r="A395" s="66"/>
      <c r="B395" s="67"/>
      <c r="C395" s="67"/>
      <c r="D395" s="68"/>
      <c r="E395" s="42"/>
      <c r="F395" s="67"/>
    </row>
    <row r="396" spans="1:6" x14ac:dyDescent="0.2">
      <c r="A396" s="66"/>
      <c r="B396" s="67"/>
      <c r="C396" s="67"/>
      <c r="D396" s="68"/>
      <c r="E396" s="42"/>
      <c r="F396" s="67"/>
    </row>
    <row r="397" spans="1:6" x14ac:dyDescent="0.2">
      <c r="A397" s="66"/>
      <c r="B397" s="67"/>
      <c r="C397" s="67"/>
      <c r="D397" s="68"/>
      <c r="E397" s="42"/>
      <c r="F397" s="67"/>
    </row>
    <row r="398" spans="1:6" x14ac:dyDescent="0.2">
      <c r="A398" s="66"/>
      <c r="B398" s="67"/>
      <c r="C398" s="67"/>
      <c r="D398" s="68"/>
      <c r="E398" s="42"/>
      <c r="F398" s="67"/>
    </row>
    <row r="399" spans="1:6" x14ac:dyDescent="0.2">
      <c r="A399" s="66"/>
      <c r="B399" s="67"/>
      <c r="C399" s="67"/>
      <c r="D399" s="68"/>
      <c r="E399" s="42"/>
      <c r="F399" s="67"/>
    </row>
    <row r="400" spans="1:6" x14ac:dyDescent="0.2">
      <c r="A400" s="66"/>
      <c r="B400" s="67"/>
      <c r="C400" s="67"/>
      <c r="D400" s="68"/>
      <c r="E400" s="42"/>
      <c r="F400" s="67"/>
    </row>
    <row r="401" spans="1:6" x14ac:dyDescent="0.2">
      <c r="A401" s="66"/>
      <c r="B401" s="67"/>
      <c r="C401" s="67"/>
      <c r="D401" s="68"/>
      <c r="E401" s="42"/>
      <c r="F401" s="67"/>
    </row>
  </sheetData>
  <conditionalFormatting sqref="F2:F401">
    <cfRule type="containsText" dxfId="1" priority="1" operator="containsText" text="Hecho">
      <formula>NOT(ISERROR(SEARCH("Hecho",F2)))</formula>
    </cfRule>
    <cfRule type="containsText" dxfId="0" priority="2" operator="containsText" text="Pendiente">
      <formula>NOT(ISERROR(SEARCH("Pendiente",F2)))</formula>
    </cfRule>
  </conditionalFormatting>
  <dataValidations count="3">
    <dataValidation type="list" allowBlank="1" sqref="B2:B401" xr:uid="{00000000-0002-0000-0A00-000000000000}">
      <formula1>"1,2,3,4,5,6,7,8,9"</formula1>
    </dataValidation>
    <dataValidation type="list" allowBlank="1" sqref="C2:C401" xr:uid="{00000000-0002-0000-0A00-000001000000}">
      <formula1>"1,2,3,4,5,6,7,8"</formula1>
    </dataValidation>
    <dataValidation type="list" allowBlank="1" sqref="F2:F401" xr:uid="{00000000-0002-0000-0A00-000002000000}">
      <formula1>"Pendiente,Hecho"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23"/>
  <sheetViews>
    <sheetView showGridLines="0" workbookViewId="0"/>
  </sheetViews>
  <sheetFormatPr baseColWidth="10" defaultColWidth="8.83203125" defaultRowHeight="15" x14ac:dyDescent="0.2"/>
  <cols>
    <col min="1" max="1" width="110" customWidth="1"/>
  </cols>
  <sheetData>
    <row r="1" spans="1:1" ht="19" x14ac:dyDescent="0.2">
      <c r="A1" s="69" t="s">
        <v>154</v>
      </c>
    </row>
    <row r="3" spans="1:1" x14ac:dyDescent="0.2">
      <c r="A3" s="70" t="s">
        <v>155</v>
      </c>
    </row>
    <row r="4" spans="1:1" ht="28" x14ac:dyDescent="0.2">
      <c r="A4" s="71" t="s">
        <v>156</v>
      </c>
    </row>
    <row r="5" spans="1:1" x14ac:dyDescent="0.2">
      <c r="A5" s="71" t="s">
        <v>157</v>
      </c>
    </row>
    <row r="6" spans="1:1" x14ac:dyDescent="0.2">
      <c r="A6" s="71" t="s">
        <v>158</v>
      </c>
    </row>
    <row r="7" spans="1:1" x14ac:dyDescent="0.2">
      <c r="A7" s="71" t="s">
        <v>159</v>
      </c>
    </row>
    <row r="9" spans="1:1" x14ac:dyDescent="0.2">
      <c r="A9" s="70" t="s">
        <v>160</v>
      </c>
    </row>
    <row r="10" spans="1:1" ht="28" x14ac:dyDescent="0.2">
      <c r="A10" s="71" t="s">
        <v>161</v>
      </c>
    </row>
    <row r="11" spans="1:1" ht="28" x14ac:dyDescent="0.2">
      <c r="A11" s="71" t="s">
        <v>162</v>
      </c>
    </row>
    <row r="12" spans="1:1" x14ac:dyDescent="0.2">
      <c r="A12" s="71" t="s">
        <v>163</v>
      </c>
    </row>
    <row r="13" spans="1:1" x14ac:dyDescent="0.2">
      <c r="A13" s="71" t="s">
        <v>164</v>
      </c>
    </row>
    <row r="15" spans="1:1" x14ac:dyDescent="0.2">
      <c r="A15" s="70" t="s">
        <v>165</v>
      </c>
    </row>
    <row r="16" spans="1:1" ht="28" x14ac:dyDescent="0.2">
      <c r="A16" s="71" t="s">
        <v>166</v>
      </c>
    </row>
    <row r="17" spans="1:1" x14ac:dyDescent="0.2">
      <c r="A17" s="71" t="s">
        <v>167</v>
      </c>
    </row>
    <row r="18" spans="1:1" x14ac:dyDescent="0.2">
      <c r="A18" s="71" t="s">
        <v>168</v>
      </c>
    </row>
    <row r="19" spans="1:1" x14ac:dyDescent="0.2">
      <c r="A19" s="71" t="s">
        <v>169</v>
      </c>
    </row>
    <row r="20" spans="1:1" x14ac:dyDescent="0.2">
      <c r="A20" s="71" t="s">
        <v>170</v>
      </c>
    </row>
    <row r="22" spans="1:1" x14ac:dyDescent="0.2">
      <c r="A22" s="70" t="s">
        <v>171</v>
      </c>
    </row>
    <row r="23" spans="1:1" ht="28" x14ac:dyDescent="0.2">
      <c r="A23" s="71" t="s">
        <v>172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Dashboard</vt:lpstr>
      <vt:lpstr>1. Smart User 500</vt:lpstr>
      <vt:lpstr>2. MV Advisory</vt:lpstr>
      <vt:lpstr>3. Negocios +30K GP</vt:lpstr>
      <vt:lpstr>4. Entregas 100%</vt:lpstr>
      <vt:lpstr>5. MV Datacenter</vt:lpstr>
      <vt:lpstr>6. Cero Expired</vt:lpstr>
      <vt:lpstr>7. MV Digital Sol</vt:lpstr>
      <vt:lpstr>8. GP 16%</vt:lpstr>
      <vt:lpstr>9. CSAT</vt:lpstr>
      <vt:lpstr>Compromisos</vt:lpstr>
      <vt:lpstr>Instrucciones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Danilo Chamorro</cp:lastModifiedBy>
  <dcterms:created xsi:type="dcterms:W3CDTF">2026-06-12T05:13:29Z</dcterms:created>
  <dcterms:modified xsi:type="dcterms:W3CDTF">2026-06-12T05:13:33Z</dcterms:modified>
</cp:coreProperties>
</file>