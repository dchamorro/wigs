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<sst xmlns="http://schemas.openxmlformats.org/spreadsheetml/2006/main" count="906" uniqueCount="289">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</sst>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270971"/>
        <c:axId val="13007716"/>
      </c:lineChart>
      <c:catAx>
        <c:axId val="5727097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007716"/>
        <c:crosses val="autoZero"/>
        <c:auto val="1"/>
        <c:lblAlgn val="ctr"/>
        <c:lblOffset val="100"/>
        <c:noMultiLvlLbl val="0"/>
      </c:catAx>
      <c:valAx>
        <c:axId val="130077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2709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866322"/>
        <c:axId val="62134389"/>
      </c:lineChart>
      <c:catAx>
        <c:axId val="7486632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134389"/>
        <c:crosses val="autoZero"/>
        <c:auto val="1"/>
        <c:lblAlgn val="ctr"/>
        <c:lblOffset val="100"/>
        <c:noMultiLvlLbl val="0"/>
      </c:catAx>
      <c:valAx>
        <c:axId val="621343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8663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23330"/>
        <c:axId val="44017095"/>
      </c:lineChart>
      <c:catAx>
        <c:axId val="5723330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017095"/>
        <c:crosses val="autoZero"/>
        <c:auto val="1"/>
        <c:lblAlgn val="ctr"/>
        <c:lblOffset val="100"/>
        <c:noMultiLvlLbl val="0"/>
      </c:catAx>
      <c:valAx>
        <c:axId val="440170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233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532096"/>
        <c:axId val="3661603"/>
      </c:lineChart>
      <c:catAx>
        <c:axId val="5453209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61603"/>
        <c:crosses val="autoZero"/>
        <c:auto val="1"/>
        <c:lblAlgn val="ctr"/>
        <c:lblOffset val="100"/>
        <c:noMultiLvlLbl val="0"/>
      </c:catAx>
      <c:valAx>
        <c:axId val="36616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5320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048803"/>
        <c:axId val="16125348"/>
      </c:lineChart>
      <c:catAx>
        <c:axId val="80048803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125348"/>
        <c:crosses val="autoZero"/>
        <c:auto val="1"/>
        <c:lblAlgn val="ctr"/>
        <c:lblOffset val="100"/>
        <c:noMultiLvlLbl val="0"/>
      </c:catAx>
      <c:valAx>
        <c:axId val="161253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0488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631656"/>
        <c:axId val="41951819"/>
      </c:lineChart>
      <c:catAx>
        <c:axId val="3763165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951819"/>
        <c:crosses val="autoZero"/>
        <c:auto val="1"/>
        <c:lblAlgn val="ctr"/>
        <c:lblOffset val="100"/>
        <c:noMultiLvlLbl val="0"/>
      </c:catAx>
      <c:valAx>
        <c:axId val="419518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6316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969142"/>
        <c:axId val="20292046"/>
      </c:lineChart>
      <c:catAx>
        <c:axId val="3996914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292046"/>
        <c:crosses val="autoZero"/>
        <c:auto val="1"/>
        <c:lblAlgn val="ctr"/>
        <c:lblOffset val="100"/>
        <c:noMultiLvlLbl val="0"/>
      </c:catAx>
      <c:valAx>
        <c:axId val="20292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9691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272769"/>
        <c:axId val="93729360"/>
      </c:lineChart>
      <c:catAx>
        <c:axId val="7627276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729360"/>
        <c:crosses val="autoZero"/>
        <c:auto val="1"/>
        <c:lblAlgn val="ctr"/>
        <c:lblOffset val="100"/>
        <c:noMultiLvlLbl val="0"/>
      </c:catAx>
      <c:valAx>
        <c:axId val="937293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2727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266299"/>
        <c:axId val="98434215"/>
      </c:lineChart>
      <c:catAx>
        <c:axId val="822662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434215"/>
        <c:crosses val="autoZero"/>
        <c:auto val="1"/>
        <c:lblAlgn val="ctr"/>
        <c:lblOffset val="100"/>
        <c:noMultiLvlLbl val="0"/>
      </c:catAx>
      <c:valAx>
        <c:axId val="984342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2662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19875"/>
        <c:axId val="16568814"/>
      </c:lineChart>
      <c:catAx>
        <c:axId val="22198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568814"/>
        <c:crosses val="autoZero"/>
        <c:auto val="1"/>
        <c:lblAlgn val="ctr"/>
        <c:lblOffset val="100"/>
        <c:noMultiLvlLbl val="0"/>
      </c:catAx>
      <c:valAx>
        <c:axId val="165688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198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667700"/>
        <c:axId val="25088386"/>
      </c:lineChart>
      <c:catAx>
        <c:axId val="406677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088386"/>
        <c:crosses val="autoZero"/>
        <c:auto val="1"/>
        <c:lblAlgn val="ctr"/>
        <c:lblOffset val="100"/>
        <c:noMultiLvlLbl val="0"/>
      </c:catAx>
      <c:valAx>
        <c:axId val="250883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6677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293127"/>
        <c:axId val="56319812"/>
      </c:lineChart>
      <c:catAx>
        <c:axId val="382931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319812"/>
        <c:crosses val="autoZero"/>
        <c:auto val="1"/>
        <c:lblAlgn val="ctr"/>
        <c:lblOffset val="100"/>
        <c:noMultiLvlLbl val="0"/>
      </c:catAx>
      <c:valAx>
        <c:axId val="563198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2931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025874"/>
        <c:axId val="52704799"/>
      </c:lineChart>
      <c:catAx>
        <c:axId val="7002587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704799"/>
        <c:crosses val="autoZero"/>
        <c:auto val="1"/>
        <c:lblAlgn val="ctr"/>
        <c:lblOffset val="100"/>
        <c:noMultiLvlLbl val="0"/>
      </c:catAx>
      <c:valAx>
        <c:axId val="527047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0258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314568"/>
        <c:axId val="77491403"/>
      </c:lineChart>
      <c:catAx>
        <c:axId val="6631456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491403"/>
        <c:crosses val="autoZero"/>
        <c:auto val="1"/>
        <c:lblAlgn val="ctr"/>
        <c:lblOffset val="100"/>
        <c:noMultiLvlLbl val="0"/>
      </c:catAx>
      <c:valAx>
        <c:axId val="774914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3145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885754"/>
        <c:axId val="89520613"/>
      </c:lineChart>
      <c:catAx>
        <c:axId val="3888575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520613"/>
        <c:crosses val="autoZero"/>
        <c:auto val="1"/>
        <c:lblAlgn val="ctr"/>
        <c:lblOffset val="100"/>
        <c:noMultiLvlLbl val="0"/>
      </c:catAx>
      <c:valAx>
        <c:axId val="895206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8857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902594"/>
        <c:axId val="41573680"/>
      </c:lineChart>
      <c:catAx>
        <c:axId val="5590259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573680"/>
        <c:crosses val="autoZero"/>
        <c:auto val="1"/>
        <c:lblAlgn val="ctr"/>
        <c:lblOffset val="100"/>
        <c:noMultiLvlLbl val="0"/>
      </c:catAx>
      <c:valAx>
        <c:axId val="41573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9025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243000</xdr:colOff>
      <xdr:row>32</xdr:row>
      <xdr:rowOff>22320</xdr:rowOff>
    </xdr:to>
    <xdr:graphicFrame>
      <xdr:nvGraphicFramePr>
        <xdr:cNvPr id="1" name="Chart 1"/>
        <xdr:cNvGraphicFramePr/>
      </xdr:nvGraphicFramePr>
      <xdr:xfrm>
        <a:off x="11277720" y="34106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4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5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6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7" min="5" style="0" width="11"/>
    <col collapsed="false" customWidth="true" hidden="false" outlineLevel="0" max="8" min="8" style="0" width="3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  <c r="H6" s="9"/>
    </row>
    <row r="7" customFormat="false" ht="15" hidden="false" customHeight="false" outlineLevel="0" collapsed="false">
      <c r="A7" s="5" t="s">
        <v>12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  <c r="H7" s="10" t="s">
        <v>13</v>
      </c>
    </row>
    <row r="8" customFormat="false" ht="15" hidden="false" customHeight="false" outlineLevel="0" collapsed="false">
      <c r="A8" s="5" t="s">
        <v>14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  <c r="H8" s="10" t="s">
        <v>15</v>
      </c>
    </row>
    <row r="9" customFormat="false" ht="15" hidden="false" customHeight="false" outlineLevel="0" collapsed="false">
      <c r="A9" s="5" t="s">
        <v>16</v>
      </c>
      <c r="B9" s="6" t="n">
        <v>30571000</v>
      </c>
      <c r="C9" s="7" t="n">
        <v>0.165</v>
      </c>
      <c r="D9" s="6" t="n">
        <v>2445680</v>
      </c>
      <c r="E9" s="7" t="n">
        <f aca="false">D9/B9</f>
        <v>0.08</v>
      </c>
      <c r="F9" s="8"/>
      <c r="G9" s="9" t="str">
        <f aca="false">IF(F9="","—",IF(F9&gt;=D9*0.95,"En meta",IF(F9&gt;=D9*0.8,"Riesgo","Atrasado")))</f>
        <v>—</v>
      </c>
      <c r="H9" s="10" t="s">
        <v>17</v>
      </c>
    </row>
    <row r="10" customFormat="false" ht="15" hidden="false" customHeight="false" outlineLevel="0" collapsed="false">
      <c r="A10" s="11" t="s">
        <v>18</v>
      </c>
    </row>
    <row r="12" customFormat="false" ht="15" hidden="false" customHeight="false" outlineLevel="0" collapsed="false">
      <c r="A12" s="3" t="s">
        <v>19</v>
      </c>
    </row>
    <row r="13" customFormat="false" ht="23.85" hidden="false" customHeight="false" outlineLevel="0" collapsed="false">
      <c r="A13" s="12" t="s">
        <v>3</v>
      </c>
      <c r="B13" s="12" t="s">
        <v>20</v>
      </c>
      <c r="C13" s="12" t="s">
        <v>21</v>
      </c>
      <c r="D13" s="12" t="s">
        <v>22</v>
      </c>
      <c r="E13" s="12" t="s">
        <v>23</v>
      </c>
    </row>
    <row r="14" customFormat="false" ht="15" hidden="false" customHeight="false" outlineLevel="0" collapsed="false">
      <c r="A14" s="13" t="n">
        <v>2027</v>
      </c>
      <c r="B14" s="6" t="n">
        <f aca="false">'2027'!$B$5</f>
        <v>3360000</v>
      </c>
      <c r="C14" s="6" t="n">
        <f aca="false">'2027'!$B$6</f>
        <v>0</v>
      </c>
      <c r="D14" s="6" t="n">
        <f aca="false">'2027'!$B$7</f>
        <v>3360000</v>
      </c>
      <c r="E14" s="7" t="n">
        <f aca="false">'2027'!$E$6</f>
        <v>0</v>
      </c>
    </row>
    <row r="15" customFormat="false" ht="15" hidden="false" customHeight="false" outlineLevel="0" collapsed="false">
      <c r="A15" s="14" t="n">
        <v>2028</v>
      </c>
      <c r="B15" s="15" t="n">
        <f aca="false">'2028'!$B$5</f>
        <v>4685644</v>
      </c>
      <c r="C15" s="15" t="n">
        <f aca="false">'2028'!$B$6</f>
        <v>0</v>
      </c>
      <c r="D15" s="15" t="n">
        <f aca="false">'2028'!$B$7</f>
        <v>4685644</v>
      </c>
      <c r="E15" s="16" t="n">
        <f aca="false">'2028'!$E$6</f>
        <v>0</v>
      </c>
    </row>
    <row r="16" customFormat="false" ht="15" hidden="false" customHeight="false" outlineLevel="0" collapsed="false">
      <c r="A16" s="13" t="n">
        <v>2029</v>
      </c>
      <c r="B16" s="6" t="n">
        <f aca="false">'2029'!$B$5</f>
        <v>5044215</v>
      </c>
      <c r="C16" s="6" t="n">
        <f aca="false">'2029'!$B$6</f>
        <v>0</v>
      </c>
      <c r="D16" s="6" t="n">
        <f aca="false">'2029'!$B$7</f>
        <v>5044215</v>
      </c>
      <c r="E16" s="7" t="n">
        <f aca="false">'2029'!$E$6</f>
        <v>0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17" t="s">
        <v>25</v>
      </c>
      <c r="C19" s="18" t="n">
        <v>1000000</v>
      </c>
    </row>
    <row r="21" customFormat="false" ht="15" hidden="false" customHeight="false" outlineLevel="0" collapsed="false">
      <c r="A21" s="4" t="s">
        <v>26</v>
      </c>
      <c r="B21" s="4" t="s">
        <v>27</v>
      </c>
      <c r="C21" s="4" t="s">
        <v>8</v>
      </c>
      <c r="D21" s="4" t="s">
        <v>28</v>
      </c>
      <c r="E21" s="4" t="s">
        <v>29</v>
      </c>
      <c r="F21" s="4" t="s">
        <v>30</v>
      </c>
      <c r="G21" s="4" t="s">
        <v>9</v>
      </c>
    </row>
    <row r="22" customFormat="false" ht="15" hidden="false" customHeight="false" outlineLevel="0" collapsed="false">
      <c r="A22" s="19" t="n">
        <v>46388</v>
      </c>
      <c r="B22" s="6" t="n">
        <f aca="false">$C$19/12</f>
        <v>83333.3333333333</v>
      </c>
      <c r="C22" s="8"/>
      <c r="D22" s="6" t="n">
        <f aca="false">SUM($B$22:B22)</f>
        <v>83333.3333333333</v>
      </c>
      <c r="E22" s="6" t="n">
        <f aca="false">SUM($C$22:C22)</f>
        <v>0</v>
      </c>
      <c r="F22" s="7" t="str">
        <f aca="false">IF(COUNT($C$22:C22)=0,"",E22/D22)</f>
        <v/>
      </c>
      <c r="G22" s="9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20" t="n">
        <v>46419</v>
      </c>
      <c r="B23" s="15" t="n">
        <f aca="false">$C$19/12</f>
        <v>83333.3333333333</v>
      </c>
      <c r="C23" s="8"/>
      <c r="D23" s="15" t="n">
        <f aca="false">SUM($B$22:B23)</f>
        <v>166666.666666667</v>
      </c>
      <c r="E23" s="15" t="n">
        <f aca="false">SUM($C$22:C23)</f>
        <v>0</v>
      </c>
      <c r="F23" s="16" t="str">
        <f aca="false">IF(COUNT($C$22:C23)=0,"",E23/D23)</f>
        <v/>
      </c>
      <c r="G23" s="21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9" t="n">
        <v>46447</v>
      </c>
      <c r="B24" s="6" t="n">
        <f aca="false">$C$19/12</f>
        <v>83333.3333333333</v>
      </c>
      <c r="C24" s="8"/>
      <c r="D24" s="6" t="n">
        <f aca="false">SUM($B$22:B24)</f>
        <v>250000</v>
      </c>
      <c r="E24" s="6" t="n">
        <f aca="false">SUM($C$22:C24)</f>
        <v>0</v>
      </c>
      <c r="F24" s="7" t="str">
        <f aca="false">IF(COUNT($C$22:C24)=0,"",E24/D24)</f>
        <v/>
      </c>
      <c r="G24" s="9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20" t="n">
        <v>46478</v>
      </c>
      <c r="B25" s="15" t="n">
        <f aca="false">$C$19/12</f>
        <v>83333.3333333333</v>
      </c>
      <c r="C25" s="8"/>
      <c r="D25" s="15" t="n">
        <f aca="false">SUM($B$22:B25)</f>
        <v>333333.333333333</v>
      </c>
      <c r="E25" s="15" t="n">
        <f aca="false">SUM($C$22:C25)</f>
        <v>0</v>
      </c>
      <c r="F25" s="16" t="str">
        <f aca="false">IF(COUNT($C$22:C25)=0,"",E25/D25)</f>
        <v/>
      </c>
      <c r="G25" s="21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9" t="n">
        <v>46508</v>
      </c>
      <c r="B26" s="6" t="n">
        <f aca="false">$C$19/12</f>
        <v>83333.3333333333</v>
      </c>
      <c r="C26" s="8"/>
      <c r="D26" s="6" t="n">
        <f aca="false">SUM($B$22:B26)</f>
        <v>416666.666666667</v>
      </c>
      <c r="E26" s="6" t="n">
        <f aca="false">SUM($C$22:C26)</f>
        <v>0</v>
      </c>
      <c r="F26" s="7" t="str">
        <f aca="false">IF(COUNT($C$22:C26)=0,"",E26/D26)</f>
        <v/>
      </c>
      <c r="G26" s="9" t="str">
        <f aca="false">IF(F26="","",IF(F26&gt;=0.95,"En meta",IF(F26&gt;=0.8,"Riesgo","Atrasado")))</f>
        <v/>
      </c>
    </row>
    <row r="27" customFormat="false" ht="15" hidden="false" customHeight="false" outlineLevel="0" collapsed="false">
      <c r="A27" s="20" t="n">
        <v>46539</v>
      </c>
      <c r="B27" s="15" t="n">
        <f aca="false">$C$19/12</f>
        <v>83333.3333333333</v>
      </c>
      <c r="C27" s="8"/>
      <c r="D27" s="15" t="n">
        <f aca="false">SUM($B$22:B27)</f>
        <v>500000</v>
      </c>
      <c r="E27" s="15" t="n">
        <f aca="false">SUM($C$22:C27)</f>
        <v>0</v>
      </c>
      <c r="F27" s="16" t="str">
        <f aca="false">IF(COUNT($C$22:C27)=0,"",E27/D27)</f>
        <v/>
      </c>
      <c r="G27" s="21" t="str">
        <f aca="false">IF(F27="","",IF(F27&gt;=0.95,"En meta",IF(F27&gt;=0.8,"Riesgo","Atrasado")))</f>
        <v/>
      </c>
    </row>
    <row r="28" customFormat="false" ht="15" hidden="false" customHeight="false" outlineLevel="0" collapsed="false">
      <c r="A28" s="19" t="n">
        <v>46569</v>
      </c>
      <c r="B28" s="6" t="n">
        <f aca="false">$C$19/12</f>
        <v>83333.3333333333</v>
      </c>
      <c r="C28" s="8"/>
      <c r="D28" s="6" t="n">
        <f aca="false">SUM($B$22:B28)</f>
        <v>583333.333333333</v>
      </c>
      <c r="E28" s="6" t="n">
        <f aca="false">SUM($C$22:C28)</f>
        <v>0</v>
      </c>
      <c r="F28" s="7" t="str">
        <f aca="false">IF(COUNT($C$22:C28)=0,"",E28/D28)</f>
        <v/>
      </c>
      <c r="G28" s="9" t="str">
        <f aca="false">IF(F28="","",IF(F28&gt;=0.95,"En meta",IF(F28&gt;=0.8,"Riesgo","Atrasado")))</f>
        <v/>
      </c>
    </row>
    <row r="29" customFormat="false" ht="15" hidden="false" customHeight="false" outlineLevel="0" collapsed="false">
      <c r="A29" s="20" t="n">
        <v>46600</v>
      </c>
      <c r="B29" s="15" t="n">
        <f aca="false">$C$19/12</f>
        <v>83333.3333333333</v>
      </c>
      <c r="C29" s="8"/>
      <c r="D29" s="15" t="n">
        <f aca="false">SUM($B$22:B29)</f>
        <v>666666.666666667</v>
      </c>
      <c r="E29" s="15" t="n">
        <f aca="false">SUM($C$22:C29)</f>
        <v>0</v>
      </c>
      <c r="F29" s="16" t="str">
        <f aca="false">IF(COUNT($C$22:C29)=0,"",E29/D29)</f>
        <v/>
      </c>
      <c r="G29" s="21" t="str">
        <f aca="false">IF(F29="","",IF(F29&gt;=0.95,"En meta",IF(F29&gt;=0.8,"Riesgo","Atrasado")))</f>
        <v/>
      </c>
    </row>
    <row r="30" customFormat="false" ht="15" hidden="false" customHeight="false" outlineLevel="0" collapsed="false">
      <c r="A30" s="19" t="n">
        <v>46631</v>
      </c>
      <c r="B30" s="6" t="n">
        <f aca="false">$C$19/12</f>
        <v>83333.3333333333</v>
      </c>
      <c r="C30" s="8"/>
      <c r="D30" s="6" t="n">
        <f aca="false">SUM($B$22:B30)</f>
        <v>750000</v>
      </c>
      <c r="E30" s="6" t="n">
        <f aca="false">SUM($C$22:C30)</f>
        <v>0</v>
      </c>
      <c r="F30" s="7" t="str">
        <f aca="false">IF(COUNT($C$22:C30)=0,"",E30/D30)</f>
        <v/>
      </c>
      <c r="G30" s="9" t="str">
        <f aca="false">IF(F30="","",IF(F30&gt;=0.95,"En meta",IF(F30&gt;=0.8,"Riesgo","Atrasado")))</f>
        <v/>
      </c>
    </row>
    <row r="31" customFormat="false" ht="15" hidden="false" customHeight="false" outlineLevel="0" collapsed="false">
      <c r="A31" s="20" t="n">
        <v>46661</v>
      </c>
      <c r="B31" s="15" t="n">
        <f aca="false">$C$19/12</f>
        <v>83333.3333333333</v>
      </c>
      <c r="C31" s="8"/>
      <c r="D31" s="15" t="n">
        <f aca="false">SUM($B$22:B31)</f>
        <v>833333.333333333</v>
      </c>
      <c r="E31" s="15" t="n">
        <f aca="false">SUM($C$22:C31)</f>
        <v>0</v>
      </c>
      <c r="F31" s="16" t="str">
        <f aca="false">IF(COUNT($C$22:C31)=0,"",E31/D31)</f>
        <v/>
      </c>
      <c r="G31" s="21" t="str">
        <f aca="false">IF(F31="","",IF(F31&gt;=0.95,"En meta",IF(F31&gt;=0.8,"Riesgo","Atrasado")))</f>
        <v/>
      </c>
    </row>
    <row r="32" customFormat="false" ht="15" hidden="false" customHeight="false" outlineLevel="0" collapsed="false">
      <c r="A32" s="19" t="n">
        <v>46692</v>
      </c>
      <c r="B32" s="6" t="n">
        <f aca="false">$C$19/12</f>
        <v>83333.3333333333</v>
      </c>
      <c r="C32" s="8"/>
      <c r="D32" s="6" t="n">
        <f aca="false">SUM($B$22:B32)</f>
        <v>916666.666666667</v>
      </c>
      <c r="E32" s="6" t="n">
        <f aca="false">SUM($C$22:C32)</f>
        <v>0</v>
      </c>
      <c r="F32" s="7" t="str">
        <f aca="false">IF(COUNT($C$22:C32)=0,"",E32/D32)</f>
        <v/>
      </c>
      <c r="G32" s="9" t="str">
        <f aca="false">IF(F32="","",IF(F32&gt;=0.95,"En meta",IF(F32&gt;=0.8,"Riesgo","Atrasado")))</f>
        <v/>
      </c>
    </row>
    <row r="33" customFormat="false" ht="15" hidden="false" customHeight="false" outlineLevel="0" collapsed="false">
      <c r="A33" s="20" t="n">
        <v>46722</v>
      </c>
      <c r="B33" s="15" t="n">
        <f aca="false">$C$19/12</f>
        <v>83333.3333333333</v>
      </c>
      <c r="C33" s="8"/>
      <c r="D33" s="15" t="n">
        <f aca="false">SUM($B$22:B33)</f>
        <v>1000000</v>
      </c>
      <c r="E33" s="15" t="n">
        <f aca="false">SUM($C$22:C33)</f>
        <v>0</v>
      </c>
      <c r="F33" s="16" t="str">
        <f aca="false">IF(COUNT($C$22:C33)=0,"",E33/D33)</f>
        <v/>
      </c>
      <c r="G33" s="21" t="str">
        <f aca="false">IF(F33="","",IF(F33&gt;=0.95,"En meta",IF(F33&gt;=0.8,"Riesgo","Atrasado")))</f>
        <v/>
      </c>
    </row>
    <row r="35" customFormat="false" ht="15" hidden="false" customHeight="false" outlineLevel="0" collapsed="false">
      <c r="A35" s="3" t="s">
        <v>31</v>
      </c>
    </row>
    <row r="36" customFormat="false" ht="15" hidden="false" customHeight="false" outlineLevel="0" collapsed="false">
      <c r="A36" s="12" t="s">
        <v>32</v>
      </c>
      <c r="B36" s="12" t="s">
        <v>33</v>
      </c>
      <c r="C36" s="12" t="s">
        <v>34</v>
      </c>
      <c r="D36" s="12" t="s">
        <v>35</v>
      </c>
      <c r="E36" s="12" t="s">
        <v>36</v>
      </c>
      <c r="F36" s="12" t="s">
        <v>37</v>
      </c>
      <c r="G36" s="12" t="s">
        <v>9</v>
      </c>
      <c r="H36" s="12" t="s">
        <v>38</v>
      </c>
      <c r="I36" s="12" t="s">
        <v>10</v>
      </c>
    </row>
    <row r="37" customFormat="false" ht="30" hidden="false" customHeight="true" outlineLevel="0" collapsed="false">
      <c r="A37" s="5" t="n">
        <v>1</v>
      </c>
      <c r="B37" s="22" t="s">
        <v>39</v>
      </c>
      <c r="C37" s="23" t="str">
        <f aca="false">'1. Smart User 500'!$B$4</f>
        <v>Por asignar</v>
      </c>
      <c r="D37" s="24" t="s">
        <v>40</v>
      </c>
      <c r="E37" s="25" t="n">
        <f aca="false">'1. Smart User 500'!$B$5</f>
        <v>500</v>
      </c>
      <c r="F37" s="25" t="str">
        <f aca="false">IFERROR(LOOKUP(2,1/('1. Smart User 500'!$D$11:$D$39&lt;&gt;""),'1. Smart User 500'!$D$11:$D$39),"Sin datos")</f>
        <v>Sin datos</v>
      </c>
      <c r="G37" s="26" t="str">
        <f aca="false">IFERROR(LOOKUP(2,1/('1. Smart User 500'!$D$11:$D$39&lt;&gt;""),'1. Smart User 500'!$H$11:$H$39),"Sin datos")</f>
        <v>Sin datos</v>
      </c>
      <c r="H37" s="27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8" t="s">
        <v>41</v>
      </c>
    </row>
    <row r="38" customFormat="false" ht="30" hidden="false" customHeight="true" outlineLevel="0" collapsed="false">
      <c r="A38" s="29" t="n">
        <v>2</v>
      </c>
      <c r="B38" s="30" t="s">
        <v>42</v>
      </c>
      <c r="C38" s="31" t="str">
        <f aca="false">'2. MV Advisory'!$B$4</f>
        <v>Por asignar</v>
      </c>
      <c r="D38" s="32" t="s">
        <v>43</v>
      </c>
      <c r="E38" s="33" t="n">
        <f aca="false">'2. MV Advisory'!$B$5</f>
        <v>10000</v>
      </c>
      <c r="F38" s="33" t="str">
        <f aca="false">IFERROR(LOOKUP(2,1/('2. MV Advisory'!$D$11:$D$52&lt;&gt;""),'2. MV Advisory'!$D$11:$D$52),"Sin datos")</f>
        <v>Sin datos</v>
      </c>
      <c r="G38" s="34" t="str">
        <f aca="false">IFERROR(LOOKUP(2,1/('2. MV Advisory'!$D$11:$D$52&lt;&gt;""),'2. MV Advisory'!$H$11:$H$52),"Sin datos")</f>
        <v>Sin datos</v>
      </c>
      <c r="H38" s="35" t="str">
        <f aca="false">'2. MV Advisory'!$E$4&amp;IF('2. MV Advisory'!$B$6=""," "," · "&amp;'2. MV Advisory'!$B$6)&amp;IF('2. MV Advisory'!$B$7=""," "," — "&amp;'2. MV Advisory'!$B$7)</f>
        <v>Ventas, Customer Success, Pre-Sales, Del - TSS  </v>
      </c>
      <c r="I38" s="36" t="s">
        <v>44</v>
      </c>
    </row>
    <row r="39" customFormat="false" ht="30" hidden="false" customHeight="true" outlineLevel="0" collapsed="false">
      <c r="A39" s="5" t="n">
        <v>3</v>
      </c>
      <c r="B39" s="22" t="s">
        <v>45</v>
      </c>
      <c r="C39" s="23" t="str">
        <f aca="false">'3. Negocios +30K GP'!$B$4</f>
        <v>Por asignar</v>
      </c>
      <c r="D39" s="24" t="s">
        <v>46</v>
      </c>
      <c r="E39" s="25" t="n">
        <f aca="false">'3. Negocios +30K GP'!$B$5</f>
        <v>10</v>
      </c>
      <c r="F39" s="25" t="str">
        <f aca="false">IFERROR(LOOKUP(2,1/('3. Negocios +30K GP'!$D$11:$D$91&lt;&gt;""),'3. Negocios +30K GP'!$D$11:$D$91),"Sin datos")</f>
        <v>Sin datos</v>
      </c>
      <c r="G39" s="26" t="str">
        <f aca="false">IFERROR(LOOKUP(2,1/('3. Negocios +30K GP'!$D$11:$D$91&lt;&gt;""),'3. Negocios +30K GP'!$H$11:$H$91),"Sin datos")</f>
        <v>Sin datos</v>
      </c>
      <c r="H39" s="27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8" t="s">
        <v>47</v>
      </c>
    </row>
    <row r="40" customFormat="false" ht="30" hidden="false" customHeight="true" outlineLevel="0" collapsed="false">
      <c r="A40" s="29" t="n">
        <v>4</v>
      </c>
      <c r="B40" s="30" t="s">
        <v>48</v>
      </c>
      <c r="C40" s="31" t="str">
        <f aca="false">'4. Entregas 100%'!$B$4</f>
        <v>Por asignar</v>
      </c>
      <c r="D40" s="32" t="s">
        <v>49</v>
      </c>
      <c r="E40" s="37" t="n">
        <f aca="false">'4. Entregas 100%'!$B$5</f>
        <v>1</v>
      </c>
      <c r="F40" s="37" t="str">
        <f aca="false">IFERROR(LOOKUP(2,1/('4. Entregas 100%'!$D$11:$D$91&lt;&gt;""),'4. Entregas 100%'!$D$11:$D$91),"Sin datos")</f>
        <v>Sin datos</v>
      </c>
      <c r="G40" s="34" t="str">
        <f aca="false">IFERROR(LOOKUP(2,1/('4. Entregas 100%'!$D$11:$D$91&lt;&gt;""),'4. Entregas 100%'!$H$11:$H$91),"Sin datos")</f>
        <v>Sin datos</v>
      </c>
      <c r="H40" s="35" t="str">
        <f aca="false">'4. Entregas 100%'!$E$4&amp;IF('4. Entregas 100%'!$B$6=""," "," · "&amp;'4. Entregas 100%'!$B$6)&amp;IF('4. Entregas 100%'!$B$7=""," "," — "&amp;'4. Entregas 100%'!$B$7)</f>
        <v>Finanzas  </v>
      </c>
      <c r="I40" s="36" t="s">
        <v>50</v>
      </c>
    </row>
    <row r="41" customFormat="false" ht="30" hidden="false" customHeight="true" outlineLevel="0" collapsed="false">
      <c r="A41" s="5" t="n">
        <v>5</v>
      </c>
      <c r="B41" s="22" t="s">
        <v>51</v>
      </c>
      <c r="C41" s="23" t="str">
        <f aca="false">'5. MV Datacenter'!$B$4</f>
        <v>Por asignar</v>
      </c>
      <c r="D41" s="24" t="s">
        <v>52</v>
      </c>
      <c r="E41" s="38" t="n">
        <f aca="false">'5. MV Datacenter'!$B$5</f>
        <v>20000</v>
      </c>
      <c r="F41" s="38" t="str">
        <f aca="false">IFERROR(LOOKUP(2,1/('5. MV Datacenter'!$D$11:$D$91&lt;&gt;""),'5. MV Datacenter'!$D$11:$D$91),"Sin datos")</f>
        <v>Sin datos</v>
      </c>
      <c r="G41" s="26" t="str">
        <f aca="false">IFERROR(LOOKUP(2,1/('5. MV Datacenter'!$D$11:$D$91&lt;&gt;""),'5. MV Datacenter'!$H$11:$H$91),"Sin datos")</f>
        <v>Sin datos</v>
      </c>
      <c r="H41" s="27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8" t="s">
        <v>53</v>
      </c>
    </row>
    <row r="42" customFormat="false" ht="30" hidden="false" customHeight="true" outlineLevel="0" collapsed="false">
      <c r="A42" s="29" t="n">
        <v>6</v>
      </c>
      <c r="B42" s="30" t="s">
        <v>54</v>
      </c>
      <c r="C42" s="31" t="str">
        <f aca="false">'6. Cero Expired'!$B$4</f>
        <v>Por asignar</v>
      </c>
      <c r="D42" s="32" t="s">
        <v>55</v>
      </c>
      <c r="E42" s="39" t="n">
        <f aca="false">'6. Cero Expired'!$B$5</f>
        <v>0</v>
      </c>
      <c r="F42" s="39" t="str">
        <f aca="false">IFERROR(LOOKUP(2,1/('6. Cero Expired'!$D$11:$D$91&lt;&gt;""),'6. Cero Expired'!$D$11:$D$91),"Sin datos")</f>
        <v>Sin datos</v>
      </c>
      <c r="G42" s="34" t="str">
        <f aca="false">IFERROR(LOOKUP(2,1/('6. Cero Expired'!$D$11:$D$91&lt;&gt;""),'6. Cero Expired'!$H$11:$H$91),"Sin datos")</f>
        <v>Sin datos</v>
      </c>
      <c r="H42" s="35" t="str">
        <f aca="false">'6. Cero Expired'!$E$4&amp;IF('6. Cero Expired'!$B$6=""," "," · "&amp;'6. Cero Expired'!$B$6)&amp;IF('6. Cero Expired'!$B$7=""," "," — "&amp;'6. Cero Expired'!$B$7)</f>
        <v>Customer Success, Del - DEX, Del - TSS, Del - DC  </v>
      </c>
      <c r="I42" s="36" t="s">
        <v>56</v>
      </c>
    </row>
    <row r="43" customFormat="false" ht="30" hidden="false" customHeight="true" outlineLevel="0" collapsed="false">
      <c r="A43" s="5" t="n">
        <v>7</v>
      </c>
      <c r="B43" s="22" t="s">
        <v>57</v>
      </c>
      <c r="C43" s="23" t="str">
        <f aca="false">'7. MV Digital Sol'!$B$4</f>
        <v>Por asignar</v>
      </c>
      <c r="D43" s="24" t="s">
        <v>58</v>
      </c>
      <c r="E43" s="38" t="n">
        <f aca="false">'7. MV Digital Sol'!$B$5</f>
        <v>30000</v>
      </c>
      <c r="F43" s="38" t="str">
        <f aca="false">IFERROR(LOOKUP(2,1/('7. MV Digital Sol'!$D$11:$D$56&lt;&gt;""),'7. MV Digital Sol'!$D$11:$D$56),"Sin datos")</f>
        <v>Sin datos</v>
      </c>
      <c r="G43" s="26" t="str">
        <f aca="false">IFERROR(LOOKUP(2,1/('7. MV Digital Sol'!$D$11:$D$56&lt;&gt;""),'7. MV Digital Sol'!$H$11:$H$56),"Sin datos")</f>
        <v>Sin datos</v>
      </c>
      <c r="H43" s="27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8" t="s">
        <v>59</v>
      </c>
    </row>
    <row r="44" customFormat="false" ht="30" hidden="false" customHeight="true" outlineLevel="0" collapsed="false">
      <c r="A44" s="29" t="n">
        <v>8</v>
      </c>
      <c r="B44" s="30" t="s">
        <v>60</v>
      </c>
      <c r="C44" s="31" t="str">
        <f aca="false">'8. GP 16%'!$B$4</f>
        <v>Por asignar</v>
      </c>
      <c r="D44" s="32" t="s">
        <v>61</v>
      </c>
      <c r="E44" s="37" t="n">
        <f aca="false">'8. GP 16%'!$B$5</f>
        <v>0.16</v>
      </c>
      <c r="F44" s="37" t="str">
        <f aca="false">IFERROR(LOOKUP(2,1/('8. GP 16%'!$D$11:$D$28&lt;&gt;""),'8. GP 16%'!$D$11:$D$28),"Sin datos")</f>
        <v>Sin datos</v>
      </c>
      <c r="G44" s="34" t="str">
        <f aca="false">IFERROR(LOOKUP(2,1/('8. GP 16%'!$D$11:$D$28&lt;&gt;""),'8. GP 16%'!$H$11:$H$28),"Sin datos")</f>
        <v>Sin datos</v>
      </c>
      <c r="H44" s="35" t="str">
        <f aca="false">'8. GP 16%'!$E$4&amp;IF('8. GP 16%'!$B$6=""," "," · "&amp;'8. GP 16%'!$B$6)&amp;IF('8. GP 16%'!$B$7=""," "," — "&amp;'8. GP 16%'!$B$7)</f>
        <v>Finanzas (todas las áreas aportan)  </v>
      </c>
      <c r="I44" s="36" t="s">
        <v>62</v>
      </c>
    </row>
    <row r="45" customFormat="false" ht="30" hidden="false" customHeight="true" outlineLevel="0" collapsed="false">
      <c r="A45" s="5" t="n">
        <v>9</v>
      </c>
      <c r="B45" s="22" t="s">
        <v>63</v>
      </c>
      <c r="C45" s="23" t="str">
        <f aca="false">'9. CSAT'!$B$4</f>
        <v>Por asignar</v>
      </c>
      <c r="D45" s="24" t="s">
        <v>64</v>
      </c>
      <c r="E45" s="40" t="n">
        <f aca="false">'9. CSAT'!$B$5</f>
        <v>4.5</v>
      </c>
      <c r="F45" s="40" t="str">
        <f aca="false">IFERROR(LOOKUP(2,1/('9. CSAT'!$D$11:$D$28&lt;&gt;""),'9. CSAT'!$D$11:$D$28),"Sin datos")</f>
        <v>Sin datos</v>
      </c>
      <c r="G45" s="26" t="str">
        <f aca="false">IFERROR(LOOKUP(2,1/('9. CSAT'!$D$11:$D$28&lt;&gt;""),'9. CSAT'!$H$11:$H$28),"Sin datos")</f>
        <v>Sin datos</v>
      </c>
      <c r="H45" s="27" t="str">
        <f aca="false">'9. CSAT'!$E$4&amp;IF('9. CSAT'!$B$6=""," "," · "&amp;'9. CSAT'!$B$6)&amp;IF('9. CSAT'!$B$7=""," "," — "&amp;'9. CSAT'!$B$7)</f>
        <v>Customer Success (todas las áreas de entrega aportan)  </v>
      </c>
      <c r="I45" s="28" t="s">
        <v>65</v>
      </c>
    </row>
    <row r="46" customFormat="false" ht="30" hidden="false" customHeight="true" outlineLevel="0" collapsed="false">
      <c r="A46" s="29" t="n">
        <v>10</v>
      </c>
      <c r="B46" s="30" t="s">
        <v>66</v>
      </c>
      <c r="C46" s="31" t="str">
        <f aca="false">'10. Apalancamiento'!$B$4</f>
        <v>Por asignar</v>
      </c>
      <c r="D46" s="32" t="s">
        <v>67</v>
      </c>
      <c r="E46" s="37" t="n">
        <f aca="false">'10. Apalancamiento'!$B$5</f>
        <v>0.09</v>
      </c>
      <c r="F46" s="37" t="str">
        <f aca="false">IFERROR(LOOKUP(2,1/('10. Apalancamiento'!$D$11:$D$28&lt;&gt;""),'10. Apalancamiento'!$D$11:$D$28),"Sin datos")</f>
        <v>Sin datos</v>
      </c>
      <c r="G46" s="34" t="str">
        <f aca="false">IFERROR(LOOKUP(2,1/('10. Apalancamiento'!$D$11:$D$28&lt;&gt;""),'10. Apalancamiento'!$H$11:$H$28),"Sin datos")</f>
        <v>Sin datos</v>
      </c>
      <c r="H46" s="35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6" t="s">
        <v>68</v>
      </c>
    </row>
    <row r="47" customFormat="false" ht="30" hidden="false" customHeight="true" outlineLevel="0" collapsed="false">
      <c r="A47" s="5" t="n">
        <v>11</v>
      </c>
      <c r="B47" s="22" t="s">
        <v>69</v>
      </c>
      <c r="C47" s="23" t="str">
        <f aca="false">'11. Recuperar DS'!$B$4</f>
        <v>Por asignar</v>
      </c>
      <c r="D47" s="24" t="s">
        <v>70</v>
      </c>
      <c r="E47" s="38" t="n">
        <f aca="false">'11. Recuperar DS'!$B$5</f>
        <v>0</v>
      </c>
      <c r="F47" s="38" t="str">
        <f aca="false">IFERROR(LOOKUP(2,1/('11. Recuperar DS'!$D$11:$D$28&lt;&gt;""),'11. Recuperar DS'!$D$11:$D$28),"Sin datos")</f>
        <v>Sin datos</v>
      </c>
      <c r="G47" s="26" t="str">
        <f aca="false">IFERROR(LOOKUP(2,1/('11. Recuperar DS'!$D$11:$D$28&lt;&gt;""),'11. Recuperar DS'!$H$11:$H$28),"Sin datos")</f>
        <v>Sin datos</v>
      </c>
      <c r="H47" s="27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8" t="s">
        <v>71</v>
      </c>
    </row>
    <row r="48" customFormat="false" ht="30" hidden="false" customHeight="true" outlineLevel="0" collapsed="false">
      <c r="A48" s="29" t="n">
        <v>12</v>
      </c>
      <c r="B48" s="30" t="s">
        <v>72</v>
      </c>
      <c r="C48" s="31" t="str">
        <f aca="false">'12. Utilizacion'!$B$4</f>
        <v>Por asignar</v>
      </c>
      <c r="D48" s="32" t="s">
        <v>73</v>
      </c>
      <c r="E48" s="37" t="n">
        <f aca="false">'12. Utilizacion'!$B$5</f>
        <v>0.48</v>
      </c>
      <c r="F48" s="37" t="str">
        <f aca="false">IFERROR(LOOKUP(2,1/('12. Utilizacion'!$D$11:$D$28&lt;&gt;""),'12. Utilizacion'!$D$11:$D$28),"Sin datos")</f>
        <v>Sin datos</v>
      </c>
      <c r="G48" s="34" t="str">
        <f aca="false">IFERROR(LOOKUP(2,1/('12. Utilizacion'!$D$11:$D$28&lt;&gt;""),'12. Utilizacion'!$H$11:$H$28),"Sin datos")</f>
        <v>Sin datos</v>
      </c>
      <c r="H48" s="35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6" t="s">
        <v>74</v>
      </c>
    </row>
    <row r="51" customFormat="false" ht="15" hidden="false" customHeight="false" outlineLevel="0" collapsed="false">
      <c r="A51" s="3" t="s">
        <v>75</v>
      </c>
    </row>
    <row r="52" customFormat="false" ht="23.85" hidden="false" customHeight="false" outlineLevel="0" collapsed="false">
      <c r="A52" s="12" t="s">
        <v>32</v>
      </c>
      <c r="B52" s="12" t="s">
        <v>76</v>
      </c>
      <c r="C52" s="12" t="s">
        <v>77</v>
      </c>
      <c r="D52" s="12" t="s">
        <v>78</v>
      </c>
      <c r="E52" s="12" t="s">
        <v>79</v>
      </c>
      <c r="F52" s="12" t="s">
        <v>80</v>
      </c>
    </row>
    <row r="53" customFormat="false" ht="25.5" hidden="false" customHeight="true" outlineLevel="0" collapsed="false">
      <c r="A53" s="5" t="n">
        <v>1</v>
      </c>
      <c r="B53" s="22" t="s">
        <v>39</v>
      </c>
      <c r="C53" s="26" t="n">
        <f aca="false">COUNTIF('1. Smart User 500'!$H$43:$H$48,"Logrado")</f>
        <v>0</v>
      </c>
      <c r="D53" s="26" t="n">
        <f aca="false">COUNTIF('1. Smart User 500'!$H$43:$H$48,"En curso")</f>
        <v>1</v>
      </c>
      <c r="E53" s="26" t="n">
        <f aca="false">COUNTIF('1. Smart User 500'!$H$43:$H$48,"Pendiente")</f>
        <v>1</v>
      </c>
      <c r="F53" s="41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29" t="n">
        <v>2</v>
      </c>
      <c r="B54" s="30" t="s">
        <v>42</v>
      </c>
      <c r="C54" s="34" t="n">
        <f aca="false">COUNTIF('2. MV Advisory'!$H$56:$H$61,"Logrado")</f>
        <v>0</v>
      </c>
      <c r="D54" s="34" t="n">
        <f aca="false">COUNTIF('2. MV Advisory'!$H$56:$H$61,"En curso")</f>
        <v>0</v>
      </c>
      <c r="E54" s="34" t="n">
        <f aca="false">COUNTIF('2. MV Advisory'!$H$56:$H$61,"Pendiente")</f>
        <v>0</v>
      </c>
      <c r="F54" s="42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5" t="n">
        <v>3</v>
      </c>
      <c r="B55" s="22" t="s">
        <v>45</v>
      </c>
      <c r="C55" s="26" t="n">
        <f aca="false">COUNTIF('3. Negocios +30K GP'!$H$95:$H$100,"Logrado")</f>
        <v>0</v>
      </c>
      <c r="D55" s="26" t="n">
        <f aca="false">COUNTIF('3. Negocios +30K GP'!$H$95:$H$100,"En curso")</f>
        <v>0</v>
      </c>
      <c r="E55" s="26" t="n">
        <f aca="false">COUNTIF('3. Negocios +30K GP'!$H$95:$H$100,"Pendiente")</f>
        <v>0</v>
      </c>
      <c r="F55" s="41" t="str">
        <f aca="false">IF(COUNT('3. Negocios +30K GP'!$G$95:$G$100)=0,"",MIN('3. Negocios +30K GP'!$G$95:$G$100))</f>
        <v/>
      </c>
    </row>
    <row r="56" customFormat="false" ht="25.5" hidden="false" customHeight="true" outlineLevel="0" collapsed="false">
      <c r="A56" s="29" t="n">
        <v>4</v>
      </c>
      <c r="B56" s="30" t="s">
        <v>48</v>
      </c>
      <c r="C56" s="34" t="n">
        <f aca="false">COUNTIF('4. Entregas 100%'!$H$95:$H$100,"Logrado")</f>
        <v>0</v>
      </c>
      <c r="D56" s="34" t="n">
        <f aca="false">COUNTIF('4. Entregas 100%'!$H$95:$H$100,"En curso")</f>
        <v>0</v>
      </c>
      <c r="E56" s="34" t="n">
        <f aca="false">COUNTIF('4. Entregas 100%'!$H$95:$H$100,"Pendiente")</f>
        <v>0</v>
      </c>
      <c r="F56" s="42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5" t="n">
        <v>5</v>
      </c>
      <c r="B57" s="22" t="s">
        <v>51</v>
      </c>
      <c r="C57" s="26" t="n">
        <f aca="false">COUNTIF('5. MV Datacenter'!$H$95:$H$100,"Logrado")</f>
        <v>0</v>
      </c>
      <c r="D57" s="26" t="n">
        <f aca="false">COUNTIF('5. MV Datacenter'!$H$95:$H$100,"En curso")</f>
        <v>0</v>
      </c>
      <c r="E57" s="26" t="n">
        <f aca="false">COUNTIF('5. MV Datacenter'!$H$95:$H$100,"Pendiente")</f>
        <v>0</v>
      </c>
      <c r="F57" s="41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29" t="n">
        <v>6</v>
      </c>
      <c r="B58" s="30" t="s">
        <v>54</v>
      </c>
      <c r="C58" s="34" t="n">
        <f aca="false">COUNTIF('6. Cero Expired'!$H$95:$H$100,"Logrado")</f>
        <v>0</v>
      </c>
      <c r="D58" s="34" t="n">
        <f aca="false">COUNTIF('6. Cero Expired'!$H$95:$H$100,"En curso")</f>
        <v>0</v>
      </c>
      <c r="E58" s="34" t="n">
        <f aca="false">COUNTIF('6. Cero Expired'!$H$95:$H$100,"Pendiente")</f>
        <v>0</v>
      </c>
      <c r="F58" s="42" t="str">
        <f aca="false">IF(COUNT('6. Cero Expired'!$G$95:$G$100)=0,"",MIN('6. Cero Expired'!$G$95:$G$100))</f>
        <v/>
      </c>
    </row>
    <row r="59" customFormat="false" ht="25.5" hidden="false" customHeight="true" outlineLevel="0" collapsed="false">
      <c r="A59" s="5" t="n">
        <v>7</v>
      </c>
      <c r="B59" s="22" t="s">
        <v>57</v>
      </c>
      <c r="C59" s="26" t="n">
        <f aca="false">COUNTIF('7. MV Digital Sol'!$H$60:$H$65,"Logrado")</f>
        <v>0</v>
      </c>
      <c r="D59" s="26" t="n">
        <f aca="false">COUNTIF('7. MV Digital Sol'!$H$60:$H$65,"En curso")</f>
        <v>0</v>
      </c>
      <c r="E59" s="26" t="n">
        <f aca="false">COUNTIF('7. MV Digital Sol'!$H$60:$H$65,"Pendiente")</f>
        <v>0</v>
      </c>
      <c r="F59" s="41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29" t="n">
        <v>8</v>
      </c>
      <c r="B60" s="30" t="s">
        <v>60</v>
      </c>
      <c r="C60" s="34" t="n">
        <f aca="false">COUNTIF('8. GP 16%'!$H$32:$H$37,"Logrado")</f>
        <v>0</v>
      </c>
      <c r="D60" s="34" t="n">
        <f aca="false">COUNTIF('8. GP 16%'!$H$32:$H$37,"En curso")</f>
        <v>0</v>
      </c>
      <c r="E60" s="34" t="n">
        <f aca="false">COUNTIF('8. GP 16%'!$H$32:$H$37,"Pendiente")</f>
        <v>0</v>
      </c>
      <c r="F60" s="42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5" t="n">
        <v>9</v>
      </c>
      <c r="B61" s="22" t="s">
        <v>63</v>
      </c>
      <c r="C61" s="26" t="n">
        <f aca="false">COUNTIF('9. CSAT'!$H$32:$H$37,"Logrado")</f>
        <v>0</v>
      </c>
      <c r="D61" s="26" t="n">
        <f aca="false">COUNTIF('9. CSAT'!$H$32:$H$37,"En curso")</f>
        <v>0</v>
      </c>
      <c r="E61" s="26" t="n">
        <f aca="false">COUNTIF('9. CSAT'!$H$32:$H$37,"Pendiente")</f>
        <v>0</v>
      </c>
      <c r="F61" s="41" t="str">
        <f aca="false">IF(COUNT('9. CSAT'!$G$32:$G$37)=0,"",MIN('9. CSAT'!$G$32:$G$37))</f>
        <v/>
      </c>
    </row>
    <row r="62" customFormat="false" ht="25.5" hidden="false" customHeight="true" outlineLevel="0" collapsed="false">
      <c r="A62" s="29" t="n">
        <v>10</v>
      </c>
      <c r="B62" s="30" t="s">
        <v>66</v>
      </c>
      <c r="C62" s="34" t="n">
        <f aca="false">COUNTIF('10. Apalancamiento'!$H$32:$H$37,"Logrado")</f>
        <v>0</v>
      </c>
      <c r="D62" s="34" t="n">
        <f aca="false">COUNTIF('10. Apalancamiento'!$H$32:$H$37,"En curso")</f>
        <v>0</v>
      </c>
      <c r="E62" s="34" t="n">
        <f aca="false">COUNTIF('10. Apalancamiento'!$H$32:$H$37,"Pendiente")</f>
        <v>0</v>
      </c>
      <c r="F62" s="42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5" t="n">
        <v>11</v>
      </c>
      <c r="B63" s="22" t="s">
        <v>69</v>
      </c>
      <c r="C63" s="26" t="n">
        <f aca="false">COUNTIF('11. Recuperar DS'!$H$32:$H$37,"Logrado")</f>
        <v>0</v>
      </c>
      <c r="D63" s="26" t="n">
        <f aca="false">COUNTIF('11. Recuperar DS'!$H$32:$H$37,"En curso")</f>
        <v>0</v>
      </c>
      <c r="E63" s="26" t="n">
        <f aca="false">COUNTIF('11. Recuperar DS'!$H$32:$H$37,"Pendiente")</f>
        <v>0</v>
      </c>
      <c r="F63" s="41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29" t="n">
        <v>12</v>
      </c>
      <c r="B64" s="30" t="s">
        <v>72</v>
      </c>
      <c r="C64" s="34" t="n">
        <f aca="false">COUNTIF('12. Utilizacion'!$H$32:$H$37,"Logrado")</f>
        <v>0</v>
      </c>
      <c r="D64" s="34" t="n">
        <f aca="false">COUNTIF('12. Utilizacion'!$H$32:$H$37,"En curso")</f>
        <v>0</v>
      </c>
      <c r="E64" s="34" t="n">
        <f aca="false">COUNTIF('12. Utilizacion'!$H$32:$H$37,"Pendiente")</f>
        <v>0</v>
      </c>
      <c r="F64" s="42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83</v>
      </c>
    </row>
    <row r="3" customFormat="false" ht="15" hidden="false" customHeight="false" outlineLevel="0" collapsed="false">
      <c r="A3" s="17" t="s">
        <v>84</v>
      </c>
      <c r="B3" s="44" t="s">
        <v>85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40</v>
      </c>
    </row>
    <row r="5" customFormat="false" ht="24" hidden="false" customHeight="true" outlineLevel="0" collapsed="false">
      <c r="A5" s="17" t="s">
        <v>89</v>
      </c>
      <c r="B5" s="46" t="n">
        <v>500</v>
      </c>
      <c r="D5" s="17" t="s">
        <v>90</v>
      </c>
      <c r="E5" s="47" t="n">
        <v>46188</v>
      </c>
      <c r="F5" s="17" t="s">
        <v>91</v>
      </c>
      <c r="G5" s="47" t="n">
        <v>46384</v>
      </c>
      <c r="H5" s="48" t="s">
        <v>92</v>
      </c>
      <c r="I5" s="49" t="s">
        <v>93</v>
      </c>
      <c r="J5" s="49"/>
      <c r="K5" s="49" t="s">
        <v>94</v>
      </c>
      <c r="L5" s="49"/>
      <c r="M5" s="49" t="s">
        <v>95</v>
      </c>
      <c r="N5" s="49"/>
      <c r="O5" s="49" t="s">
        <v>94</v>
      </c>
      <c r="P5" s="49"/>
      <c r="Q5" s="49" t="s">
        <v>96</v>
      </c>
      <c r="R5" s="49"/>
      <c r="S5" s="49" t="s">
        <v>97</v>
      </c>
      <c r="T5" s="49"/>
      <c r="U5" s="49" t="s">
        <v>98</v>
      </c>
      <c r="V5" s="49"/>
      <c r="W5" s="49" t="s">
        <v>99</v>
      </c>
      <c r="X5" s="49"/>
    </row>
    <row r="6" customFormat="false" ht="24" hidden="false" customHeight="true" outlineLevel="0" collapsed="false">
      <c r="A6" s="17" t="s">
        <v>100</v>
      </c>
      <c r="B6" s="50" t="s">
        <v>101</v>
      </c>
      <c r="C6" s="50"/>
      <c r="D6" s="50"/>
      <c r="E6" s="50"/>
      <c r="F6" s="50"/>
      <c r="G6" s="50"/>
      <c r="H6" s="48" t="s">
        <v>102</v>
      </c>
      <c r="I6" s="49" t="s">
        <v>103</v>
      </c>
      <c r="J6" s="49"/>
      <c r="K6" s="49" t="s">
        <v>104</v>
      </c>
      <c r="L6" s="49"/>
      <c r="M6" s="49" t="s">
        <v>105</v>
      </c>
      <c r="N6" s="49"/>
      <c r="O6" s="49" t="s">
        <v>106</v>
      </c>
      <c r="P6" s="49"/>
      <c r="Q6" s="49" t="s">
        <v>107</v>
      </c>
      <c r="R6" s="49"/>
      <c r="S6" s="49" t="s">
        <v>108</v>
      </c>
      <c r="T6" s="49"/>
      <c r="U6" s="49" t="s">
        <v>109</v>
      </c>
      <c r="V6" s="49"/>
      <c r="W6" s="49" t="s">
        <v>110</v>
      </c>
      <c r="X6" s="49"/>
    </row>
    <row r="7" customFormat="false" ht="24" hidden="false" customHeight="true" outlineLevel="0" collapsed="false">
      <c r="A7" s="17" t="s">
        <v>111</v>
      </c>
      <c r="B7" s="50" t="s">
        <v>112</v>
      </c>
      <c r="C7" s="50"/>
      <c r="D7" s="50"/>
      <c r="E7" s="50"/>
      <c r="F7" s="50"/>
      <c r="G7" s="50"/>
      <c r="H7" s="48" t="s">
        <v>113</v>
      </c>
      <c r="I7" s="49" t="s">
        <v>114</v>
      </c>
      <c r="J7" s="49"/>
      <c r="K7" s="49" t="s">
        <v>115</v>
      </c>
      <c r="L7" s="49"/>
      <c r="M7" s="49" t="s">
        <v>114</v>
      </c>
      <c r="N7" s="49"/>
      <c r="O7" s="49" t="s">
        <v>114</v>
      </c>
      <c r="P7" s="49"/>
      <c r="Q7" s="49" t="s">
        <v>114</v>
      </c>
      <c r="R7" s="49"/>
      <c r="S7" s="49" t="s">
        <v>114</v>
      </c>
      <c r="T7" s="49"/>
      <c r="U7" s="49" t="s">
        <v>116</v>
      </c>
      <c r="V7" s="49"/>
      <c r="W7" s="49" t="s">
        <v>114</v>
      </c>
      <c r="X7" s="49"/>
    </row>
    <row r="8" customFormat="false" ht="42" hidden="false" customHeight="true" outlineLevel="0" collapsed="false">
      <c r="A8" s="17" t="s">
        <v>117</v>
      </c>
      <c r="B8" s="51" t="n">
        <f aca="false">COUNT(A11:A39)</f>
        <v>29</v>
      </c>
      <c r="H8" s="48" t="s">
        <v>118</v>
      </c>
      <c r="I8" s="49" t="s">
        <v>119</v>
      </c>
      <c r="J8" s="49"/>
      <c r="K8" s="49" t="s">
        <v>120</v>
      </c>
      <c r="L8" s="49"/>
      <c r="M8" s="49" t="s">
        <v>121</v>
      </c>
      <c r="N8" s="49"/>
      <c r="O8" s="49" t="s">
        <v>122</v>
      </c>
      <c r="P8" s="49"/>
      <c r="Q8" s="49" t="s">
        <v>123</v>
      </c>
      <c r="R8" s="49"/>
      <c r="S8" s="49" t="s">
        <v>124</v>
      </c>
      <c r="T8" s="49"/>
      <c r="U8" s="49" t="s">
        <v>125</v>
      </c>
      <c r="V8" s="49"/>
      <c r="W8" s="49" t="s">
        <v>126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2" t="n">
        <v>0.7</v>
      </c>
      <c r="J9" s="52"/>
      <c r="K9" s="52" t="n">
        <v>3.5</v>
      </c>
      <c r="L9" s="52"/>
      <c r="M9" s="52" t="n">
        <v>0.2</v>
      </c>
      <c r="N9" s="52"/>
      <c r="O9" s="52" t="n">
        <v>3.5</v>
      </c>
      <c r="P9" s="52"/>
      <c r="Q9" s="53" t="n">
        <v>50</v>
      </c>
      <c r="R9" s="53"/>
      <c r="S9" s="54" t="n">
        <v>1</v>
      </c>
      <c r="T9" s="54"/>
      <c r="U9" s="52" t="n">
        <v>0.2</v>
      </c>
      <c r="V9" s="52"/>
      <c r="W9" s="52" t="n">
        <v>0.2</v>
      </c>
      <c r="X9" s="52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17.2413793103448</v>
      </c>
      <c r="D11" s="58"/>
      <c r="E11" s="57" t="n">
        <f aca="false">SUM($C$11:C11)</f>
        <v>17.2413793103448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0"/>
      <c r="J11" s="61" t="str">
        <f aca="false">IF(I11="","",IF($I$9="","",IF($I$9=0,"",I11/$I$9)))</f>
        <v/>
      </c>
      <c r="K11" s="60"/>
      <c r="L11" s="61" t="str">
        <f aca="false">IF(K11="","",IF($K$9="","",IF($K$9=0,"",K11/$K$9)))</f>
        <v/>
      </c>
      <c r="M11" s="60"/>
      <c r="N11" s="61" t="str">
        <f aca="false">IF(M11="","",IF($M$9="","",IF($M$9=0,"",M11/$M$9)))</f>
        <v/>
      </c>
      <c r="O11" s="60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0"/>
      <c r="V11" s="61" t="str">
        <f aca="false">IF(U11="","",IF($U$9="","",IF($U$9=0,"",U11/$U$9)))</f>
        <v/>
      </c>
      <c r="W11" s="60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17.2413793103448</v>
      </c>
      <c r="D12" s="58"/>
      <c r="E12" s="65" t="n">
        <f aca="false">SUM($C$11:C12)</f>
        <v>34.4827586206897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0"/>
      <c r="J12" s="67" t="str">
        <f aca="false">IF(I12="","",IF($I$9="","",IF($I$9=0,"",I12/$I$9)))</f>
        <v/>
      </c>
      <c r="K12" s="60"/>
      <c r="L12" s="67" t="str">
        <f aca="false">IF(K12="","",IF($K$9="","",IF($K$9=0,"",K12/$K$9)))</f>
        <v/>
      </c>
      <c r="M12" s="60"/>
      <c r="N12" s="67" t="str">
        <f aca="false">IF(M12="","",IF($M$9="","",IF($M$9=0,"",M12/$M$9)))</f>
        <v/>
      </c>
      <c r="O12" s="60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0"/>
      <c r="V12" s="67" t="str">
        <f aca="false">IF(U12="","",IF($U$9="","",IF($U$9=0,"",U12/$U$9)))</f>
        <v/>
      </c>
      <c r="W12" s="60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17.2413793103448</v>
      </c>
      <c r="D13" s="58"/>
      <c r="E13" s="57" t="n">
        <f aca="false">SUM($C$11:C13)</f>
        <v>51.7241379310345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0"/>
      <c r="J13" s="61" t="str">
        <f aca="false">IF(I13="","",IF($I$9="","",IF($I$9=0,"",I13/$I$9)))</f>
        <v/>
      </c>
      <c r="K13" s="60"/>
      <c r="L13" s="61" t="str">
        <f aca="false">IF(K13="","",IF($K$9="","",IF($K$9=0,"",K13/$K$9)))</f>
        <v/>
      </c>
      <c r="M13" s="60"/>
      <c r="N13" s="61" t="str">
        <f aca="false">IF(M13="","",IF($M$9="","",IF($M$9=0,"",M13/$M$9)))</f>
        <v/>
      </c>
      <c r="O13" s="60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0"/>
      <c r="V13" s="61" t="str">
        <f aca="false">IF(U13="","",IF($U$9="","",IF($U$9=0,"",U13/$U$9)))</f>
        <v/>
      </c>
      <c r="W13" s="60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17.2413793103448</v>
      </c>
      <c r="D14" s="58"/>
      <c r="E14" s="65" t="n">
        <f aca="false">SUM($C$11:C14)</f>
        <v>68.9655172413793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0"/>
      <c r="J14" s="67" t="str">
        <f aca="false">IF(I14="","",IF($I$9="","",IF($I$9=0,"",I14/$I$9)))</f>
        <v/>
      </c>
      <c r="K14" s="60"/>
      <c r="L14" s="67" t="str">
        <f aca="false">IF(K14="","",IF($K$9="","",IF($K$9=0,"",K14/$K$9)))</f>
        <v/>
      </c>
      <c r="M14" s="60"/>
      <c r="N14" s="67" t="str">
        <f aca="false">IF(M14="","",IF($M$9="","",IF($M$9=0,"",M14/$M$9)))</f>
        <v/>
      </c>
      <c r="O14" s="60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0"/>
      <c r="V14" s="67" t="str">
        <f aca="false">IF(U14="","",IF($U$9="","",IF($U$9=0,"",U14/$U$9)))</f>
        <v/>
      </c>
      <c r="W14" s="60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17.2413793103448</v>
      </c>
      <c r="D15" s="58"/>
      <c r="E15" s="57" t="n">
        <f aca="false">SUM($C$11:C15)</f>
        <v>86.2068965517241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0"/>
      <c r="J15" s="61" t="str">
        <f aca="false">IF(I15="","",IF($I$9="","",IF($I$9=0,"",I15/$I$9)))</f>
        <v/>
      </c>
      <c r="K15" s="60"/>
      <c r="L15" s="61" t="str">
        <f aca="false">IF(K15="","",IF($K$9="","",IF($K$9=0,"",K15/$K$9)))</f>
        <v/>
      </c>
      <c r="M15" s="60"/>
      <c r="N15" s="61" t="str">
        <f aca="false">IF(M15="","",IF($M$9="","",IF($M$9=0,"",M15/$M$9)))</f>
        <v/>
      </c>
      <c r="O15" s="60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0"/>
      <c r="V15" s="61" t="str">
        <f aca="false">IF(U15="","",IF($U$9="","",IF($U$9=0,"",U15/$U$9)))</f>
        <v/>
      </c>
      <c r="W15" s="60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17.2413793103448</v>
      </c>
      <c r="D16" s="58"/>
      <c r="E16" s="65" t="n">
        <f aca="false">SUM($C$11:C16)</f>
        <v>103.448275862069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0"/>
      <c r="J16" s="67" t="str">
        <f aca="false">IF(I16="","",IF($I$9="","",IF($I$9=0,"",I16/$I$9)))</f>
        <v/>
      </c>
      <c r="K16" s="60"/>
      <c r="L16" s="67" t="str">
        <f aca="false">IF(K16="","",IF($K$9="","",IF($K$9=0,"",K16/$K$9)))</f>
        <v/>
      </c>
      <c r="M16" s="60"/>
      <c r="N16" s="67" t="str">
        <f aca="false">IF(M16="","",IF($M$9="","",IF($M$9=0,"",M16/$M$9)))</f>
        <v/>
      </c>
      <c r="O16" s="60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0"/>
      <c r="V16" s="67" t="str">
        <f aca="false">IF(U16="","",IF($U$9="","",IF($U$9=0,"",U16/$U$9)))</f>
        <v/>
      </c>
      <c r="W16" s="60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17.2413793103448</v>
      </c>
      <c r="D17" s="58"/>
      <c r="E17" s="57" t="n">
        <f aca="false">SUM($C$11:C17)</f>
        <v>120.689655172414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0"/>
      <c r="J17" s="61" t="str">
        <f aca="false">IF(I17="","",IF($I$9="","",IF($I$9=0,"",I17/$I$9)))</f>
        <v/>
      </c>
      <c r="K17" s="60"/>
      <c r="L17" s="61" t="str">
        <f aca="false">IF(K17="","",IF($K$9="","",IF($K$9=0,"",K17/$K$9)))</f>
        <v/>
      </c>
      <c r="M17" s="60"/>
      <c r="N17" s="61" t="str">
        <f aca="false">IF(M17="","",IF($M$9="","",IF($M$9=0,"",M17/$M$9)))</f>
        <v/>
      </c>
      <c r="O17" s="60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0"/>
      <c r="V17" s="61" t="str">
        <f aca="false">IF(U17="","",IF($U$9="","",IF($U$9=0,"",U17/$U$9)))</f>
        <v/>
      </c>
      <c r="W17" s="60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17.2413793103448</v>
      </c>
      <c r="D18" s="58"/>
      <c r="E18" s="65" t="n">
        <f aca="false">SUM($C$11:C18)</f>
        <v>137.931034482759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0"/>
      <c r="J18" s="67" t="str">
        <f aca="false">IF(I18="","",IF($I$9="","",IF($I$9=0,"",I18/$I$9)))</f>
        <v/>
      </c>
      <c r="K18" s="60"/>
      <c r="L18" s="67" t="str">
        <f aca="false">IF(K18="","",IF($K$9="","",IF($K$9=0,"",K18/$K$9)))</f>
        <v/>
      </c>
      <c r="M18" s="60"/>
      <c r="N18" s="67" t="str">
        <f aca="false">IF(M18="","",IF($M$9="","",IF($M$9=0,"",M18/$M$9)))</f>
        <v/>
      </c>
      <c r="O18" s="60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0"/>
      <c r="V18" s="67" t="str">
        <f aca="false">IF(U18="","",IF($U$9="","",IF($U$9=0,"",U18/$U$9)))</f>
        <v/>
      </c>
      <c r="W18" s="60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17.2413793103448</v>
      </c>
      <c r="D19" s="58"/>
      <c r="E19" s="57" t="n">
        <f aca="false">SUM($C$11:C19)</f>
        <v>155.172413793103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0"/>
      <c r="J19" s="61" t="str">
        <f aca="false">IF(I19="","",IF($I$9="","",IF($I$9=0,"",I19/$I$9)))</f>
        <v/>
      </c>
      <c r="K19" s="60"/>
      <c r="L19" s="61" t="str">
        <f aca="false">IF(K19="","",IF($K$9="","",IF($K$9=0,"",K19/$K$9)))</f>
        <v/>
      </c>
      <c r="M19" s="60"/>
      <c r="N19" s="61" t="str">
        <f aca="false">IF(M19="","",IF($M$9="","",IF($M$9=0,"",M19/$M$9)))</f>
        <v/>
      </c>
      <c r="O19" s="60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0"/>
      <c r="V19" s="61" t="str">
        <f aca="false">IF(U19="","",IF($U$9="","",IF($U$9=0,"",U19/$U$9)))</f>
        <v/>
      </c>
      <c r="W19" s="60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17.2413793103448</v>
      </c>
      <c r="D20" s="58"/>
      <c r="E20" s="65" t="n">
        <f aca="false">SUM($C$11:C20)</f>
        <v>172.413793103448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0"/>
      <c r="J20" s="67" t="str">
        <f aca="false">IF(I20="","",IF($I$9="","",IF($I$9=0,"",I20/$I$9)))</f>
        <v/>
      </c>
      <c r="K20" s="60"/>
      <c r="L20" s="67" t="str">
        <f aca="false">IF(K20="","",IF($K$9="","",IF($K$9=0,"",K20/$K$9)))</f>
        <v/>
      </c>
      <c r="M20" s="60"/>
      <c r="N20" s="67" t="str">
        <f aca="false">IF(M20="","",IF($M$9="","",IF($M$9=0,"",M20/$M$9)))</f>
        <v/>
      </c>
      <c r="O20" s="60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0"/>
      <c r="V20" s="67" t="str">
        <f aca="false">IF(U20="","",IF($U$9="","",IF($U$9=0,"",U20/$U$9)))</f>
        <v/>
      </c>
      <c r="W20" s="60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17.2413793103448</v>
      </c>
      <c r="D21" s="58"/>
      <c r="E21" s="57" t="n">
        <f aca="false">SUM($C$11:C21)</f>
        <v>189.655172413793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0"/>
      <c r="J21" s="61" t="str">
        <f aca="false">IF(I21="","",IF($I$9="","",IF($I$9=0,"",I21/$I$9)))</f>
        <v/>
      </c>
      <c r="K21" s="60"/>
      <c r="L21" s="61" t="str">
        <f aca="false">IF(K21="","",IF($K$9="","",IF($K$9=0,"",K21/$K$9)))</f>
        <v/>
      </c>
      <c r="M21" s="60"/>
      <c r="N21" s="61" t="str">
        <f aca="false">IF(M21="","",IF($M$9="","",IF($M$9=0,"",M21/$M$9)))</f>
        <v/>
      </c>
      <c r="O21" s="60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0"/>
      <c r="V21" s="61" t="str">
        <f aca="false">IF(U21="","",IF($U$9="","",IF($U$9=0,"",U21/$U$9)))</f>
        <v/>
      </c>
      <c r="W21" s="60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17.2413793103448</v>
      </c>
      <c r="D22" s="58"/>
      <c r="E22" s="65" t="n">
        <f aca="false">SUM($C$11:C22)</f>
        <v>206.896551724138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0"/>
      <c r="J22" s="67" t="str">
        <f aca="false">IF(I22="","",IF($I$9="","",IF($I$9=0,"",I22/$I$9)))</f>
        <v/>
      </c>
      <c r="K22" s="60"/>
      <c r="L22" s="67" t="str">
        <f aca="false">IF(K22="","",IF($K$9="","",IF($K$9=0,"",K22/$K$9)))</f>
        <v/>
      </c>
      <c r="M22" s="60"/>
      <c r="N22" s="67" t="str">
        <f aca="false">IF(M22="","",IF($M$9="","",IF($M$9=0,"",M22/$M$9)))</f>
        <v/>
      </c>
      <c r="O22" s="60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0"/>
      <c r="V22" s="67" t="str">
        <f aca="false">IF(U22="","",IF($U$9="","",IF($U$9=0,"",U22/$U$9)))</f>
        <v/>
      </c>
      <c r="W22" s="60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17.2413793103448</v>
      </c>
      <c r="D23" s="58"/>
      <c r="E23" s="57" t="n">
        <f aca="false">SUM($C$11:C23)</f>
        <v>224.137931034483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0"/>
      <c r="J23" s="61" t="str">
        <f aca="false">IF(I23="","",IF($I$9="","",IF($I$9=0,"",I23/$I$9)))</f>
        <v/>
      </c>
      <c r="K23" s="60"/>
      <c r="L23" s="61" t="str">
        <f aca="false">IF(K23="","",IF($K$9="","",IF($K$9=0,"",K23/$K$9)))</f>
        <v/>
      </c>
      <c r="M23" s="60"/>
      <c r="N23" s="61" t="str">
        <f aca="false">IF(M23="","",IF($M$9="","",IF($M$9=0,"",M23/$M$9)))</f>
        <v/>
      </c>
      <c r="O23" s="60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0"/>
      <c r="V23" s="61" t="str">
        <f aca="false">IF(U23="","",IF($U$9="","",IF($U$9=0,"",U23/$U$9)))</f>
        <v/>
      </c>
      <c r="W23" s="60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17.2413793103448</v>
      </c>
      <c r="D24" s="58"/>
      <c r="E24" s="65" t="n">
        <f aca="false">SUM($C$11:C24)</f>
        <v>241.379310344828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0"/>
      <c r="J24" s="67" t="str">
        <f aca="false">IF(I24="","",IF($I$9="","",IF($I$9=0,"",I24/$I$9)))</f>
        <v/>
      </c>
      <c r="K24" s="60"/>
      <c r="L24" s="67" t="str">
        <f aca="false">IF(K24="","",IF($K$9="","",IF($K$9=0,"",K24/$K$9)))</f>
        <v/>
      </c>
      <c r="M24" s="60"/>
      <c r="N24" s="67" t="str">
        <f aca="false">IF(M24="","",IF($M$9="","",IF($M$9=0,"",M24/$M$9)))</f>
        <v/>
      </c>
      <c r="O24" s="60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0"/>
      <c r="V24" s="67" t="str">
        <f aca="false">IF(U24="","",IF($U$9="","",IF($U$9=0,"",U24/$U$9)))</f>
        <v/>
      </c>
      <c r="W24" s="60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17.2413793103448</v>
      </c>
      <c r="D25" s="58"/>
      <c r="E25" s="57" t="n">
        <f aca="false">SUM($C$11:C25)</f>
        <v>258.620689655172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0"/>
      <c r="J25" s="61" t="str">
        <f aca="false">IF(I25="","",IF($I$9="","",IF($I$9=0,"",I25/$I$9)))</f>
        <v/>
      </c>
      <c r="K25" s="60"/>
      <c r="L25" s="61" t="str">
        <f aca="false">IF(K25="","",IF($K$9="","",IF($K$9=0,"",K25/$K$9)))</f>
        <v/>
      </c>
      <c r="M25" s="60"/>
      <c r="N25" s="61" t="str">
        <f aca="false">IF(M25="","",IF($M$9="","",IF($M$9=0,"",M25/$M$9)))</f>
        <v/>
      </c>
      <c r="O25" s="60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0"/>
      <c r="V25" s="61" t="str">
        <f aca="false">IF(U25="","",IF($U$9="","",IF($U$9=0,"",U25/$U$9)))</f>
        <v/>
      </c>
      <c r="W25" s="60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17.2413793103448</v>
      </c>
      <c r="D26" s="58"/>
      <c r="E26" s="65" t="n">
        <f aca="false">SUM($C$11:C26)</f>
        <v>275.862068965517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0"/>
      <c r="J26" s="67" t="str">
        <f aca="false">IF(I26="","",IF($I$9="","",IF($I$9=0,"",I26/$I$9)))</f>
        <v/>
      </c>
      <c r="K26" s="60"/>
      <c r="L26" s="67" t="str">
        <f aca="false">IF(K26="","",IF($K$9="","",IF($K$9=0,"",K26/$K$9)))</f>
        <v/>
      </c>
      <c r="M26" s="60"/>
      <c r="N26" s="67" t="str">
        <f aca="false">IF(M26="","",IF($M$9="","",IF($M$9=0,"",M26/$M$9)))</f>
        <v/>
      </c>
      <c r="O26" s="60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0"/>
      <c r="V26" s="67" t="str">
        <f aca="false">IF(U26="","",IF($U$9="","",IF($U$9=0,"",U26/$U$9)))</f>
        <v/>
      </c>
      <c r="W26" s="60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17.2413793103448</v>
      </c>
      <c r="D27" s="58"/>
      <c r="E27" s="57" t="n">
        <f aca="false">SUM($C$11:C27)</f>
        <v>293.103448275862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0"/>
      <c r="J27" s="61" t="str">
        <f aca="false">IF(I27="","",IF($I$9="","",IF($I$9=0,"",I27/$I$9)))</f>
        <v/>
      </c>
      <c r="K27" s="60"/>
      <c r="L27" s="61" t="str">
        <f aca="false">IF(K27="","",IF($K$9="","",IF($K$9=0,"",K27/$K$9)))</f>
        <v/>
      </c>
      <c r="M27" s="60"/>
      <c r="N27" s="61" t="str">
        <f aca="false">IF(M27="","",IF($M$9="","",IF($M$9=0,"",M27/$M$9)))</f>
        <v/>
      </c>
      <c r="O27" s="60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0"/>
      <c r="V27" s="61" t="str">
        <f aca="false">IF(U27="","",IF($U$9="","",IF($U$9=0,"",U27/$U$9)))</f>
        <v/>
      </c>
      <c r="W27" s="60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17.2413793103448</v>
      </c>
      <c r="D28" s="58"/>
      <c r="E28" s="65" t="n">
        <f aca="false">SUM($C$11:C28)</f>
        <v>310.344827586207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0"/>
      <c r="J28" s="67" t="str">
        <f aca="false">IF(I28="","",IF($I$9="","",IF($I$9=0,"",I28/$I$9)))</f>
        <v/>
      </c>
      <c r="K28" s="60"/>
      <c r="L28" s="67" t="str">
        <f aca="false">IF(K28="","",IF($K$9="","",IF($K$9=0,"",K28/$K$9)))</f>
        <v/>
      </c>
      <c r="M28" s="60"/>
      <c r="N28" s="67" t="str">
        <f aca="false">IF(M28="","",IF($M$9="","",IF($M$9=0,"",M28/$M$9)))</f>
        <v/>
      </c>
      <c r="O28" s="60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0"/>
      <c r="V28" s="67" t="str">
        <f aca="false">IF(U28="","",IF($U$9="","",IF($U$9=0,"",U28/$U$9)))</f>
        <v/>
      </c>
      <c r="W28" s="60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17.2413793103448</v>
      </c>
      <c r="D29" s="58"/>
      <c r="E29" s="57" t="n">
        <f aca="false">SUM($C$11:C29)</f>
        <v>327.586206896552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0"/>
      <c r="J29" s="61" t="str">
        <f aca="false">IF(I29="","",IF($I$9="","",IF($I$9=0,"",I29/$I$9)))</f>
        <v/>
      </c>
      <c r="K29" s="60"/>
      <c r="L29" s="61" t="str">
        <f aca="false">IF(K29="","",IF($K$9="","",IF($K$9=0,"",K29/$K$9)))</f>
        <v/>
      </c>
      <c r="M29" s="60"/>
      <c r="N29" s="61" t="str">
        <f aca="false">IF(M29="","",IF($M$9="","",IF($M$9=0,"",M29/$M$9)))</f>
        <v/>
      </c>
      <c r="O29" s="60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0"/>
      <c r="V29" s="61" t="str">
        <f aca="false">IF(U29="","",IF($U$9="","",IF($U$9=0,"",U29/$U$9)))</f>
        <v/>
      </c>
      <c r="W29" s="60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17.2413793103448</v>
      </c>
      <c r="D30" s="58"/>
      <c r="E30" s="65" t="n">
        <f aca="false">SUM($C$11:C30)</f>
        <v>344.827586206897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0"/>
      <c r="J30" s="67" t="str">
        <f aca="false">IF(I30="","",IF($I$9="","",IF($I$9=0,"",I30/$I$9)))</f>
        <v/>
      </c>
      <c r="K30" s="60"/>
      <c r="L30" s="67" t="str">
        <f aca="false">IF(K30="","",IF($K$9="","",IF($K$9=0,"",K30/$K$9)))</f>
        <v/>
      </c>
      <c r="M30" s="60"/>
      <c r="N30" s="67" t="str">
        <f aca="false">IF(M30="","",IF($M$9="","",IF($M$9=0,"",M30/$M$9)))</f>
        <v/>
      </c>
      <c r="O30" s="60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0"/>
      <c r="V30" s="67" t="str">
        <f aca="false">IF(U30="","",IF($U$9="","",IF($U$9=0,"",U30/$U$9)))</f>
        <v/>
      </c>
      <c r="W30" s="60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17.2413793103448</v>
      </c>
      <c r="D31" s="58"/>
      <c r="E31" s="57" t="n">
        <f aca="false">SUM($C$11:C31)</f>
        <v>362.068965517241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0"/>
      <c r="J31" s="61" t="str">
        <f aca="false">IF(I31="","",IF($I$9="","",IF($I$9=0,"",I31/$I$9)))</f>
        <v/>
      </c>
      <c r="K31" s="60"/>
      <c r="L31" s="61" t="str">
        <f aca="false">IF(K31="","",IF($K$9="","",IF($K$9=0,"",K31/$K$9)))</f>
        <v/>
      </c>
      <c r="M31" s="60"/>
      <c r="N31" s="61" t="str">
        <f aca="false">IF(M31="","",IF($M$9="","",IF($M$9=0,"",M31/$M$9)))</f>
        <v/>
      </c>
      <c r="O31" s="60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0"/>
      <c r="V31" s="61" t="str">
        <f aca="false">IF(U31="","",IF($U$9="","",IF($U$9=0,"",U31/$U$9)))</f>
        <v/>
      </c>
      <c r="W31" s="60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17.2413793103448</v>
      </c>
      <c r="D32" s="58"/>
      <c r="E32" s="65" t="n">
        <f aca="false">SUM($C$11:C32)</f>
        <v>379.310344827586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0"/>
      <c r="J32" s="67" t="str">
        <f aca="false">IF(I32="","",IF($I$9="","",IF($I$9=0,"",I32/$I$9)))</f>
        <v/>
      </c>
      <c r="K32" s="60"/>
      <c r="L32" s="67" t="str">
        <f aca="false">IF(K32="","",IF($K$9="","",IF($K$9=0,"",K32/$K$9)))</f>
        <v/>
      </c>
      <c r="M32" s="60"/>
      <c r="N32" s="67" t="str">
        <f aca="false">IF(M32="","",IF($M$9="","",IF($M$9=0,"",M32/$M$9)))</f>
        <v/>
      </c>
      <c r="O32" s="60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0"/>
      <c r="V32" s="67" t="str">
        <f aca="false">IF(U32="","",IF($U$9="","",IF($U$9=0,"",U32/$U$9)))</f>
        <v/>
      </c>
      <c r="W32" s="60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17.2413793103448</v>
      </c>
      <c r="D33" s="58"/>
      <c r="E33" s="57" t="n">
        <f aca="false">SUM($C$11:C33)</f>
        <v>396.551724137931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0"/>
      <c r="J33" s="61" t="str">
        <f aca="false">IF(I33="","",IF($I$9="","",IF($I$9=0,"",I33/$I$9)))</f>
        <v/>
      </c>
      <c r="K33" s="60"/>
      <c r="L33" s="61" t="str">
        <f aca="false">IF(K33="","",IF($K$9="","",IF($K$9=0,"",K33/$K$9)))</f>
        <v/>
      </c>
      <c r="M33" s="60"/>
      <c r="N33" s="61" t="str">
        <f aca="false">IF(M33="","",IF($M$9="","",IF($M$9=0,"",M33/$M$9)))</f>
        <v/>
      </c>
      <c r="O33" s="60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0"/>
      <c r="V33" s="61" t="str">
        <f aca="false">IF(U33="","",IF($U$9="","",IF($U$9=0,"",U33/$U$9)))</f>
        <v/>
      </c>
      <c r="W33" s="60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17.2413793103448</v>
      </c>
      <c r="D34" s="58"/>
      <c r="E34" s="65" t="n">
        <f aca="false">SUM($C$11:C34)</f>
        <v>413.793103448276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0"/>
      <c r="J34" s="67" t="str">
        <f aca="false">IF(I34="","",IF($I$9="","",IF($I$9=0,"",I34/$I$9)))</f>
        <v/>
      </c>
      <c r="K34" s="60"/>
      <c r="L34" s="67" t="str">
        <f aca="false">IF(K34="","",IF($K$9="","",IF($K$9=0,"",K34/$K$9)))</f>
        <v/>
      </c>
      <c r="M34" s="60"/>
      <c r="N34" s="67" t="str">
        <f aca="false">IF(M34="","",IF($M$9="","",IF($M$9=0,"",M34/$M$9)))</f>
        <v/>
      </c>
      <c r="O34" s="60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0"/>
      <c r="V34" s="67" t="str">
        <f aca="false">IF(U34="","",IF($U$9="","",IF($U$9=0,"",U34/$U$9)))</f>
        <v/>
      </c>
      <c r="W34" s="60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17.2413793103448</v>
      </c>
      <c r="D35" s="58"/>
      <c r="E35" s="57" t="n">
        <f aca="false">SUM($C$11:C35)</f>
        <v>431.034482758621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0"/>
      <c r="J35" s="61" t="str">
        <f aca="false">IF(I35="","",IF($I$9="","",IF($I$9=0,"",I35/$I$9)))</f>
        <v/>
      </c>
      <c r="K35" s="60"/>
      <c r="L35" s="61" t="str">
        <f aca="false">IF(K35="","",IF($K$9="","",IF($K$9=0,"",K35/$K$9)))</f>
        <v/>
      </c>
      <c r="M35" s="60"/>
      <c r="N35" s="61" t="str">
        <f aca="false">IF(M35="","",IF($M$9="","",IF($M$9=0,"",M35/$M$9)))</f>
        <v/>
      </c>
      <c r="O35" s="60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0"/>
      <c r="V35" s="61" t="str">
        <f aca="false">IF(U35="","",IF($U$9="","",IF($U$9=0,"",U35/$U$9)))</f>
        <v/>
      </c>
      <c r="W35" s="60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17.2413793103448</v>
      </c>
      <c r="D36" s="58"/>
      <c r="E36" s="65" t="n">
        <f aca="false">SUM($C$11:C36)</f>
        <v>448.275862068966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0"/>
      <c r="J36" s="67" t="str">
        <f aca="false">IF(I36="","",IF($I$9="","",IF($I$9=0,"",I36/$I$9)))</f>
        <v/>
      </c>
      <c r="K36" s="60"/>
      <c r="L36" s="67" t="str">
        <f aca="false">IF(K36="","",IF($K$9="","",IF($K$9=0,"",K36/$K$9)))</f>
        <v/>
      </c>
      <c r="M36" s="60"/>
      <c r="N36" s="67" t="str">
        <f aca="false">IF(M36="","",IF($M$9="","",IF($M$9=0,"",M36/$M$9)))</f>
        <v/>
      </c>
      <c r="O36" s="60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0"/>
      <c r="V36" s="67" t="str">
        <f aca="false">IF(U36="","",IF($U$9="","",IF($U$9=0,"",U36/$U$9)))</f>
        <v/>
      </c>
      <c r="W36" s="60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17.2413793103448</v>
      </c>
      <c r="D37" s="58"/>
      <c r="E37" s="57" t="n">
        <f aca="false">SUM($C$11:C37)</f>
        <v>465.51724137931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0"/>
      <c r="J37" s="61" t="str">
        <f aca="false">IF(I37="","",IF($I$9="","",IF($I$9=0,"",I37/$I$9)))</f>
        <v/>
      </c>
      <c r="K37" s="60"/>
      <c r="L37" s="61" t="str">
        <f aca="false">IF(K37="","",IF($K$9="","",IF($K$9=0,"",K37/$K$9)))</f>
        <v/>
      </c>
      <c r="M37" s="60"/>
      <c r="N37" s="61" t="str">
        <f aca="false">IF(M37="","",IF($M$9="","",IF($M$9=0,"",M37/$M$9)))</f>
        <v/>
      </c>
      <c r="O37" s="60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0"/>
      <c r="V37" s="61" t="str">
        <f aca="false">IF(U37="","",IF($U$9="","",IF($U$9=0,"",U37/$U$9)))</f>
        <v/>
      </c>
      <c r="W37" s="60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17.2413793103448</v>
      </c>
      <c r="D38" s="58"/>
      <c r="E38" s="65" t="n">
        <f aca="false">SUM($C$11:C38)</f>
        <v>482.758620689655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0"/>
      <c r="J38" s="67" t="str">
        <f aca="false">IF(I38="","",IF($I$9="","",IF($I$9=0,"",I38/$I$9)))</f>
        <v/>
      </c>
      <c r="K38" s="60"/>
      <c r="L38" s="67" t="str">
        <f aca="false">IF(K38="","",IF($K$9="","",IF($K$9=0,"",K38/$K$9)))</f>
        <v/>
      </c>
      <c r="M38" s="60"/>
      <c r="N38" s="67" t="str">
        <f aca="false">IF(M38="","",IF($M$9="","",IF($M$9=0,"",M38/$M$9)))</f>
        <v/>
      </c>
      <c r="O38" s="60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0"/>
      <c r="V38" s="67" t="str">
        <f aca="false">IF(U38="","",IF($U$9="","",IF($U$9=0,"",U38/$U$9)))</f>
        <v/>
      </c>
      <c r="W38" s="60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17.2413793103448</v>
      </c>
      <c r="D39" s="58"/>
      <c r="E39" s="57" t="n">
        <f aca="false">SUM($C$11:C39)</f>
        <v>500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0"/>
      <c r="J39" s="61" t="str">
        <f aca="false">IF(I39="","",IF($I$9="","",IF($I$9=0,"",I39/$I$9)))</f>
        <v/>
      </c>
      <c r="K39" s="60"/>
      <c r="L39" s="61" t="str">
        <f aca="false">IF(K39="","",IF($K$9="","",IF($K$9=0,"",K39/$K$9)))</f>
        <v/>
      </c>
      <c r="M39" s="60"/>
      <c r="N39" s="61" t="str">
        <f aca="false">IF(M39="","",IF($M$9="","",IF($M$9=0,"",M39/$M$9)))</f>
        <v/>
      </c>
      <c r="O39" s="60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0"/>
      <c r="V39" s="61" t="str">
        <f aca="false">IF(U39="","",IF($U$9="","",IF($U$9=0,"",U39/$U$9)))</f>
        <v/>
      </c>
      <c r="W39" s="60"/>
      <c r="X39" s="61" t="str">
        <f aca="false">IF(W39="","",IF($W$9="","",IF($W$9=0,"",W39/$W$9)))</f>
        <v/>
      </c>
    </row>
    <row r="41" customFormat="false" ht="15" hidden="false" customHeight="false" outlineLevel="0" collapsed="false">
      <c r="A41" s="68" t="s">
        <v>133</v>
      </c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</row>
    <row r="42" customFormat="false" ht="15" hidden="false" customHeight="false" outlineLevel="0" collapsed="false">
      <c r="A42" s="69" t="s">
        <v>134</v>
      </c>
      <c r="B42" s="69"/>
      <c r="C42" s="69"/>
      <c r="D42" s="69"/>
      <c r="E42" s="4" t="s">
        <v>135</v>
      </c>
      <c r="F42" s="4" t="s">
        <v>136</v>
      </c>
      <c r="G42" s="4" t="s">
        <v>137</v>
      </c>
      <c r="H42" s="4" t="s">
        <v>9</v>
      </c>
    </row>
    <row r="43" customFormat="false" ht="21.75" hidden="false" customHeight="true" outlineLevel="0" collapsed="false">
      <c r="A43" s="70" t="s">
        <v>138</v>
      </c>
      <c r="B43" s="70"/>
      <c r="C43" s="70"/>
      <c r="D43" s="70"/>
      <c r="E43" s="71"/>
      <c r="F43" s="71" t="s">
        <v>139</v>
      </c>
      <c r="G43" s="72" t="n">
        <v>46295</v>
      </c>
      <c r="H43" s="71" t="s">
        <v>78</v>
      </c>
    </row>
    <row r="44" customFormat="false" ht="21.75" hidden="false" customHeight="true" outlineLevel="0" collapsed="false">
      <c r="A44" s="70" t="s">
        <v>140</v>
      </c>
      <c r="B44" s="70"/>
      <c r="C44" s="70"/>
      <c r="D44" s="70"/>
      <c r="E44" s="71" t="n">
        <v>5</v>
      </c>
      <c r="F44" s="71" t="s">
        <v>96</v>
      </c>
      <c r="G44" s="72" t="n">
        <v>46234</v>
      </c>
      <c r="H44" s="71" t="s">
        <v>79</v>
      </c>
    </row>
    <row r="45" customFormat="false" ht="21.75" hidden="false" customHeight="true" outlineLevel="0" collapsed="false">
      <c r="A45" s="70"/>
      <c r="B45" s="70"/>
      <c r="C45" s="70"/>
      <c r="D45" s="70"/>
      <c r="E45" s="71"/>
      <c r="F45" s="71"/>
      <c r="G45" s="72"/>
      <c r="H45" s="71"/>
    </row>
    <row r="46" customFormat="false" ht="21.75" hidden="false" customHeight="true" outlineLevel="0" collapsed="false">
      <c r="A46" s="70"/>
      <c r="B46" s="70"/>
      <c r="C46" s="70"/>
      <c r="D46" s="70"/>
      <c r="E46" s="71"/>
      <c r="F46" s="71"/>
      <c r="G46" s="72"/>
      <c r="H46" s="71"/>
    </row>
    <row r="47" customFormat="false" ht="21.75" hidden="false" customHeight="true" outlineLevel="0" collapsed="false">
      <c r="A47" s="70"/>
      <c r="B47" s="70"/>
      <c r="C47" s="70"/>
      <c r="D47" s="70"/>
      <c r="E47" s="71"/>
      <c r="F47" s="71"/>
      <c r="G47" s="72"/>
      <c r="H47" s="71"/>
    </row>
    <row r="48" customFormat="false" ht="21.75" hidden="false" customHeight="true" outlineLevel="0" collapsed="false">
      <c r="A48" s="70"/>
      <c r="B48" s="70"/>
      <c r="C48" s="70"/>
      <c r="D48" s="70"/>
      <c r="E48" s="71"/>
      <c r="F48" s="71"/>
      <c r="G48" s="72"/>
      <c r="H48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141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142</v>
      </c>
    </row>
    <row r="3" customFormat="false" ht="15" hidden="false" customHeight="false" outlineLevel="0" collapsed="false">
      <c r="A3" s="17" t="s">
        <v>84</v>
      </c>
      <c r="B3" s="44" t="s">
        <v>143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43</v>
      </c>
    </row>
    <row r="5" customFormat="false" ht="24" hidden="false" customHeight="true" outlineLevel="0" collapsed="false">
      <c r="A5" s="17" t="s">
        <v>89</v>
      </c>
      <c r="B5" s="18" t="n">
        <v>10000</v>
      </c>
      <c r="D5" s="17" t="s">
        <v>90</v>
      </c>
      <c r="E5" s="47" t="n">
        <v>46188</v>
      </c>
      <c r="F5" s="17" t="s">
        <v>91</v>
      </c>
      <c r="G5" s="47" t="n">
        <v>46475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COUNT(A11:A52)</f>
        <v>42</v>
      </c>
      <c r="H8" s="48" t="s">
        <v>118</v>
      </c>
      <c r="I8" s="49" t="s">
        <v>144</v>
      </c>
      <c r="J8" s="49"/>
      <c r="K8" s="49" t="s">
        <v>145</v>
      </c>
      <c r="L8" s="49"/>
      <c r="M8" s="49" t="s">
        <v>146</v>
      </c>
      <c r="N8" s="49"/>
      <c r="O8" s="49" t="s">
        <v>147</v>
      </c>
      <c r="P8" s="49"/>
      <c r="Q8" s="49" t="s">
        <v>148</v>
      </c>
      <c r="R8" s="49"/>
      <c r="S8" s="49" t="s">
        <v>149</v>
      </c>
      <c r="T8" s="49"/>
      <c r="U8" s="49" t="s">
        <v>150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3</v>
      </c>
      <c r="J9" s="53"/>
      <c r="K9" s="53" t="n">
        <v>40</v>
      </c>
      <c r="L9" s="53"/>
      <c r="M9" s="53" t="n">
        <v>4</v>
      </c>
      <c r="N9" s="53"/>
      <c r="O9" s="53" t="n">
        <v>2</v>
      </c>
      <c r="P9" s="53"/>
      <c r="Q9" s="54" t="n">
        <v>0.2</v>
      </c>
      <c r="R9" s="54"/>
      <c r="S9" s="53" t="n">
        <v>6</v>
      </c>
      <c r="T9" s="53"/>
      <c r="U9" s="53" t="n">
        <v>1</v>
      </c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238.095238095238</v>
      </c>
      <c r="D11" s="58"/>
      <c r="E11" s="73" t="n">
        <f aca="false">SUM($C$11:C11)</f>
        <v>238.095238095238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238.095238095238</v>
      </c>
      <c r="D12" s="58"/>
      <c r="E12" s="74" t="n">
        <f aca="false">SUM($C$11:C12)</f>
        <v>476.190476190476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238.095238095238</v>
      </c>
      <c r="D13" s="58"/>
      <c r="E13" s="73" t="n">
        <f aca="false">SUM($C$11:C13)</f>
        <v>714.285714285714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238.095238095238</v>
      </c>
      <c r="D14" s="58"/>
      <c r="E14" s="74" t="n">
        <f aca="false">SUM($C$11:C14)</f>
        <v>952.380952380952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238.095238095238</v>
      </c>
      <c r="D15" s="58"/>
      <c r="E15" s="73" t="n">
        <f aca="false">SUM($C$11:C15)</f>
        <v>1190.47619047619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238.095238095238</v>
      </c>
      <c r="D16" s="58"/>
      <c r="E16" s="74" t="n">
        <f aca="false">SUM($C$11:C16)</f>
        <v>1428.57142857143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238.095238095238</v>
      </c>
      <c r="D17" s="58"/>
      <c r="E17" s="73" t="n">
        <f aca="false">SUM($C$11:C17)</f>
        <v>1666.66666666667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238.095238095238</v>
      </c>
      <c r="D18" s="58"/>
      <c r="E18" s="74" t="n">
        <f aca="false">SUM($C$11:C18)</f>
        <v>1904.7619047619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238.095238095238</v>
      </c>
      <c r="D19" s="58"/>
      <c r="E19" s="73" t="n">
        <f aca="false">SUM($C$11:C19)</f>
        <v>2142.85714285714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238.095238095238</v>
      </c>
      <c r="D20" s="58"/>
      <c r="E20" s="74" t="n">
        <f aca="false">SUM($C$11:C20)</f>
        <v>2380.95238095238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238.095238095238</v>
      </c>
      <c r="D21" s="58"/>
      <c r="E21" s="73" t="n">
        <f aca="false">SUM($C$11:C21)</f>
        <v>2619.04761904762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238.095238095238</v>
      </c>
      <c r="D22" s="58"/>
      <c r="E22" s="74" t="n">
        <f aca="false">SUM($C$11:C22)</f>
        <v>2857.14285714286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238.095238095238</v>
      </c>
      <c r="D23" s="58"/>
      <c r="E23" s="73" t="n">
        <f aca="false">SUM($C$11:C23)</f>
        <v>3095.2380952381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238.095238095238</v>
      </c>
      <c r="D24" s="58"/>
      <c r="E24" s="74" t="n">
        <f aca="false">SUM($C$11:C24)</f>
        <v>3333.33333333333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238.095238095238</v>
      </c>
      <c r="D25" s="58"/>
      <c r="E25" s="73" t="n">
        <f aca="false">SUM($C$11:C25)</f>
        <v>3571.42857142857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238.095238095238</v>
      </c>
      <c r="D26" s="58"/>
      <c r="E26" s="74" t="n">
        <f aca="false">SUM($C$11:C26)</f>
        <v>3809.52380952381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238.095238095238</v>
      </c>
      <c r="D27" s="58"/>
      <c r="E27" s="73" t="n">
        <f aca="false">SUM($C$11:C27)</f>
        <v>4047.61904761905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238.095238095238</v>
      </c>
      <c r="D28" s="58"/>
      <c r="E28" s="74" t="n">
        <f aca="false">SUM($C$11:C28)</f>
        <v>4285.71428571429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238.095238095238</v>
      </c>
      <c r="D29" s="58"/>
      <c r="E29" s="73" t="n">
        <f aca="false">SUM($C$11:C29)</f>
        <v>4523.80952380952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238.095238095238</v>
      </c>
      <c r="D30" s="58"/>
      <c r="E30" s="74" t="n">
        <f aca="false">SUM($C$11:C30)</f>
        <v>4761.90476190476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238.095238095238</v>
      </c>
      <c r="D31" s="58"/>
      <c r="E31" s="73" t="n">
        <f aca="false">SUM($C$11:C31)</f>
        <v>5000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238.095238095238</v>
      </c>
      <c r="D32" s="58"/>
      <c r="E32" s="74" t="n">
        <f aca="false">SUM($C$11:C32)</f>
        <v>5238.09523809524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238.095238095238</v>
      </c>
      <c r="D33" s="58"/>
      <c r="E33" s="73" t="n">
        <f aca="false">SUM($C$11:C33)</f>
        <v>5476.19047619048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238.095238095238</v>
      </c>
      <c r="D34" s="58"/>
      <c r="E34" s="74" t="n">
        <f aca="false">SUM($C$11:C34)</f>
        <v>5714.28571428572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238.095238095238</v>
      </c>
      <c r="D35" s="58"/>
      <c r="E35" s="73" t="n">
        <f aca="false">SUM($C$11:C35)</f>
        <v>5952.38095238095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238.095238095238</v>
      </c>
      <c r="D36" s="58"/>
      <c r="E36" s="74" t="n">
        <f aca="false">SUM($C$11:C36)</f>
        <v>6190.47619047619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238.095238095238</v>
      </c>
      <c r="D37" s="58"/>
      <c r="E37" s="73" t="n">
        <f aca="false">SUM($C$11:C37)</f>
        <v>6428.57142857143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238.095238095238</v>
      </c>
      <c r="D38" s="58"/>
      <c r="E38" s="74" t="n">
        <f aca="false">SUM($C$11:C38)</f>
        <v>6666.66666666667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238.095238095238</v>
      </c>
      <c r="D39" s="58"/>
      <c r="E39" s="73" t="n">
        <f aca="false">SUM($C$11:C39)</f>
        <v>6904.76190476191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238.095238095238</v>
      </c>
      <c r="D40" s="58"/>
      <c r="E40" s="74" t="n">
        <f aca="false">SUM($C$11:C40)</f>
        <v>7142.85714285714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238.095238095238</v>
      </c>
      <c r="D41" s="58"/>
      <c r="E41" s="73" t="n">
        <f aca="false">SUM($C$11:C41)</f>
        <v>7380.95238095238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238.095238095238</v>
      </c>
      <c r="D42" s="58"/>
      <c r="E42" s="74" t="n">
        <f aca="false">SUM($C$11:C42)</f>
        <v>7619.04761904762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238.095238095238</v>
      </c>
      <c r="D43" s="58"/>
      <c r="E43" s="73" t="n">
        <f aca="false">SUM($C$11:C43)</f>
        <v>7857.14285714286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238.095238095238</v>
      </c>
      <c r="D44" s="58"/>
      <c r="E44" s="74" t="n">
        <f aca="false">SUM($C$11:C44)</f>
        <v>8095.2380952381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238.095238095238</v>
      </c>
      <c r="D45" s="58"/>
      <c r="E45" s="73" t="n">
        <f aca="false">SUM($C$11:C45)</f>
        <v>8333.33333333333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238.095238095238</v>
      </c>
      <c r="D46" s="58"/>
      <c r="E46" s="74" t="n">
        <f aca="false">SUM($C$11:C46)</f>
        <v>8571.42857142857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238.095238095238</v>
      </c>
      <c r="D47" s="58"/>
      <c r="E47" s="73" t="n">
        <f aca="false">SUM($C$11:C47)</f>
        <v>8809.52380952381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238.095238095238</v>
      </c>
      <c r="D48" s="58"/>
      <c r="E48" s="74" t="n">
        <f aca="false">SUM($C$11:C48)</f>
        <v>9047.61904761905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238.095238095238</v>
      </c>
      <c r="D49" s="58"/>
      <c r="E49" s="73" t="n">
        <f aca="false">SUM($C$11:C49)</f>
        <v>9285.71428571429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238.095238095238</v>
      </c>
      <c r="D50" s="58"/>
      <c r="E50" s="74" t="n">
        <f aca="false">SUM($C$11:C50)</f>
        <v>9523.80952380953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238.095238095238</v>
      </c>
      <c r="D51" s="58"/>
      <c r="E51" s="73" t="n">
        <f aca="false">SUM($C$11:C51)</f>
        <v>9761.90476190476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238.095238095238</v>
      </c>
      <c r="D52" s="58"/>
      <c r="E52" s="74" t="n">
        <f aca="false">SUM($C$11:C52)</f>
        <v>10000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4" customFormat="false" ht="15" hidden="false" customHeight="false" outlineLevel="0" collapsed="false">
      <c r="A54" s="68" t="s">
        <v>133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</row>
    <row r="55" customFormat="false" ht="15" hidden="false" customHeight="false" outlineLevel="0" collapsed="false">
      <c r="A55" s="69" t="s">
        <v>134</v>
      </c>
      <c r="B55" s="69"/>
      <c r="C55" s="69"/>
      <c r="D55" s="69"/>
      <c r="E55" s="4" t="s">
        <v>135</v>
      </c>
      <c r="F55" s="4" t="s">
        <v>136</v>
      </c>
      <c r="G55" s="4" t="s">
        <v>137</v>
      </c>
      <c r="H55" s="4" t="s">
        <v>9</v>
      </c>
    </row>
    <row r="56" customFormat="false" ht="21.75" hidden="false" customHeight="true" outlineLevel="0" collapsed="false">
      <c r="A56" s="70"/>
      <c r="B56" s="70"/>
      <c r="C56" s="70"/>
      <c r="D56" s="70"/>
      <c r="E56" s="71"/>
      <c r="F56" s="71"/>
      <c r="G56" s="72"/>
      <c r="H56" s="71"/>
    </row>
    <row r="57" customFormat="false" ht="21.75" hidden="false" customHeight="true" outlineLevel="0" collapsed="false">
      <c r="A57" s="70"/>
      <c r="B57" s="70"/>
      <c r="C57" s="70"/>
      <c r="D57" s="70"/>
      <c r="E57" s="71"/>
      <c r="F57" s="71"/>
      <c r="G57" s="72"/>
      <c r="H57" s="71"/>
    </row>
    <row r="58" customFormat="false" ht="21.75" hidden="false" customHeight="true" outlineLevel="0" collapsed="false">
      <c r="A58" s="70"/>
      <c r="B58" s="70"/>
      <c r="C58" s="70"/>
      <c r="D58" s="70"/>
      <c r="E58" s="71"/>
      <c r="F58" s="71"/>
      <c r="G58" s="72"/>
      <c r="H58" s="71"/>
    </row>
    <row r="59" customFormat="false" ht="21.75" hidden="false" customHeight="true" outlineLevel="0" collapsed="false">
      <c r="A59" s="70"/>
      <c r="B59" s="70"/>
      <c r="C59" s="70"/>
      <c r="D59" s="70"/>
      <c r="E59" s="71"/>
      <c r="F59" s="71"/>
      <c r="G59" s="72"/>
      <c r="H59" s="71"/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152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153</v>
      </c>
    </row>
    <row r="3" customFormat="false" ht="15" hidden="false" customHeight="false" outlineLevel="0" collapsed="false">
      <c r="A3" s="17" t="s">
        <v>84</v>
      </c>
      <c r="B3" s="44" t="s">
        <v>154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46</v>
      </c>
    </row>
    <row r="5" customFormat="false" ht="24" hidden="false" customHeight="true" outlineLevel="0" collapsed="false">
      <c r="A5" s="17" t="s">
        <v>89</v>
      </c>
      <c r="B5" s="46" t="n">
        <v>10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155</v>
      </c>
      <c r="J8" s="49"/>
      <c r="K8" s="49" t="s">
        <v>156</v>
      </c>
      <c r="L8" s="49"/>
      <c r="M8" s="49" t="s">
        <v>157</v>
      </c>
      <c r="N8" s="49"/>
      <c r="O8" s="49" t="s">
        <v>158</v>
      </c>
      <c r="P8" s="49"/>
      <c r="Q8" s="49" t="s">
        <v>159</v>
      </c>
      <c r="R8" s="49"/>
      <c r="S8" s="49" t="s">
        <v>160</v>
      </c>
      <c r="T8" s="49"/>
      <c r="U8" s="49" t="s">
        <v>161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5</v>
      </c>
      <c r="J9" s="53"/>
      <c r="K9" s="53" t="n">
        <v>4</v>
      </c>
      <c r="L9" s="53"/>
      <c r="M9" s="53" t="n">
        <v>1</v>
      </c>
      <c r="N9" s="53"/>
      <c r="O9" s="53" t="n">
        <v>2</v>
      </c>
      <c r="P9" s="53"/>
      <c r="Q9" s="53" t="n">
        <v>10</v>
      </c>
      <c r="R9" s="53"/>
      <c r="S9" s="53" t="n">
        <v>2</v>
      </c>
      <c r="T9" s="53"/>
      <c r="U9" s="54" t="n">
        <v>0.3</v>
      </c>
      <c r="V9" s="54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0.123456790123457</v>
      </c>
      <c r="D11" s="58"/>
      <c r="E11" s="57" t="n">
        <f aca="false">SUM($C$11:C11)</f>
        <v>0.123456790123457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3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0.123456790123457</v>
      </c>
      <c r="D12" s="58"/>
      <c r="E12" s="65" t="n">
        <f aca="false">SUM($C$11:C12)</f>
        <v>0.246913580246914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3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0.123456790123457</v>
      </c>
      <c r="D13" s="58"/>
      <c r="E13" s="57" t="n">
        <f aca="false">SUM($C$11:C13)</f>
        <v>0.37037037037037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3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0.123456790123457</v>
      </c>
      <c r="D14" s="58"/>
      <c r="E14" s="65" t="n">
        <f aca="false">SUM($C$11:C14)</f>
        <v>0.493827160493827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3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0.123456790123457</v>
      </c>
      <c r="D15" s="58"/>
      <c r="E15" s="57" t="n">
        <f aca="false">SUM($C$11:C15)</f>
        <v>0.617283950617284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3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0.123456790123457</v>
      </c>
      <c r="D16" s="58"/>
      <c r="E16" s="65" t="n">
        <f aca="false">SUM($C$11:C16)</f>
        <v>0.740740740740741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3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0.123456790123457</v>
      </c>
      <c r="D17" s="58"/>
      <c r="E17" s="57" t="n">
        <f aca="false">SUM($C$11:C17)</f>
        <v>0.864197530864198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3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0.123456790123457</v>
      </c>
      <c r="D18" s="58"/>
      <c r="E18" s="65" t="n">
        <f aca="false">SUM($C$11:C18)</f>
        <v>0.987654320987654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3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0.123456790123457</v>
      </c>
      <c r="D19" s="58"/>
      <c r="E19" s="57" t="n">
        <f aca="false">SUM($C$11:C19)</f>
        <v>1.11111111111111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3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0.123456790123457</v>
      </c>
      <c r="D20" s="58"/>
      <c r="E20" s="65" t="n">
        <f aca="false">SUM($C$11:C20)</f>
        <v>1.23456790123457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3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0.123456790123457</v>
      </c>
      <c r="D21" s="58"/>
      <c r="E21" s="57" t="n">
        <f aca="false">SUM($C$11:C21)</f>
        <v>1.35802469135802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3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0.123456790123457</v>
      </c>
      <c r="D22" s="58"/>
      <c r="E22" s="65" t="n">
        <f aca="false">SUM($C$11:C22)</f>
        <v>1.48148148148148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3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0.123456790123457</v>
      </c>
      <c r="D23" s="58"/>
      <c r="E23" s="57" t="n">
        <f aca="false">SUM($C$11:C23)</f>
        <v>1.60493827160494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3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0.123456790123457</v>
      </c>
      <c r="D24" s="58"/>
      <c r="E24" s="65" t="n">
        <f aca="false">SUM($C$11:C24)</f>
        <v>1.7283950617284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3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0.123456790123457</v>
      </c>
      <c r="D25" s="58"/>
      <c r="E25" s="57" t="n">
        <f aca="false">SUM($C$11:C25)</f>
        <v>1.85185185185185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3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0.123456790123457</v>
      </c>
      <c r="D26" s="58"/>
      <c r="E26" s="65" t="n">
        <f aca="false">SUM($C$11:C26)</f>
        <v>1.97530864197531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3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0.123456790123457</v>
      </c>
      <c r="D27" s="58"/>
      <c r="E27" s="57" t="n">
        <f aca="false">SUM($C$11:C27)</f>
        <v>2.09876543209877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3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0.123456790123457</v>
      </c>
      <c r="D28" s="58"/>
      <c r="E28" s="65" t="n">
        <f aca="false">SUM($C$11:C28)</f>
        <v>2.22222222222222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3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0.123456790123457</v>
      </c>
      <c r="D29" s="58"/>
      <c r="E29" s="57" t="n">
        <f aca="false">SUM($C$11:C29)</f>
        <v>2.34567901234568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3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0.123456790123457</v>
      </c>
      <c r="D30" s="58"/>
      <c r="E30" s="65" t="n">
        <f aca="false">SUM($C$11:C30)</f>
        <v>2.46913580246914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3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0.123456790123457</v>
      </c>
      <c r="D31" s="58"/>
      <c r="E31" s="57" t="n">
        <f aca="false">SUM($C$11:C31)</f>
        <v>2.59259259259259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3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0.123456790123457</v>
      </c>
      <c r="D32" s="58"/>
      <c r="E32" s="65" t="n">
        <f aca="false">SUM($C$11:C32)</f>
        <v>2.71604938271605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3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0.123456790123457</v>
      </c>
      <c r="D33" s="58"/>
      <c r="E33" s="57" t="n">
        <f aca="false">SUM($C$11:C33)</f>
        <v>2.83950617283951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3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0.123456790123457</v>
      </c>
      <c r="D34" s="58"/>
      <c r="E34" s="65" t="n">
        <f aca="false">SUM($C$11:C34)</f>
        <v>2.96296296296296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3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0.123456790123457</v>
      </c>
      <c r="D35" s="58"/>
      <c r="E35" s="57" t="n">
        <f aca="false">SUM($C$11:C35)</f>
        <v>3.08641975308642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3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0.123456790123457</v>
      </c>
      <c r="D36" s="58"/>
      <c r="E36" s="65" t="n">
        <f aca="false">SUM($C$11:C36)</f>
        <v>3.20987654320988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3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0.123456790123457</v>
      </c>
      <c r="D37" s="58"/>
      <c r="E37" s="57" t="n">
        <f aca="false">SUM($C$11:C37)</f>
        <v>3.33333333333333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3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0.123456790123457</v>
      </c>
      <c r="D38" s="58"/>
      <c r="E38" s="65" t="n">
        <f aca="false">SUM($C$11:C38)</f>
        <v>3.45679012345679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3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0.123456790123457</v>
      </c>
      <c r="D39" s="58"/>
      <c r="E39" s="57" t="n">
        <f aca="false">SUM($C$11:C39)</f>
        <v>3.58024691358025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3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$B$5/$B$8</f>
        <v>0.123456790123457</v>
      </c>
      <c r="D40" s="58"/>
      <c r="E40" s="65" t="n">
        <f aca="false">SUM($C$11:C40)</f>
        <v>3.7037037037037</v>
      </c>
      <c r="F40" s="65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3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$B$5/$B$8</f>
        <v>0.123456790123457</v>
      </c>
      <c r="D41" s="58"/>
      <c r="E41" s="57" t="n">
        <f aca="false">SUM($C$11:C41)</f>
        <v>3.82716049382716</v>
      </c>
      <c r="F41" s="57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3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$B$5/$B$8</f>
        <v>0.123456790123457</v>
      </c>
      <c r="D42" s="58"/>
      <c r="E42" s="65" t="n">
        <f aca="false">SUM($C$11:C42)</f>
        <v>3.95061728395062</v>
      </c>
      <c r="F42" s="65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3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$B$5/$B$8</f>
        <v>0.123456790123457</v>
      </c>
      <c r="D43" s="58"/>
      <c r="E43" s="57" t="n">
        <f aca="false">SUM($C$11:C43)</f>
        <v>4.07407407407407</v>
      </c>
      <c r="F43" s="57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3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$B$5/$B$8</f>
        <v>0.123456790123457</v>
      </c>
      <c r="D44" s="58"/>
      <c r="E44" s="65" t="n">
        <f aca="false">SUM($C$11:C44)</f>
        <v>4.19753086419753</v>
      </c>
      <c r="F44" s="65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3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$B$5/$B$8</f>
        <v>0.123456790123457</v>
      </c>
      <c r="D45" s="58"/>
      <c r="E45" s="57" t="n">
        <f aca="false">SUM($C$11:C45)</f>
        <v>4.32098765432099</v>
      </c>
      <c r="F45" s="57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3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$B$5/$B$8</f>
        <v>0.123456790123457</v>
      </c>
      <c r="D46" s="58"/>
      <c r="E46" s="65" t="n">
        <f aca="false">SUM($C$11:C46)</f>
        <v>4.44444444444445</v>
      </c>
      <c r="F46" s="65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3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$B$5/$B$8</f>
        <v>0.123456790123457</v>
      </c>
      <c r="D47" s="58"/>
      <c r="E47" s="57" t="n">
        <f aca="false">SUM($C$11:C47)</f>
        <v>4.5679012345679</v>
      </c>
      <c r="F47" s="57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3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$B$5/$B$8</f>
        <v>0.123456790123457</v>
      </c>
      <c r="D48" s="58"/>
      <c r="E48" s="65" t="n">
        <f aca="false">SUM($C$11:C48)</f>
        <v>4.69135802469136</v>
      </c>
      <c r="F48" s="65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3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$B$5/$B$8</f>
        <v>0.123456790123457</v>
      </c>
      <c r="D49" s="58"/>
      <c r="E49" s="57" t="n">
        <f aca="false">SUM($C$11:C49)</f>
        <v>4.81481481481482</v>
      </c>
      <c r="F49" s="57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3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$B$5/$B$8</f>
        <v>0.123456790123457</v>
      </c>
      <c r="D50" s="58"/>
      <c r="E50" s="65" t="n">
        <f aca="false">SUM($C$11:C50)</f>
        <v>4.93827160493827</v>
      </c>
      <c r="F50" s="65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3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$B$5/$B$8</f>
        <v>0.123456790123457</v>
      </c>
      <c r="D51" s="58"/>
      <c r="E51" s="57" t="n">
        <f aca="false">SUM($C$11:C51)</f>
        <v>5.06172839506173</v>
      </c>
      <c r="F51" s="57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3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$B$5/$B$8</f>
        <v>0.123456790123457</v>
      </c>
      <c r="D52" s="58"/>
      <c r="E52" s="65" t="n">
        <f aca="false">SUM($C$11:C52)</f>
        <v>5.18518518518519</v>
      </c>
      <c r="F52" s="65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3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$B$5/$B$8</f>
        <v>0.123456790123457</v>
      </c>
      <c r="D53" s="58"/>
      <c r="E53" s="57" t="n">
        <f aca="false">SUM($C$11:C53)</f>
        <v>5.30864197530864</v>
      </c>
      <c r="F53" s="57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3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$B$5/$B$8</f>
        <v>0.123456790123457</v>
      </c>
      <c r="D54" s="58"/>
      <c r="E54" s="65" t="n">
        <f aca="false">SUM($C$11:C54)</f>
        <v>5.4320987654321</v>
      </c>
      <c r="F54" s="65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3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$B$5/$B$8</f>
        <v>0.123456790123457</v>
      </c>
      <c r="D55" s="58"/>
      <c r="E55" s="57" t="n">
        <f aca="false">SUM($C$11:C55)</f>
        <v>5.55555555555556</v>
      </c>
      <c r="F55" s="57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3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$B$5/$B$8</f>
        <v>0.123456790123457</v>
      </c>
      <c r="D56" s="58"/>
      <c r="E56" s="65" t="n">
        <f aca="false">SUM($C$11:C56)</f>
        <v>5.67901234567901</v>
      </c>
      <c r="F56" s="65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3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$B$5/$B$8</f>
        <v>0.123456790123457</v>
      </c>
      <c r="D57" s="58"/>
      <c r="E57" s="57" t="n">
        <f aca="false">SUM($C$11:C57)</f>
        <v>5.80246913580247</v>
      </c>
      <c r="F57" s="57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3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$B$5/$B$8</f>
        <v>0.123456790123457</v>
      </c>
      <c r="D58" s="58"/>
      <c r="E58" s="65" t="n">
        <f aca="false">SUM($C$11:C58)</f>
        <v>5.92592592592593</v>
      </c>
      <c r="F58" s="65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3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$B$5/$B$8</f>
        <v>0.123456790123457</v>
      </c>
      <c r="D59" s="58"/>
      <c r="E59" s="57" t="n">
        <f aca="false">SUM($C$11:C59)</f>
        <v>6.04938271604938</v>
      </c>
      <c r="F59" s="57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3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$B$5/$B$8</f>
        <v>0.123456790123457</v>
      </c>
      <c r="D60" s="58"/>
      <c r="E60" s="65" t="n">
        <f aca="false">SUM($C$11:C60)</f>
        <v>6.17283950617284</v>
      </c>
      <c r="F60" s="65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3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$B$5/$B$8</f>
        <v>0.123456790123457</v>
      </c>
      <c r="D61" s="58"/>
      <c r="E61" s="57" t="n">
        <f aca="false">SUM($C$11:C61)</f>
        <v>6.2962962962963</v>
      </c>
      <c r="F61" s="57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3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$B$5/$B$8</f>
        <v>0.123456790123457</v>
      </c>
      <c r="D62" s="58"/>
      <c r="E62" s="65" t="n">
        <f aca="false">SUM($C$11:C62)</f>
        <v>6.41975308641975</v>
      </c>
      <c r="F62" s="65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3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$B$5/$B$8</f>
        <v>0.123456790123457</v>
      </c>
      <c r="D63" s="58"/>
      <c r="E63" s="57" t="n">
        <f aca="false">SUM($C$11:C63)</f>
        <v>6.54320987654321</v>
      </c>
      <c r="F63" s="57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3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$B$5/$B$8</f>
        <v>0.123456790123457</v>
      </c>
      <c r="D64" s="58"/>
      <c r="E64" s="65" t="n">
        <f aca="false">SUM($C$11:C64)</f>
        <v>6.66666666666667</v>
      </c>
      <c r="F64" s="65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3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$B$5/$B$8</f>
        <v>0.123456790123457</v>
      </c>
      <c r="D65" s="58"/>
      <c r="E65" s="57" t="n">
        <f aca="false">SUM($C$11:C65)</f>
        <v>6.79012345679012</v>
      </c>
      <c r="F65" s="57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3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$B$5/$B$8</f>
        <v>0.123456790123457</v>
      </c>
      <c r="D66" s="58"/>
      <c r="E66" s="65" t="n">
        <f aca="false">SUM($C$11:C66)</f>
        <v>6.91358024691358</v>
      </c>
      <c r="F66" s="65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3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$B$5/$B$8</f>
        <v>0.123456790123457</v>
      </c>
      <c r="D67" s="58"/>
      <c r="E67" s="57" t="n">
        <f aca="false">SUM($C$11:C67)</f>
        <v>7.03703703703704</v>
      </c>
      <c r="F67" s="57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3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$B$5/$B$8</f>
        <v>0.123456790123457</v>
      </c>
      <c r="D68" s="58"/>
      <c r="E68" s="65" t="n">
        <f aca="false">SUM($C$11:C68)</f>
        <v>7.16049382716049</v>
      </c>
      <c r="F68" s="65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3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$B$5/$B$8</f>
        <v>0.123456790123457</v>
      </c>
      <c r="D69" s="58"/>
      <c r="E69" s="57" t="n">
        <f aca="false">SUM($C$11:C69)</f>
        <v>7.28395061728395</v>
      </c>
      <c r="F69" s="57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3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$B$5/$B$8</f>
        <v>0.123456790123457</v>
      </c>
      <c r="D70" s="58"/>
      <c r="E70" s="65" t="n">
        <f aca="false">SUM($C$11:C70)</f>
        <v>7.40740740740741</v>
      </c>
      <c r="F70" s="65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3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$B$5/$B$8</f>
        <v>0.123456790123457</v>
      </c>
      <c r="D71" s="58"/>
      <c r="E71" s="57" t="n">
        <f aca="false">SUM($C$11:C71)</f>
        <v>7.53086419753086</v>
      </c>
      <c r="F71" s="57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3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$B$5/$B$8</f>
        <v>0.123456790123457</v>
      </c>
      <c r="D72" s="58"/>
      <c r="E72" s="65" t="n">
        <f aca="false">SUM($C$11:C72)</f>
        <v>7.65432098765432</v>
      </c>
      <c r="F72" s="65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3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$B$5/$B$8</f>
        <v>0.123456790123457</v>
      </c>
      <c r="D73" s="58"/>
      <c r="E73" s="57" t="n">
        <f aca="false">SUM($C$11:C73)</f>
        <v>7.77777777777778</v>
      </c>
      <c r="F73" s="57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3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$B$5/$B$8</f>
        <v>0.123456790123457</v>
      </c>
      <c r="D74" s="58"/>
      <c r="E74" s="65" t="n">
        <f aca="false">SUM($C$11:C74)</f>
        <v>7.90123456790123</v>
      </c>
      <c r="F74" s="65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3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$B$5/$B$8</f>
        <v>0.123456790123457</v>
      </c>
      <c r="D75" s="58"/>
      <c r="E75" s="57" t="n">
        <f aca="false">SUM($C$11:C75)</f>
        <v>8.02469135802469</v>
      </c>
      <c r="F75" s="57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3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$B$5/$B$8</f>
        <v>0.123456790123457</v>
      </c>
      <c r="D76" s="58"/>
      <c r="E76" s="65" t="n">
        <f aca="false">SUM($C$11:C76)</f>
        <v>8.14814814814815</v>
      </c>
      <c r="F76" s="65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3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$B$5/$B$8</f>
        <v>0.123456790123457</v>
      </c>
      <c r="D77" s="58"/>
      <c r="E77" s="57" t="n">
        <f aca="false">SUM($C$11:C77)</f>
        <v>8.2716049382716</v>
      </c>
      <c r="F77" s="57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3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$B$5/$B$8</f>
        <v>0.123456790123457</v>
      </c>
      <c r="D78" s="58"/>
      <c r="E78" s="65" t="n">
        <f aca="false">SUM($C$11:C78)</f>
        <v>8.39506172839506</v>
      </c>
      <c r="F78" s="65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3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$B$5/$B$8</f>
        <v>0.123456790123457</v>
      </c>
      <c r="D79" s="58"/>
      <c r="E79" s="57" t="n">
        <f aca="false">SUM($C$11:C79)</f>
        <v>8.51851851851852</v>
      </c>
      <c r="F79" s="57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3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$B$5/$B$8</f>
        <v>0.123456790123457</v>
      </c>
      <c r="D80" s="58"/>
      <c r="E80" s="65" t="n">
        <f aca="false">SUM($C$11:C80)</f>
        <v>8.64197530864198</v>
      </c>
      <c r="F80" s="65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3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$B$5/$B$8</f>
        <v>0.123456790123457</v>
      </c>
      <c r="D81" s="58"/>
      <c r="E81" s="57" t="n">
        <f aca="false">SUM($C$11:C81)</f>
        <v>8.76543209876543</v>
      </c>
      <c r="F81" s="57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3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$B$5/$B$8</f>
        <v>0.123456790123457</v>
      </c>
      <c r="D82" s="58"/>
      <c r="E82" s="65" t="n">
        <f aca="false">SUM($C$11:C82)</f>
        <v>8.88888888888889</v>
      </c>
      <c r="F82" s="65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3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$B$5/$B$8</f>
        <v>0.123456790123457</v>
      </c>
      <c r="D83" s="58"/>
      <c r="E83" s="57" t="n">
        <f aca="false">SUM($C$11:C83)</f>
        <v>9.01234567901235</v>
      </c>
      <c r="F83" s="57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3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$B$5/$B$8</f>
        <v>0.123456790123457</v>
      </c>
      <c r="D84" s="58"/>
      <c r="E84" s="65" t="n">
        <f aca="false">SUM($C$11:C84)</f>
        <v>9.1358024691358</v>
      </c>
      <c r="F84" s="65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3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$B$5/$B$8</f>
        <v>0.123456790123457</v>
      </c>
      <c r="D85" s="58"/>
      <c r="E85" s="57" t="n">
        <f aca="false">SUM($C$11:C85)</f>
        <v>9.25925925925926</v>
      </c>
      <c r="F85" s="57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3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$B$5/$B$8</f>
        <v>0.123456790123457</v>
      </c>
      <c r="D86" s="58"/>
      <c r="E86" s="65" t="n">
        <f aca="false">SUM($C$11:C86)</f>
        <v>9.38271604938272</v>
      </c>
      <c r="F86" s="65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3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$B$5/$B$8</f>
        <v>0.123456790123457</v>
      </c>
      <c r="D87" s="58"/>
      <c r="E87" s="57" t="n">
        <f aca="false">SUM($C$11:C87)</f>
        <v>9.50617283950617</v>
      </c>
      <c r="F87" s="57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3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$B$5/$B$8</f>
        <v>0.123456790123457</v>
      </c>
      <c r="D88" s="58"/>
      <c r="E88" s="65" t="n">
        <f aca="false">SUM($C$11:C88)</f>
        <v>9.62962962962963</v>
      </c>
      <c r="F88" s="65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3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$B$5/$B$8</f>
        <v>0.123456790123457</v>
      </c>
      <c r="D89" s="58"/>
      <c r="E89" s="57" t="n">
        <f aca="false">SUM($C$11:C89)</f>
        <v>9.75308641975309</v>
      </c>
      <c r="F89" s="57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3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$B$5/$B$8</f>
        <v>0.123456790123457</v>
      </c>
      <c r="D90" s="58"/>
      <c r="E90" s="65" t="n">
        <f aca="false">SUM($C$11:C90)</f>
        <v>9.87654320987654</v>
      </c>
      <c r="F90" s="65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3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$B$5/$B$8</f>
        <v>0.123456790123457</v>
      </c>
      <c r="D91" s="58"/>
      <c r="E91" s="57" t="n">
        <f aca="false">SUM($C$11:C91)</f>
        <v>10</v>
      </c>
      <c r="F91" s="57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3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162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163</v>
      </c>
    </row>
    <row r="3" customFormat="false" ht="15" hidden="false" customHeight="false" outlineLevel="0" collapsed="false">
      <c r="A3" s="17" t="s">
        <v>84</v>
      </c>
      <c r="B3" s="44" t="s">
        <v>164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49</v>
      </c>
    </row>
    <row r="5" customFormat="false" ht="24" hidden="false" customHeight="true" outlineLevel="0" collapsed="false">
      <c r="A5" s="17" t="s">
        <v>89</v>
      </c>
      <c r="B5" s="75" t="n">
        <v>1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165</v>
      </c>
      <c r="J8" s="49"/>
      <c r="K8" s="49" t="s">
        <v>166</v>
      </c>
      <c r="L8" s="49"/>
      <c r="M8" s="49" t="s">
        <v>167</v>
      </c>
      <c r="N8" s="49"/>
      <c r="O8" s="49" t="s">
        <v>168</v>
      </c>
      <c r="P8" s="49"/>
      <c r="Q8" s="49" t="s">
        <v>169</v>
      </c>
      <c r="R8" s="49"/>
      <c r="S8" s="49" t="s">
        <v>170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4" t="n">
        <v>1</v>
      </c>
      <c r="N9" s="54"/>
      <c r="O9" s="54" t="n">
        <v>1</v>
      </c>
      <c r="P9" s="54"/>
      <c r="Q9" s="53" t="n">
        <v>5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6" t="n">
        <f aca="false">$B$5</f>
        <v>1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meta",IF(D11&gt;=C11-0.05,"Riesgo","Atrasado")))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7" t="n">
        <f aca="false">$B$5</f>
        <v>1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meta",IF(D12&gt;=C12-0.05,"Riesgo","Atrasado")))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6" t="n">
        <f aca="false">$B$5</f>
        <v>1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meta",IF(D13&gt;=C13-0.05,"Riesgo","Atrasado")))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7" t="n">
        <f aca="false">$B$5</f>
        <v>1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meta",IF(D14&gt;=C14-0.05,"Riesgo","Atrasado")))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6" t="n">
        <f aca="false">$B$5</f>
        <v>1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meta",IF(D15&gt;=C15-0.05,"Riesgo","Atrasado")))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7" t="n">
        <f aca="false">$B$5</f>
        <v>1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meta",IF(D16&gt;=C16-0.05,"Riesgo","Atrasado")))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6" t="n">
        <f aca="false">$B$5</f>
        <v>1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meta",IF(D17&gt;=C17-0.05,"Riesgo","Atrasado")))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7" t="n">
        <f aca="false">$B$5</f>
        <v>1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meta",IF(D18&gt;=C18-0.05,"Riesgo","Atrasado")))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6" t="n">
        <f aca="false">$B$5</f>
        <v>1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meta",IF(D19&gt;=C19-0.05,"Riesgo","Atrasado")))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7" t="n">
        <f aca="false">$B$5</f>
        <v>1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meta",IF(D20&gt;=C20-0.05,"Riesgo","Atrasado")))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6" t="n">
        <f aca="false">$B$5</f>
        <v>1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meta",IF(D21&gt;=C21-0.05,"Riesgo","Atrasado")))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7" t="n">
        <f aca="false">$B$5</f>
        <v>1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meta",IF(D22&gt;=C22-0.05,"Riesgo","Atrasado")))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6" t="n">
        <f aca="false">$B$5</f>
        <v>1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meta",IF(D23&gt;=C23-0.05,"Riesgo","Atrasado")))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7" t="n">
        <f aca="false">$B$5</f>
        <v>1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meta",IF(D24&gt;=C24-0.05,"Riesgo","Atrasado")))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6" t="n">
        <f aca="false">$B$5</f>
        <v>1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meta",IF(D25&gt;=C25-0.05,"Riesgo","Atrasado")))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7" t="n">
        <f aca="false">$B$5</f>
        <v>1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meta",IF(D26&gt;=C26-0.05,"Riesgo","Atrasado")))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6" t="n">
        <f aca="false">$B$5</f>
        <v>1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meta",IF(D27&gt;=C27-0.05,"Riesgo","Atrasado")))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7" t="n">
        <f aca="false">$B$5</f>
        <v>1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meta",IF(D28&gt;=C28-0.05,"Riesgo","Atrasado")))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6" t="n">
        <f aca="false">$B$5</f>
        <v>1</v>
      </c>
      <c r="D29" s="58"/>
      <c r="E29" s="5"/>
      <c r="F29" s="5"/>
      <c r="G29" s="59" t="str">
        <f aca="false">IF(D29="","",D29-C29)</f>
        <v/>
      </c>
      <c r="H29" s="13" t="str">
        <f aca="false">IF(D29="","",IF(D29&gt;=C29,"En meta",IF(D29&gt;=C29-0.05,"Riesgo","Atrasado")))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3"/>
      <c r="N29" s="61" t="str">
        <f aca="false">IF(M29="","",IF($M$9="","",IF($M$9=0,"",M29/$M$9)))</f>
        <v/>
      </c>
      <c r="O29" s="63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7" t="n">
        <f aca="false">$B$5</f>
        <v>1</v>
      </c>
      <c r="D30" s="58"/>
      <c r="E30" s="29"/>
      <c r="F30" s="29"/>
      <c r="G30" s="66" t="str">
        <f aca="false">IF(D30="","",D30-C30)</f>
        <v/>
      </c>
      <c r="H30" s="14" t="str">
        <f aca="false">IF(D30="","",IF(D30&gt;=C30,"En meta",IF(D30&gt;=C30-0.05,"Riesgo","Atrasado")))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3"/>
      <c r="N30" s="67" t="str">
        <f aca="false">IF(M30="","",IF($M$9="","",IF($M$9=0,"",M30/$M$9)))</f>
        <v/>
      </c>
      <c r="O30" s="63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6" t="n">
        <f aca="false">$B$5</f>
        <v>1</v>
      </c>
      <c r="D31" s="58"/>
      <c r="E31" s="5"/>
      <c r="F31" s="5"/>
      <c r="G31" s="59" t="str">
        <f aca="false">IF(D31="","",D31-C31)</f>
        <v/>
      </c>
      <c r="H31" s="13" t="str">
        <f aca="false">IF(D31="","",IF(D31&gt;=C31,"En meta",IF(D31&gt;=C31-0.05,"Riesgo","Atrasado")))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3"/>
      <c r="N31" s="61" t="str">
        <f aca="false">IF(M31="","",IF($M$9="","",IF($M$9=0,"",M31/$M$9)))</f>
        <v/>
      </c>
      <c r="O31" s="63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7" t="n">
        <f aca="false">$B$5</f>
        <v>1</v>
      </c>
      <c r="D32" s="58"/>
      <c r="E32" s="29"/>
      <c r="F32" s="29"/>
      <c r="G32" s="66" t="str">
        <f aca="false">IF(D32="","",D32-C32)</f>
        <v/>
      </c>
      <c r="H32" s="14" t="str">
        <f aca="false">IF(D32="","",IF(D32&gt;=C32,"En meta",IF(D32&gt;=C32-0.05,"Riesgo","Atrasado")))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3"/>
      <c r="N32" s="67" t="str">
        <f aca="false">IF(M32="","",IF($M$9="","",IF($M$9=0,"",M32/$M$9)))</f>
        <v/>
      </c>
      <c r="O32" s="63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6" t="n">
        <f aca="false">$B$5</f>
        <v>1</v>
      </c>
      <c r="D33" s="58"/>
      <c r="E33" s="5"/>
      <c r="F33" s="5"/>
      <c r="G33" s="59" t="str">
        <f aca="false">IF(D33="","",D33-C33)</f>
        <v/>
      </c>
      <c r="H33" s="13" t="str">
        <f aca="false">IF(D33="","",IF(D33&gt;=C33,"En meta",IF(D33&gt;=C33-0.05,"Riesgo","Atrasado")))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3"/>
      <c r="N33" s="61" t="str">
        <f aca="false">IF(M33="","",IF($M$9="","",IF($M$9=0,"",M33/$M$9)))</f>
        <v/>
      </c>
      <c r="O33" s="63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7" t="n">
        <f aca="false">$B$5</f>
        <v>1</v>
      </c>
      <c r="D34" s="58"/>
      <c r="E34" s="29"/>
      <c r="F34" s="29"/>
      <c r="G34" s="66" t="str">
        <f aca="false">IF(D34="","",D34-C34)</f>
        <v/>
      </c>
      <c r="H34" s="14" t="str">
        <f aca="false">IF(D34="","",IF(D34&gt;=C34,"En meta",IF(D34&gt;=C34-0.05,"Riesgo","Atrasado")))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3"/>
      <c r="N34" s="67" t="str">
        <f aca="false">IF(M34="","",IF($M$9="","",IF($M$9=0,"",M34/$M$9)))</f>
        <v/>
      </c>
      <c r="O34" s="63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6" t="n">
        <f aca="false">$B$5</f>
        <v>1</v>
      </c>
      <c r="D35" s="58"/>
      <c r="E35" s="5"/>
      <c r="F35" s="5"/>
      <c r="G35" s="59" t="str">
        <f aca="false">IF(D35="","",D35-C35)</f>
        <v/>
      </c>
      <c r="H35" s="13" t="str">
        <f aca="false">IF(D35="","",IF(D35&gt;=C35,"En meta",IF(D35&gt;=C35-0.05,"Riesgo","Atrasado")))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3"/>
      <c r="N35" s="61" t="str">
        <f aca="false">IF(M35="","",IF($M$9="","",IF($M$9=0,"",M35/$M$9)))</f>
        <v/>
      </c>
      <c r="O35" s="63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7" t="n">
        <f aca="false">$B$5</f>
        <v>1</v>
      </c>
      <c r="D36" s="58"/>
      <c r="E36" s="29"/>
      <c r="F36" s="29"/>
      <c r="G36" s="66" t="str">
        <f aca="false">IF(D36="","",D36-C36)</f>
        <v/>
      </c>
      <c r="H36" s="14" t="str">
        <f aca="false">IF(D36="","",IF(D36&gt;=C36,"En meta",IF(D36&gt;=C36-0.05,"Riesgo","Atrasado")))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3"/>
      <c r="N36" s="67" t="str">
        <f aca="false">IF(M36="","",IF($M$9="","",IF($M$9=0,"",M36/$M$9)))</f>
        <v/>
      </c>
      <c r="O36" s="63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6" t="n">
        <f aca="false">$B$5</f>
        <v>1</v>
      </c>
      <c r="D37" s="58"/>
      <c r="E37" s="5"/>
      <c r="F37" s="5"/>
      <c r="G37" s="59" t="str">
        <f aca="false">IF(D37="","",D37-C37)</f>
        <v/>
      </c>
      <c r="H37" s="13" t="str">
        <f aca="false">IF(D37="","",IF(D37&gt;=C37,"En meta",IF(D37&gt;=C37-0.05,"Riesgo","Atrasado")))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3"/>
      <c r="N37" s="61" t="str">
        <f aca="false">IF(M37="","",IF($M$9="","",IF($M$9=0,"",M37/$M$9)))</f>
        <v/>
      </c>
      <c r="O37" s="63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7" t="n">
        <f aca="false">$B$5</f>
        <v>1</v>
      </c>
      <c r="D38" s="58"/>
      <c r="E38" s="29"/>
      <c r="F38" s="29"/>
      <c r="G38" s="66" t="str">
        <f aca="false">IF(D38="","",D38-C38)</f>
        <v/>
      </c>
      <c r="H38" s="14" t="str">
        <f aca="false">IF(D38="","",IF(D38&gt;=C38,"En meta",IF(D38&gt;=C38-0.05,"Riesgo","Atrasado")))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3"/>
      <c r="N38" s="67" t="str">
        <f aca="false">IF(M38="","",IF($M$9="","",IF($M$9=0,"",M38/$M$9)))</f>
        <v/>
      </c>
      <c r="O38" s="63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6" t="n">
        <f aca="false">$B$5</f>
        <v>1</v>
      </c>
      <c r="D39" s="58"/>
      <c r="E39" s="5"/>
      <c r="F39" s="5"/>
      <c r="G39" s="59" t="str">
        <f aca="false">IF(D39="","",D39-C39)</f>
        <v/>
      </c>
      <c r="H39" s="13" t="str">
        <f aca="false">IF(D39="","",IF(D39&gt;=C39,"En meta",IF(D39&gt;=C39-0.05,"Riesgo","Atrasado")))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3"/>
      <c r="N39" s="61" t="str">
        <f aca="false">IF(M39="","",IF($M$9="","",IF($M$9=0,"",M39/$M$9)))</f>
        <v/>
      </c>
      <c r="O39" s="63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7" t="n">
        <f aca="false">$B$5</f>
        <v>1</v>
      </c>
      <c r="D40" s="58"/>
      <c r="E40" s="29"/>
      <c r="F40" s="29"/>
      <c r="G40" s="66" t="str">
        <f aca="false">IF(D40="","",D40-C40)</f>
        <v/>
      </c>
      <c r="H40" s="14" t="str">
        <f aca="false">IF(D40="","",IF(D40&gt;=C40,"En meta",IF(D40&gt;=C40-0.05,"Riesgo","Atrasado")))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3"/>
      <c r="N40" s="67" t="str">
        <f aca="false">IF(M40="","",IF($M$9="","",IF($M$9=0,"",M40/$M$9)))</f>
        <v/>
      </c>
      <c r="O40" s="63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6" t="n">
        <f aca="false">$B$5</f>
        <v>1</v>
      </c>
      <c r="D41" s="58"/>
      <c r="E41" s="5"/>
      <c r="F41" s="5"/>
      <c r="G41" s="59" t="str">
        <f aca="false">IF(D41="","",D41-C41)</f>
        <v/>
      </c>
      <c r="H41" s="13" t="str">
        <f aca="false">IF(D41="","",IF(D41&gt;=C41,"En meta",IF(D41&gt;=C41-0.05,"Riesgo","Atrasado")))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3"/>
      <c r="N41" s="61" t="str">
        <f aca="false">IF(M41="","",IF($M$9="","",IF($M$9=0,"",M41/$M$9)))</f>
        <v/>
      </c>
      <c r="O41" s="63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7" t="n">
        <f aca="false">$B$5</f>
        <v>1</v>
      </c>
      <c r="D42" s="58"/>
      <c r="E42" s="29"/>
      <c r="F42" s="29"/>
      <c r="G42" s="66" t="str">
        <f aca="false">IF(D42="","",D42-C42)</f>
        <v/>
      </c>
      <c r="H42" s="14" t="str">
        <f aca="false">IF(D42="","",IF(D42&gt;=C42,"En meta",IF(D42&gt;=C42-0.05,"Riesgo","Atrasado")))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3"/>
      <c r="N42" s="67" t="str">
        <f aca="false">IF(M42="","",IF($M$9="","",IF($M$9=0,"",M42/$M$9)))</f>
        <v/>
      </c>
      <c r="O42" s="63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6" t="n">
        <f aca="false">$B$5</f>
        <v>1</v>
      </c>
      <c r="D43" s="58"/>
      <c r="E43" s="5"/>
      <c r="F43" s="5"/>
      <c r="G43" s="59" t="str">
        <f aca="false">IF(D43="","",D43-C43)</f>
        <v/>
      </c>
      <c r="H43" s="13" t="str">
        <f aca="false">IF(D43="","",IF(D43&gt;=C43,"En meta",IF(D43&gt;=C43-0.05,"Riesgo","Atrasado")))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3"/>
      <c r="N43" s="61" t="str">
        <f aca="false">IF(M43="","",IF($M$9="","",IF($M$9=0,"",M43/$M$9)))</f>
        <v/>
      </c>
      <c r="O43" s="63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7" t="n">
        <f aca="false">$B$5</f>
        <v>1</v>
      </c>
      <c r="D44" s="58"/>
      <c r="E44" s="29"/>
      <c r="F44" s="29"/>
      <c r="G44" s="66" t="str">
        <f aca="false">IF(D44="","",D44-C44)</f>
        <v/>
      </c>
      <c r="H44" s="14" t="str">
        <f aca="false">IF(D44="","",IF(D44&gt;=C44,"En meta",IF(D44&gt;=C44-0.05,"Riesgo","Atrasado")))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3"/>
      <c r="N44" s="67" t="str">
        <f aca="false">IF(M44="","",IF($M$9="","",IF($M$9=0,"",M44/$M$9)))</f>
        <v/>
      </c>
      <c r="O44" s="63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6" t="n">
        <f aca="false">$B$5</f>
        <v>1</v>
      </c>
      <c r="D45" s="58"/>
      <c r="E45" s="5"/>
      <c r="F45" s="5"/>
      <c r="G45" s="59" t="str">
        <f aca="false">IF(D45="","",D45-C45)</f>
        <v/>
      </c>
      <c r="H45" s="13" t="str">
        <f aca="false">IF(D45="","",IF(D45&gt;=C45,"En meta",IF(D45&gt;=C45-0.05,"Riesgo","Atrasado")))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3"/>
      <c r="N45" s="61" t="str">
        <f aca="false">IF(M45="","",IF($M$9="","",IF($M$9=0,"",M45/$M$9)))</f>
        <v/>
      </c>
      <c r="O45" s="63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7" t="n">
        <f aca="false">$B$5</f>
        <v>1</v>
      </c>
      <c r="D46" s="58"/>
      <c r="E46" s="29"/>
      <c r="F46" s="29"/>
      <c r="G46" s="66" t="str">
        <f aca="false">IF(D46="","",D46-C46)</f>
        <v/>
      </c>
      <c r="H46" s="14" t="str">
        <f aca="false">IF(D46="","",IF(D46&gt;=C46,"En meta",IF(D46&gt;=C46-0.05,"Riesgo","Atrasado")))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3"/>
      <c r="N46" s="67" t="str">
        <f aca="false">IF(M46="","",IF($M$9="","",IF($M$9=0,"",M46/$M$9)))</f>
        <v/>
      </c>
      <c r="O46" s="63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6" t="n">
        <f aca="false">$B$5</f>
        <v>1</v>
      </c>
      <c r="D47" s="58"/>
      <c r="E47" s="5"/>
      <c r="F47" s="5"/>
      <c r="G47" s="59" t="str">
        <f aca="false">IF(D47="","",D47-C47)</f>
        <v/>
      </c>
      <c r="H47" s="13" t="str">
        <f aca="false">IF(D47="","",IF(D47&gt;=C47,"En meta",IF(D47&gt;=C47-0.05,"Riesgo","Atrasado")))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3"/>
      <c r="N47" s="61" t="str">
        <f aca="false">IF(M47="","",IF($M$9="","",IF($M$9=0,"",M47/$M$9)))</f>
        <v/>
      </c>
      <c r="O47" s="63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7" t="n">
        <f aca="false">$B$5</f>
        <v>1</v>
      </c>
      <c r="D48" s="58"/>
      <c r="E48" s="29"/>
      <c r="F48" s="29"/>
      <c r="G48" s="66" t="str">
        <f aca="false">IF(D48="","",D48-C48)</f>
        <v/>
      </c>
      <c r="H48" s="14" t="str">
        <f aca="false">IF(D48="","",IF(D48&gt;=C48,"En meta",IF(D48&gt;=C48-0.05,"Riesgo","Atrasado")))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3"/>
      <c r="N48" s="67" t="str">
        <f aca="false">IF(M48="","",IF($M$9="","",IF($M$9=0,"",M48/$M$9)))</f>
        <v/>
      </c>
      <c r="O48" s="63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6" t="n">
        <f aca="false">$B$5</f>
        <v>1</v>
      </c>
      <c r="D49" s="58"/>
      <c r="E49" s="5"/>
      <c r="F49" s="5"/>
      <c r="G49" s="59" t="str">
        <f aca="false">IF(D49="","",D49-C49)</f>
        <v/>
      </c>
      <c r="H49" s="13" t="str">
        <f aca="false">IF(D49="","",IF(D49&gt;=C49,"En meta",IF(D49&gt;=C49-0.05,"Riesgo","Atrasado")))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3"/>
      <c r="N49" s="61" t="str">
        <f aca="false">IF(M49="","",IF($M$9="","",IF($M$9=0,"",M49/$M$9)))</f>
        <v/>
      </c>
      <c r="O49" s="63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7" t="n">
        <f aca="false">$B$5</f>
        <v>1</v>
      </c>
      <c r="D50" s="58"/>
      <c r="E50" s="29"/>
      <c r="F50" s="29"/>
      <c r="G50" s="66" t="str">
        <f aca="false">IF(D50="","",D50-C50)</f>
        <v/>
      </c>
      <c r="H50" s="14" t="str">
        <f aca="false">IF(D50="","",IF(D50&gt;=C50,"En meta",IF(D50&gt;=C50-0.05,"Riesgo","Atrasado")))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3"/>
      <c r="N50" s="67" t="str">
        <f aca="false">IF(M50="","",IF($M$9="","",IF($M$9=0,"",M50/$M$9)))</f>
        <v/>
      </c>
      <c r="O50" s="63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6" t="n">
        <f aca="false">$B$5</f>
        <v>1</v>
      </c>
      <c r="D51" s="58"/>
      <c r="E51" s="5"/>
      <c r="F51" s="5"/>
      <c r="G51" s="59" t="str">
        <f aca="false">IF(D51="","",D51-C51)</f>
        <v/>
      </c>
      <c r="H51" s="13" t="str">
        <f aca="false">IF(D51="","",IF(D51&gt;=C51,"En meta",IF(D51&gt;=C51-0.05,"Riesgo","Atrasado")))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3"/>
      <c r="N51" s="61" t="str">
        <f aca="false">IF(M51="","",IF($M$9="","",IF($M$9=0,"",M51/$M$9)))</f>
        <v/>
      </c>
      <c r="O51" s="63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7" t="n">
        <f aca="false">$B$5</f>
        <v>1</v>
      </c>
      <c r="D52" s="58"/>
      <c r="E52" s="29"/>
      <c r="F52" s="29"/>
      <c r="G52" s="66" t="str">
        <f aca="false">IF(D52="","",D52-C52)</f>
        <v/>
      </c>
      <c r="H52" s="14" t="str">
        <f aca="false">IF(D52="","",IF(D52&gt;=C52,"En meta",IF(D52&gt;=C52-0.05,"Riesgo","Atrasado")))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3"/>
      <c r="N52" s="67" t="str">
        <f aca="false">IF(M52="","",IF($M$9="","",IF($M$9=0,"",M52/$M$9)))</f>
        <v/>
      </c>
      <c r="O52" s="63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6" t="n">
        <f aca="false">$B$5</f>
        <v>1</v>
      </c>
      <c r="D53" s="58"/>
      <c r="E53" s="5"/>
      <c r="F53" s="5"/>
      <c r="G53" s="59" t="str">
        <f aca="false">IF(D53="","",D53-C53)</f>
        <v/>
      </c>
      <c r="H53" s="13" t="str">
        <f aca="false">IF(D53="","",IF(D53&gt;=C53,"En meta",IF(D53&gt;=C53-0.05,"Riesgo","Atrasado")))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3"/>
      <c r="N53" s="61" t="str">
        <f aca="false">IF(M53="","",IF($M$9="","",IF($M$9=0,"",M53/$M$9)))</f>
        <v/>
      </c>
      <c r="O53" s="63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7" t="n">
        <f aca="false">$B$5</f>
        <v>1</v>
      </c>
      <c r="D54" s="58"/>
      <c r="E54" s="29"/>
      <c r="F54" s="29"/>
      <c r="G54" s="66" t="str">
        <f aca="false">IF(D54="","",D54-C54)</f>
        <v/>
      </c>
      <c r="H54" s="14" t="str">
        <f aca="false">IF(D54="","",IF(D54&gt;=C54,"En meta",IF(D54&gt;=C54-0.05,"Riesgo","Atrasado")))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3"/>
      <c r="N54" s="67" t="str">
        <f aca="false">IF(M54="","",IF($M$9="","",IF($M$9=0,"",M54/$M$9)))</f>
        <v/>
      </c>
      <c r="O54" s="63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6" t="n">
        <f aca="false">$B$5</f>
        <v>1</v>
      </c>
      <c r="D55" s="58"/>
      <c r="E55" s="5"/>
      <c r="F55" s="5"/>
      <c r="G55" s="59" t="str">
        <f aca="false">IF(D55="","",D55-C55)</f>
        <v/>
      </c>
      <c r="H55" s="13" t="str">
        <f aca="false">IF(D55="","",IF(D55&gt;=C55,"En meta",IF(D55&gt;=C55-0.05,"Riesgo","Atrasado")))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3"/>
      <c r="N55" s="61" t="str">
        <f aca="false">IF(M55="","",IF($M$9="","",IF($M$9=0,"",M55/$M$9)))</f>
        <v/>
      </c>
      <c r="O55" s="63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7" t="n">
        <f aca="false">$B$5</f>
        <v>1</v>
      </c>
      <c r="D56" s="58"/>
      <c r="E56" s="29"/>
      <c r="F56" s="29"/>
      <c r="G56" s="66" t="str">
        <f aca="false">IF(D56="","",D56-C56)</f>
        <v/>
      </c>
      <c r="H56" s="14" t="str">
        <f aca="false">IF(D56="","",IF(D56&gt;=C56,"En meta",IF(D56&gt;=C56-0.05,"Riesgo","Atrasado")))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3"/>
      <c r="N56" s="67" t="str">
        <f aca="false">IF(M56="","",IF($M$9="","",IF($M$9=0,"",M56/$M$9)))</f>
        <v/>
      </c>
      <c r="O56" s="63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6" t="n">
        <f aca="false">$B$5</f>
        <v>1</v>
      </c>
      <c r="D57" s="58"/>
      <c r="E57" s="5"/>
      <c r="F57" s="5"/>
      <c r="G57" s="59" t="str">
        <f aca="false">IF(D57="","",D57-C57)</f>
        <v/>
      </c>
      <c r="H57" s="13" t="str">
        <f aca="false">IF(D57="","",IF(D57&gt;=C57,"En meta",IF(D57&gt;=C57-0.05,"Riesgo","Atrasado")))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3"/>
      <c r="N57" s="61" t="str">
        <f aca="false">IF(M57="","",IF($M$9="","",IF($M$9=0,"",M57/$M$9)))</f>
        <v/>
      </c>
      <c r="O57" s="63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7" t="n">
        <f aca="false">$B$5</f>
        <v>1</v>
      </c>
      <c r="D58" s="58"/>
      <c r="E58" s="29"/>
      <c r="F58" s="29"/>
      <c r="G58" s="66" t="str">
        <f aca="false">IF(D58="","",D58-C58)</f>
        <v/>
      </c>
      <c r="H58" s="14" t="str">
        <f aca="false">IF(D58="","",IF(D58&gt;=C58,"En meta",IF(D58&gt;=C58-0.05,"Riesgo","Atrasado")))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3"/>
      <c r="N58" s="67" t="str">
        <f aca="false">IF(M58="","",IF($M$9="","",IF($M$9=0,"",M58/$M$9)))</f>
        <v/>
      </c>
      <c r="O58" s="63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6" t="n">
        <f aca="false">$B$5</f>
        <v>1</v>
      </c>
      <c r="D59" s="58"/>
      <c r="E59" s="5"/>
      <c r="F59" s="5"/>
      <c r="G59" s="59" t="str">
        <f aca="false">IF(D59="","",D59-C59)</f>
        <v/>
      </c>
      <c r="H59" s="13" t="str">
        <f aca="false">IF(D59="","",IF(D59&gt;=C59,"En meta",IF(D59&gt;=C59-0.05,"Riesgo","Atrasado")))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3"/>
      <c r="N59" s="61" t="str">
        <f aca="false">IF(M59="","",IF($M$9="","",IF($M$9=0,"",M59/$M$9)))</f>
        <v/>
      </c>
      <c r="O59" s="63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7" t="n">
        <f aca="false">$B$5</f>
        <v>1</v>
      </c>
      <c r="D60" s="58"/>
      <c r="E60" s="29"/>
      <c r="F60" s="29"/>
      <c r="G60" s="66" t="str">
        <f aca="false">IF(D60="","",D60-C60)</f>
        <v/>
      </c>
      <c r="H60" s="14" t="str">
        <f aca="false">IF(D60="","",IF(D60&gt;=C60,"En meta",IF(D60&gt;=C60-0.05,"Riesgo","Atrasado")))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3"/>
      <c r="N60" s="67" t="str">
        <f aca="false">IF(M60="","",IF($M$9="","",IF($M$9=0,"",M60/$M$9)))</f>
        <v/>
      </c>
      <c r="O60" s="63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6" t="n">
        <f aca="false">$B$5</f>
        <v>1</v>
      </c>
      <c r="D61" s="58"/>
      <c r="E61" s="5"/>
      <c r="F61" s="5"/>
      <c r="G61" s="59" t="str">
        <f aca="false">IF(D61="","",D61-C61)</f>
        <v/>
      </c>
      <c r="H61" s="13" t="str">
        <f aca="false">IF(D61="","",IF(D61&gt;=C61,"En meta",IF(D61&gt;=C61-0.05,"Riesgo","Atrasado")))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3"/>
      <c r="N61" s="61" t="str">
        <f aca="false">IF(M61="","",IF($M$9="","",IF($M$9=0,"",M61/$M$9)))</f>
        <v/>
      </c>
      <c r="O61" s="63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7" t="n">
        <f aca="false">$B$5</f>
        <v>1</v>
      </c>
      <c r="D62" s="58"/>
      <c r="E62" s="29"/>
      <c r="F62" s="29"/>
      <c r="G62" s="66" t="str">
        <f aca="false">IF(D62="","",D62-C62)</f>
        <v/>
      </c>
      <c r="H62" s="14" t="str">
        <f aca="false">IF(D62="","",IF(D62&gt;=C62,"En meta",IF(D62&gt;=C62-0.05,"Riesgo","Atrasado")))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3"/>
      <c r="N62" s="67" t="str">
        <f aca="false">IF(M62="","",IF($M$9="","",IF($M$9=0,"",M62/$M$9)))</f>
        <v/>
      </c>
      <c r="O62" s="63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6" t="n">
        <f aca="false">$B$5</f>
        <v>1</v>
      </c>
      <c r="D63" s="58"/>
      <c r="E63" s="5"/>
      <c r="F63" s="5"/>
      <c r="G63" s="59" t="str">
        <f aca="false">IF(D63="","",D63-C63)</f>
        <v/>
      </c>
      <c r="H63" s="13" t="str">
        <f aca="false">IF(D63="","",IF(D63&gt;=C63,"En meta",IF(D63&gt;=C63-0.05,"Riesgo","Atrasado")))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3"/>
      <c r="N63" s="61" t="str">
        <f aca="false">IF(M63="","",IF($M$9="","",IF($M$9=0,"",M63/$M$9)))</f>
        <v/>
      </c>
      <c r="O63" s="63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7" t="n">
        <f aca="false">$B$5</f>
        <v>1</v>
      </c>
      <c r="D64" s="58"/>
      <c r="E64" s="29"/>
      <c r="F64" s="29"/>
      <c r="G64" s="66" t="str">
        <f aca="false">IF(D64="","",D64-C64)</f>
        <v/>
      </c>
      <c r="H64" s="14" t="str">
        <f aca="false">IF(D64="","",IF(D64&gt;=C64,"En meta",IF(D64&gt;=C64-0.05,"Riesgo","Atrasado")))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3"/>
      <c r="N64" s="67" t="str">
        <f aca="false">IF(M64="","",IF($M$9="","",IF($M$9=0,"",M64/$M$9)))</f>
        <v/>
      </c>
      <c r="O64" s="63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6" t="n">
        <f aca="false">$B$5</f>
        <v>1</v>
      </c>
      <c r="D65" s="58"/>
      <c r="E65" s="5"/>
      <c r="F65" s="5"/>
      <c r="G65" s="59" t="str">
        <f aca="false">IF(D65="","",D65-C65)</f>
        <v/>
      </c>
      <c r="H65" s="13" t="str">
        <f aca="false">IF(D65="","",IF(D65&gt;=C65,"En meta",IF(D65&gt;=C65-0.05,"Riesgo","Atrasado")))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3"/>
      <c r="N65" s="61" t="str">
        <f aca="false">IF(M65="","",IF($M$9="","",IF($M$9=0,"",M65/$M$9)))</f>
        <v/>
      </c>
      <c r="O65" s="63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7" t="n">
        <f aca="false">$B$5</f>
        <v>1</v>
      </c>
      <c r="D66" s="58"/>
      <c r="E66" s="29"/>
      <c r="F66" s="29"/>
      <c r="G66" s="66" t="str">
        <f aca="false">IF(D66="","",D66-C66)</f>
        <v/>
      </c>
      <c r="H66" s="14" t="str">
        <f aca="false">IF(D66="","",IF(D66&gt;=C66,"En meta",IF(D66&gt;=C66-0.05,"Riesgo","Atrasado")))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3"/>
      <c r="N66" s="67" t="str">
        <f aca="false">IF(M66="","",IF($M$9="","",IF($M$9=0,"",M66/$M$9)))</f>
        <v/>
      </c>
      <c r="O66" s="63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6" t="n">
        <f aca="false">$B$5</f>
        <v>1</v>
      </c>
      <c r="D67" s="58"/>
      <c r="E67" s="5"/>
      <c r="F67" s="5"/>
      <c r="G67" s="59" t="str">
        <f aca="false">IF(D67="","",D67-C67)</f>
        <v/>
      </c>
      <c r="H67" s="13" t="str">
        <f aca="false">IF(D67="","",IF(D67&gt;=C67,"En meta",IF(D67&gt;=C67-0.05,"Riesgo","Atrasado")))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3"/>
      <c r="N67" s="61" t="str">
        <f aca="false">IF(M67="","",IF($M$9="","",IF($M$9=0,"",M67/$M$9)))</f>
        <v/>
      </c>
      <c r="O67" s="63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7" t="n">
        <f aca="false">$B$5</f>
        <v>1</v>
      </c>
      <c r="D68" s="58"/>
      <c r="E68" s="29"/>
      <c r="F68" s="29"/>
      <c r="G68" s="66" t="str">
        <f aca="false">IF(D68="","",D68-C68)</f>
        <v/>
      </c>
      <c r="H68" s="14" t="str">
        <f aca="false">IF(D68="","",IF(D68&gt;=C68,"En meta",IF(D68&gt;=C68-0.05,"Riesgo","Atrasado")))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3"/>
      <c r="N68" s="67" t="str">
        <f aca="false">IF(M68="","",IF($M$9="","",IF($M$9=0,"",M68/$M$9)))</f>
        <v/>
      </c>
      <c r="O68" s="63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6" t="n">
        <f aca="false">$B$5</f>
        <v>1</v>
      </c>
      <c r="D69" s="58"/>
      <c r="E69" s="5"/>
      <c r="F69" s="5"/>
      <c r="G69" s="59" t="str">
        <f aca="false">IF(D69="","",D69-C69)</f>
        <v/>
      </c>
      <c r="H69" s="13" t="str">
        <f aca="false">IF(D69="","",IF(D69&gt;=C69,"En meta",IF(D69&gt;=C69-0.05,"Riesgo","Atrasado")))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3"/>
      <c r="N69" s="61" t="str">
        <f aca="false">IF(M69="","",IF($M$9="","",IF($M$9=0,"",M69/$M$9)))</f>
        <v/>
      </c>
      <c r="O69" s="63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7" t="n">
        <f aca="false">$B$5</f>
        <v>1</v>
      </c>
      <c r="D70" s="58"/>
      <c r="E70" s="29"/>
      <c r="F70" s="29"/>
      <c r="G70" s="66" t="str">
        <f aca="false">IF(D70="","",D70-C70)</f>
        <v/>
      </c>
      <c r="H70" s="14" t="str">
        <f aca="false">IF(D70="","",IF(D70&gt;=C70,"En meta",IF(D70&gt;=C70-0.05,"Riesgo","Atrasado")))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3"/>
      <c r="N70" s="67" t="str">
        <f aca="false">IF(M70="","",IF($M$9="","",IF($M$9=0,"",M70/$M$9)))</f>
        <v/>
      </c>
      <c r="O70" s="63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6" t="n">
        <f aca="false">$B$5</f>
        <v>1</v>
      </c>
      <c r="D71" s="58"/>
      <c r="E71" s="5"/>
      <c r="F71" s="5"/>
      <c r="G71" s="59" t="str">
        <f aca="false">IF(D71="","",D71-C71)</f>
        <v/>
      </c>
      <c r="H71" s="13" t="str">
        <f aca="false">IF(D71="","",IF(D71&gt;=C71,"En meta",IF(D71&gt;=C71-0.05,"Riesgo","Atrasado")))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3"/>
      <c r="N71" s="61" t="str">
        <f aca="false">IF(M71="","",IF($M$9="","",IF($M$9=0,"",M71/$M$9)))</f>
        <v/>
      </c>
      <c r="O71" s="63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7" t="n">
        <f aca="false">$B$5</f>
        <v>1</v>
      </c>
      <c r="D72" s="58"/>
      <c r="E72" s="29"/>
      <c r="F72" s="29"/>
      <c r="G72" s="66" t="str">
        <f aca="false">IF(D72="","",D72-C72)</f>
        <v/>
      </c>
      <c r="H72" s="14" t="str">
        <f aca="false">IF(D72="","",IF(D72&gt;=C72,"En meta",IF(D72&gt;=C72-0.05,"Riesgo","Atrasado")))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3"/>
      <c r="N72" s="67" t="str">
        <f aca="false">IF(M72="","",IF($M$9="","",IF($M$9=0,"",M72/$M$9)))</f>
        <v/>
      </c>
      <c r="O72" s="63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6" t="n">
        <f aca="false">$B$5</f>
        <v>1</v>
      </c>
      <c r="D73" s="58"/>
      <c r="E73" s="5"/>
      <c r="F73" s="5"/>
      <c r="G73" s="59" t="str">
        <f aca="false">IF(D73="","",D73-C73)</f>
        <v/>
      </c>
      <c r="H73" s="13" t="str">
        <f aca="false">IF(D73="","",IF(D73&gt;=C73,"En meta",IF(D73&gt;=C73-0.05,"Riesgo","Atrasado")))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3"/>
      <c r="N73" s="61" t="str">
        <f aca="false">IF(M73="","",IF($M$9="","",IF($M$9=0,"",M73/$M$9)))</f>
        <v/>
      </c>
      <c r="O73" s="63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7" t="n">
        <f aca="false">$B$5</f>
        <v>1</v>
      </c>
      <c r="D74" s="58"/>
      <c r="E74" s="29"/>
      <c r="F74" s="29"/>
      <c r="G74" s="66" t="str">
        <f aca="false">IF(D74="","",D74-C74)</f>
        <v/>
      </c>
      <c r="H74" s="14" t="str">
        <f aca="false">IF(D74="","",IF(D74&gt;=C74,"En meta",IF(D74&gt;=C74-0.05,"Riesgo","Atrasado")))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3"/>
      <c r="N74" s="67" t="str">
        <f aca="false">IF(M74="","",IF($M$9="","",IF($M$9=0,"",M74/$M$9)))</f>
        <v/>
      </c>
      <c r="O74" s="63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6" t="n">
        <f aca="false">$B$5</f>
        <v>1</v>
      </c>
      <c r="D75" s="58"/>
      <c r="E75" s="5"/>
      <c r="F75" s="5"/>
      <c r="G75" s="59" t="str">
        <f aca="false">IF(D75="","",D75-C75)</f>
        <v/>
      </c>
      <c r="H75" s="13" t="str">
        <f aca="false">IF(D75="","",IF(D75&gt;=C75,"En meta",IF(D75&gt;=C75-0.05,"Riesgo","Atrasado")))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3"/>
      <c r="N75" s="61" t="str">
        <f aca="false">IF(M75="","",IF($M$9="","",IF($M$9=0,"",M75/$M$9)))</f>
        <v/>
      </c>
      <c r="O75" s="63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7" t="n">
        <f aca="false">$B$5</f>
        <v>1</v>
      </c>
      <c r="D76" s="58"/>
      <c r="E76" s="29"/>
      <c r="F76" s="29"/>
      <c r="G76" s="66" t="str">
        <f aca="false">IF(D76="","",D76-C76)</f>
        <v/>
      </c>
      <c r="H76" s="14" t="str">
        <f aca="false">IF(D76="","",IF(D76&gt;=C76,"En meta",IF(D76&gt;=C76-0.05,"Riesgo","Atrasado")))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3"/>
      <c r="N76" s="67" t="str">
        <f aca="false">IF(M76="","",IF($M$9="","",IF($M$9=0,"",M76/$M$9)))</f>
        <v/>
      </c>
      <c r="O76" s="63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6" t="n">
        <f aca="false">$B$5</f>
        <v>1</v>
      </c>
      <c r="D77" s="58"/>
      <c r="E77" s="5"/>
      <c r="F77" s="5"/>
      <c r="G77" s="59" t="str">
        <f aca="false">IF(D77="","",D77-C77)</f>
        <v/>
      </c>
      <c r="H77" s="13" t="str">
        <f aca="false">IF(D77="","",IF(D77&gt;=C77,"En meta",IF(D77&gt;=C77-0.05,"Riesgo","Atrasado")))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3"/>
      <c r="N77" s="61" t="str">
        <f aca="false">IF(M77="","",IF($M$9="","",IF($M$9=0,"",M77/$M$9)))</f>
        <v/>
      </c>
      <c r="O77" s="63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7" t="n">
        <f aca="false">$B$5</f>
        <v>1</v>
      </c>
      <c r="D78" s="58"/>
      <c r="E78" s="29"/>
      <c r="F78" s="29"/>
      <c r="G78" s="66" t="str">
        <f aca="false">IF(D78="","",D78-C78)</f>
        <v/>
      </c>
      <c r="H78" s="14" t="str">
        <f aca="false">IF(D78="","",IF(D78&gt;=C78,"En meta",IF(D78&gt;=C78-0.05,"Riesgo","Atrasado")))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3"/>
      <c r="N78" s="67" t="str">
        <f aca="false">IF(M78="","",IF($M$9="","",IF($M$9=0,"",M78/$M$9)))</f>
        <v/>
      </c>
      <c r="O78" s="63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6" t="n">
        <f aca="false">$B$5</f>
        <v>1</v>
      </c>
      <c r="D79" s="58"/>
      <c r="E79" s="5"/>
      <c r="F79" s="5"/>
      <c r="G79" s="59" t="str">
        <f aca="false">IF(D79="","",D79-C79)</f>
        <v/>
      </c>
      <c r="H79" s="13" t="str">
        <f aca="false">IF(D79="","",IF(D79&gt;=C79,"En meta",IF(D79&gt;=C79-0.05,"Riesgo","Atrasado")))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3"/>
      <c r="N79" s="61" t="str">
        <f aca="false">IF(M79="","",IF($M$9="","",IF($M$9=0,"",M79/$M$9)))</f>
        <v/>
      </c>
      <c r="O79" s="63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7" t="n">
        <f aca="false">$B$5</f>
        <v>1</v>
      </c>
      <c r="D80" s="58"/>
      <c r="E80" s="29"/>
      <c r="F80" s="29"/>
      <c r="G80" s="66" t="str">
        <f aca="false">IF(D80="","",D80-C80)</f>
        <v/>
      </c>
      <c r="H80" s="14" t="str">
        <f aca="false">IF(D80="","",IF(D80&gt;=C80,"En meta",IF(D80&gt;=C80-0.05,"Riesgo","Atrasado")))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3"/>
      <c r="N80" s="67" t="str">
        <f aca="false">IF(M80="","",IF($M$9="","",IF($M$9=0,"",M80/$M$9)))</f>
        <v/>
      </c>
      <c r="O80" s="63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6" t="n">
        <f aca="false">$B$5</f>
        <v>1</v>
      </c>
      <c r="D81" s="58"/>
      <c r="E81" s="5"/>
      <c r="F81" s="5"/>
      <c r="G81" s="59" t="str">
        <f aca="false">IF(D81="","",D81-C81)</f>
        <v/>
      </c>
      <c r="H81" s="13" t="str">
        <f aca="false">IF(D81="","",IF(D81&gt;=C81,"En meta",IF(D81&gt;=C81-0.05,"Riesgo","Atrasado")))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3"/>
      <c r="N81" s="61" t="str">
        <f aca="false">IF(M81="","",IF($M$9="","",IF($M$9=0,"",M81/$M$9)))</f>
        <v/>
      </c>
      <c r="O81" s="63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7" t="n">
        <f aca="false">$B$5</f>
        <v>1</v>
      </c>
      <c r="D82" s="58"/>
      <c r="E82" s="29"/>
      <c r="F82" s="29"/>
      <c r="G82" s="66" t="str">
        <f aca="false">IF(D82="","",D82-C82)</f>
        <v/>
      </c>
      <c r="H82" s="14" t="str">
        <f aca="false">IF(D82="","",IF(D82&gt;=C82,"En meta",IF(D82&gt;=C82-0.05,"Riesgo","Atrasado")))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3"/>
      <c r="N82" s="67" t="str">
        <f aca="false">IF(M82="","",IF($M$9="","",IF($M$9=0,"",M82/$M$9)))</f>
        <v/>
      </c>
      <c r="O82" s="63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6" t="n">
        <f aca="false">$B$5</f>
        <v>1</v>
      </c>
      <c r="D83" s="58"/>
      <c r="E83" s="5"/>
      <c r="F83" s="5"/>
      <c r="G83" s="59" t="str">
        <f aca="false">IF(D83="","",D83-C83)</f>
        <v/>
      </c>
      <c r="H83" s="13" t="str">
        <f aca="false">IF(D83="","",IF(D83&gt;=C83,"En meta",IF(D83&gt;=C83-0.05,"Riesgo","Atrasado")))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3"/>
      <c r="N83" s="61" t="str">
        <f aca="false">IF(M83="","",IF($M$9="","",IF($M$9=0,"",M83/$M$9)))</f>
        <v/>
      </c>
      <c r="O83" s="63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7" t="n">
        <f aca="false">$B$5</f>
        <v>1</v>
      </c>
      <c r="D84" s="58"/>
      <c r="E84" s="29"/>
      <c r="F84" s="29"/>
      <c r="G84" s="66" t="str">
        <f aca="false">IF(D84="","",D84-C84)</f>
        <v/>
      </c>
      <c r="H84" s="14" t="str">
        <f aca="false">IF(D84="","",IF(D84&gt;=C84,"En meta",IF(D84&gt;=C84-0.05,"Riesgo","Atrasado")))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3"/>
      <c r="N84" s="67" t="str">
        <f aca="false">IF(M84="","",IF($M$9="","",IF($M$9=0,"",M84/$M$9)))</f>
        <v/>
      </c>
      <c r="O84" s="63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6" t="n">
        <f aca="false">$B$5</f>
        <v>1</v>
      </c>
      <c r="D85" s="58"/>
      <c r="E85" s="5"/>
      <c r="F85" s="5"/>
      <c r="G85" s="59" t="str">
        <f aca="false">IF(D85="","",D85-C85)</f>
        <v/>
      </c>
      <c r="H85" s="13" t="str">
        <f aca="false">IF(D85="","",IF(D85&gt;=C85,"En meta",IF(D85&gt;=C85-0.05,"Riesgo","Atrasado")))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3"/>
      <c r="N85" s="61" t="str">
        <f aca="false">IF(M85="","",IF($M$9="","",IF($M$9=0,"",M85/$M$9)))</f>
        <v/>
      </c>
      <c r="O85" s="63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7" t="n">
        <f aca="false">$B$5</f>
        <v>1</v>
      </c>
      <c r="D86" s="58"/>
      <c r="E86" s="29"/>
      <c r="F86" s="29"/>
      <c r="G86" s="66" t="str">
        <f aca="false">IF(D86="","",D86-C86)</f>
        <v/>
      </c>
      <c r="H86" s="14" t="str">
        <f aca="false">IF(D86="","",IF(D86&gt;=C86,"En meta",IF(D86&gt;=C86-0.05,"Riesgo","Atrasado")))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3"/>
      <c r="N86" s="67" t="str">
        <f aca="false">IF(M86="","",IF($M$9="","",IF($M$9=0,"",M86/$M$9)))</f>
        <v/>
      </c>
      <c r="O86" s="63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6" t="n">
        <f aca="false">$B$5</f>
        <v>1</v>
      </c>
      <c r="D87" s="58"/>
      <c r="E87" s="5"/>
      <c r="F87" s="5"/>
      <c r="G87" s="59" t="str">
        <f aca="false">IF(D87="","",D87-C87)</f>
        <v/>
      </c>
      <c r="H87" s="13" t="str">
        <f aca="false">IF(D87="","",IF(D87&gt;=C87,"En meta",IF(D87&gt;=C87-0.05,"Riesgo","Atrasado")))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3"/>
      <c r="N87" s="61" t="str">
        <f aca="false">IF(M87="","",IF($M$9="","",IF($M$9=0,"",M87/$M$9)))</f>
        <v/>
      </c>
      <c r="O87" s="63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7" t="n">
        <f aca="false">$B$5</f>
        <v>1</v>
      </c>
      <c r="D88" s="58"/>
      <c r="E88" s="29"/>
      <c r="F88" s="29"/>
      <c r="G88" s="66" t="str">
        <f aca="false">IF(D88="","",D88-C88)</f>
        <v/>
      </c>
      <c r="H88" s="14" t="str">
        <f aca="false">IF(D88="","",IF(D88&gt;=C88,"En meta",IF(D88&gt;=C88-0.05,"Riesgo","Atrasado")))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3"/>
      <c r="N88" s="67" t="str">
        <f aca="false">IF(M88="","",IF($M$9="","",IF($M$9=0,"",M88/$M$9)))</f>
        <v/>
      </c>
      <c r="O88" s="63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6" t="n">
        <f aca="false">$B$5</f>
        <v>1</v>
      </c>
      <c r="D89" s="58"/>
      <c r="E89" s="5"/>
      <c r="F89" s="5"/>
      <c r="G89" s="59" t="str">
        <f aca="false">IF(D89="","",D89-C89)</f>
        <v/>
      </c>
      <c r="H89" s="13" t="str">
        <f aca="false">IF(D89="","",IF(D89&gt;=C89,"En meta",IF(D89&gt;=C89-0.05,"Riesgo","Atrasado")))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3"/>
      <c r="N89" s="61" t="str">
        <f aca="false">IF(M89="","",IF($M$9="","",IF($M$9=0,"",M89/$M$9)))</f>
        <v/>
      </c>
      <c r="O89" s="63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7" t="n">
        <f aca="false">$B$5</f>
        <v>1</v>
      </c>
      <c r="D90" s="58"/>
      <c r="E90" s="29"/>
      <c r="F90" s="29"/>
      <c r="G90" s="66" t="str">
        <f aca="false">IF(D90="","",D90-C90)</f>
        <v/>
      </c>
      <c r="H90" s="14" t="str">
        <f aca="false">IF(D90="","",IF(D90&gt;=C90,"En meta",IF(D90&gt;=C90-0.05,"Riesgo","Atrasado")))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3"/>
      <c r="N90" s="67" t="str">
        <f aca="false">IF(M90="","",IF($M$9="","",IF($M$9=0,"",M90/$M$9)))</f>
        <v/>
      </c>
      <c r="O90" s="63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6" t="n">
        <f aca="false">$B$5</f>
        <v>1</v>
      </c>
      <c r="D91" s="58"/>
      <c r="E91" s="5"/>
      <c r="F91" s="5"/>
      <c r="G91" s="59" t="str">
        <f aca="false">IF(D91="","",D91-C91)</f>
        <v/>
      </c>
      <c r="H91" s="13" t="str">
        <f aca="false">IF(D91="","",IF(D91&gt;=C91,"En meta",IF(D91&gt;=C91-0.05,"Riesgo","Atrasado")))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3"/>
      <c r="N91" s="61" t="str">
        <f aca="false">IF(M91="","",IF($M$9="","",IF($M$9=0,"",M91/$M$9)))</f>
        <v/>
      </c>
      <c r="O91" s="63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172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173</v>
      </c>
    </row>
    <row r="3" customFormat="false" ht="15" hidden="false" customHeight="false" outlineLevel="0" collapsed="false">
      <c r="A3" s="17" t="s">
        <v>84</v>
      </c>
      <c r="B3" s="44" t="s">
        <v>174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52</v>
      </c>
    </row>
    <row r="5" customFormat="false" ht="24" hidden="false" customHeight="true" outlineLevel="0" collapsed="false">
      <c r="A5" s="17" t="s">
        <v>89</v>
      </c>
      <c r="B5" s="78" t="n">
        <v>20000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175</v>
      </c>
      <c r="J8" s="49"/>
      <c r="K8" s="49" t="s">
        <v>176</v>
      </c>
      <c r="L8" s="49"/>
      <c r="M8" s="49" t="s">
        <v>177</v>
      </c>
      <c r="N8" s="49"/>
      <c r="O8" s="49" t="s">
        <v>178</v>
      </c>
      <c r="P8" s="49"/>
      <c r="Q8" s="49" t="s">
        <v>179</v>
      </c>
      <c r="R8" s="49"/>
      <c r="S8" s="49" t="s">
        <v>180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2</v>
      </c>
      <c r="J9" s="53"/>
      <c r="K9" s="53" t="n">
        <v>1</v>
      </c>
      <c r="L9" s="53"/>
      <c r="M9" s="53" t="n">
        <v>1</v>
      </c>
      <c r="N9" s="53"/>
      <c r="O9" s="53" t="n">
        <v>4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246.913580246914</v>
      </c>
      <c r="D11" s="58"/>
      <c r="E11" s="73" t="n">
        <f aca="false">SUM($C$11:C11)</f>
        <v>246.913580246914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246.913580246914</v>
      </c>
      <c r="D12" s="58"/>
      <c r="E12" s="74" t="n">
        <f aca="false">SUM($C$11:C12)</f>
        <v>493.827160493827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246.913580246914</v>
      </c>
      <c r="D13" s="58"/>
      <c r="E13" s="73" t="n">
        <f aca="false">SUM($C$11:C13)</f>
        <v>740.740740740741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246.913580246914</v>
      </c>
      <c r="D14" s="58"/>
      <c r="E14" s="74" t="n">
        <f aca="false">SUM($C$11:C14)</f>
        <v>987.654320987654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246.913580246914</v>
      </c>
      <c r="D15" s="58"/>
      <c r="E15" s="73" t="n">
        <f aca="false">SUM($C$11:C15)</f>
        <v>1234.56790123457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246.913580246914</v>
      </c>
      <c r="D16" s="58"/>
      <c r="E16" s="74" t="n">
        <f aca="false">SUM($C$11:C16)</f>
        <v>1481.48148148148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246.913580246914</v>
      </c>
      <c r="D17" s="58"/>
      <c r="E17" s="73" t="n">
        <f aca="false">SUM($C$11:C17)</f>
        <v>1728.3950617284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246.913580246914</v>
      </c>
      <c r="D18" s="58"/>
      <c r="E18" s="74" t="n">
        <f aca="false">SUM($C$11:C18)</f>
        <v>1975.30864197531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246.913580246914</v>
      </c>
      <c r="D19" s="58"/>
      <c r="E19" s="73" t="n">
        <f aca="false">SUM($C$11:C19)</f>
        <v>2222.22222222222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246.913580246914</v>
      </c>
      <c r="D20" s="58"/>
      <c r="E20" s="74" t="n">
        <f aca="false">SUM($C$11:C20)</f>
        <v>2469.13580246914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246.913580246914</v>
      </c>
      <c r="D21" s="58"/>
      <c r="E21" s="73" t="n">
        <f aca="false">SUM($C$11:C21)</f>
        <v>2716.04938271605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246.913580246914</v>
      </c>
      <c r="D22" s="58"/>
      <c r="E22" s="74" t="n">
        <f aca="false">SUM($C$11:C22)</f>
        <v>2962.96296296296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246.913580246914</v>
      </c>
      <c r="D23" s="58"/>
      <c r="E23" s="73" t="n">
        <f aca="false">SUM($C$11:C23)</f>
        <v>3209.87654320988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246.913580246914</v>
      </c>
      <c r="D24" s="58"/>
      <c r="E24" s="74" t="n">
        <f aca="false">SUM($C$11:C24)</f>
        <v>3456.79012345679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246.913580246914</v>
      </c>
      <c r="D25" s="58"/>
      <c r="E25" s="73" t="n">
        <f aca="false">SUM($C$11:C25)</f>
        <v>3703.7037037037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246.913580246914</v>
      </c>
      <c r="D26" s="58"/>
      <c r="E26" s="74" t="n">
        <f aca="false">SUM($C$11:C26)</f>
        <v>3950.61728395062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246.913580246914</v>
      </c>
      <c r="D27" s="58"/>
      <c r="E27" s="73" t="n">
        <f aca="false">SUM($C$11:C27)</f>
        <v>4197.53086419753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246.913580246914</v>
      </c>
      <c r="D28" s="58"/>
      <c r="E28" s="74" t="n">
        <f aca="false">SUM($C$11:C28)</f>
        <v>4444.44444444444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246.913580246914</v>
      </c>
      <c r="D29" s="58"/>
      <c r="E29" s="73" t="n">
        <f aca="false">SUM($C$11:C29)</f>
        <v>4691.35802469136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246.913580246914</v>
      </c>
      <c r="D30" s="58"/>
      <c r="E30" s="74" t="n">
        <f aca="false">SUM($C$11:C30)</f>
        <v>4938.27160493827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246.913580246914</v>
      </c>
      <c r="D31" s="58"/>
      <c r="E31" s="73" t="n">
        <f aca="false">SUM($C$11:C31)</f>
        <v>5185.18518518519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246.913580246914</v>
      </c>
      <c r="D32" s="58"/>
      <c r="E32" s="74" t="n">
        <f aca="false">SUM($C$11:C32)</f>
        <v>5432.0987654321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246.913580246914</v>
      </c>
      <c r="D33" s="58"/>
      <c r="E33" s="73" t="n">
        <f aca="false">SUM($C$11:C33)</f>
        <v>5679.01234567901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246.913580246914</v>
      </c>
      <c r="D34" s="58"/>
      <c r="E34" s="74" t="n">
        <f aca="false">SUM($C$11:C34)</f>
        <v>5925.92592592593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246.913580246914</v>
      </c>
      <c r="D35" s="58"/>
      <c r="E35" s="73" t="n">
        <f aca="false">SUM($C$11:C35)</f>
        <v>6172.83950617284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246.913580246914</v>
      </c>
      <c r="D36" s="58"/>
      <c r="E36" s="74" t="n">
        <f aca="false">SUM($C$11:C36)</f>
        <v>6419.75308641975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246.913580246914</v>
      </c>
      <c r="D37" s="58"/>
      <c r="E37" s="73" t="n">
        <f aca="false">SUM($C$11:C37)</f>
        <v>6666.66666666667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246.913580246914</v>
      </c>
      <c r="D38" s="58"/>
      <c r="E38" s="74" t="n">
        <f aca="false">SUM($C$11:C38)</f>
        <v>6913.58024691358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246.913580246914</v>
      </c>
      <c r="D39" s="58"/>
      <c r="E39" s="73" t="n">
        <f aca="false">SUM($C$11:C39)</f>
        <v>7160.49382716049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246.913580246914</v>
      </c>
      <c r="D40" s="58"/>
      <c r="E40" s="74" t="n">
        <f aca="false">SUM($C$11:C40)</f>
        <v>7407.40740740741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246.913580246914</v>
      </c>
      <c r="D41" s="58"/>
      <c r="E41" s="73" t="n">
        <f aca="false">SUM($C$11:C41)</f>
        <v>7654.32098765432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246.913580246914</v>
      </c>
      <c r="D42" s="58"/>
      <c r="E42" s="74" t="n">
        <f aca="false">SUM($C$11:C42)</f>
        <v>7901.23456790123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246.913580246914</v>
      </c>
      <c r="D43" s="58"/>
      <c r="E43" s="73" t="n">
        <f aca="false">SUM($C$11:C43)</f>
        <v>8148.14814814815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246.913580246914</v>
      </c>
      <c r="D44" s="58"/>
      <c r="E44" s="74" t="n">
        <f aca="false">SUM($C$11:C44)</f>
        <v>8395.06172839506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246.913580246914</v>
      </c>
      <c r="D45" s="58"/>
      <c r="E45" s="73" t="n">
        <f aca="false">SUM($C$11:C45)</f>
        <v>8641.97530864198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246.913580246914</v>
      </c>
      <c r="D46" s="58"/>
      <c r="E46" s="74" t="n">
        <f aca="false">SUM($C$11:C46)</f>
        <v>8888.88888888889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246.913580246914</v>
      </c>
      <c r="D47" s="58"/>
      <c r="E47" s="73" t="n">
        <f aca="false">SUM($C$11:C47)</f>
        <v>9135.8024691358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246.913580246914</v>
      </c>
      <c r="D48" s="58"/>
      <c r="E48" s="74" t="n">
        <f aca="false">SUM($C$11:C48)</f>
        <v>9382.71604938272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246.913580246914</v>
      </c>
      <c r="D49" s="58"/>
      <c r="E49" s="73" t="n">
        <f aca="false">SUM($C$11:C49)</f>
        <v>9629.62962962963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246.913580246914</v>
      </c>
      <c r="D50" s="58"/>
      <c r="E50" s="74" t="n">
        <f aca="false">SUM($C$11:C50)</f>
        <v>9876.54320987654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246.913580246914</v>
      </c>
      <c r="D51" s="58"/>
      <c r="E51" s="73" t="n">
        <f aca="false">SUM($C$11:C51)</f>
        <v>10123.4567901235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246.913580246914</v>
      </c>
      <c r="D52" s="58"/>
      <c r="E52" s="74" t="n">
        <f aca="false">SUM($C$11:C52)</f>
        <v>10370.3703703704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246.913580246914</v>
      </c>
      <c r="D53" s="58"/>
      <c r="E53" s="73" t="n">
        <f aca="false">SUM($C$11:C53)</f>
        <v>10617.2839506173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246.913580246914</v>
      </c>
      <c r="D54" s="58"/>
      <c r="E54" s="74" t="n">
        <f aca="false">SUM($C$11:C54)</f>
        <v>10864.1975308642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246.913580246914</v>
      </c>
      <c r="D55" s="58"/>
      <c r="E55" s="73" t="n">
        <f aca="false">SUM($C$11:C55)</f>
        <v>11111.1111111111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246.913580246914</v>
      </c>
      <c r="D56" s="58"/>
      <c r="E56" s="74" t="n">
        <f aca="false">SUM($C$11:C56)</f>
        <v>11358.024691358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3" t="n">
        <f aca="false">$B$5/$B$8</f>
        <v>246.913580246914</v>
      </c>
      <c r="D57" s="58"/>
      <c r="E57" s="73" t="n">
        <f aca="false">SUM($C$11:C57)</f>
        <v>11604.9382716049</v>
      </c>
      <c r="F57" s="73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4" t="n">
        <f aca="false">$B$5/$B$8</f>
        <v>246.913580246914</v>
      </c>
      <c r="D58" s="58"/>
      <c r="E58" s="74" t="n">
        <f aca="false">SUM($C$11:C58)</f>
        <v>11851.8518518519</v>
      </c>
      <c r="F58" s="74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3" t="n">
        <f aca="false">$B$5/$B$8</f>
        <v>246.913580246914</v>
      </c>
      <c r="D59" s="58"/>
      <c r="E59" s="73" t="n">
        <f aca="false">SUM($C$11:C59)</f>
        <v>12098.7654320988</v>
      </c>
      <c r="F59" s="73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4" t="n">
        <f aca="false">$B$5/$B$8</f>
        <v>246.913580246914</v>
      </c>
      <c r="D60" s="58"/>
      <c r="E60" s="74" t="n">
        <f aca="false">SUM($C$11:C60)</f>
        <v>12345.6790123457</v>
      </c>
      <c r="F60" s="74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3" t="n">
        <f aca="false">$B$5/$B$8</f>
        <v>246.913580246914</v>
      </c>
      <c r="D61" s="58"/>
      <c r="E61" s="73" t="n">
        <f aca="false">SUM($C$11:C61)</f>
        <v>12592.5925925926</v>
      </c>
      <c r="F61" s="73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4" t="n">
        <f aca="false">$B$5/$B$8</f>
        <v>246.913580246914</v>
      </c>
      <c r="D62" s="58"/>
      <c r="E62" s="74" t="n">
        <f aca="false">SUM($C$11:C62)</f>
        <v>12839.5061728395</v>
      </c>
      <c r="F62" s="74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3" t="n">
        <f aca="false">$B$5/$B$8</f>
        <v>246.913580246914</v>
      </c>
      <c r="D63" s="58"/>
      <c r="E63" s="73" t="n">
        <f aca="false">SUM($C$11:C63)</f>
        <v>13086.4197530864</v>
      </c>
      <c r="F63" s="73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4" t="n">
        <f aca="false">$B$5/$B$8</f>
        <v>246.913580246914</v>
      </c>
      <c r="D64" s="58"/>
      <c r="E64" s="74" t="n">
        <f aca="false">SUM($C$11:C64)</f>
        <v>13333.3333333333</v>
      </c>
      <c r="F64" s="74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3" t="n">
        <f aca="false">$B$5/$B$8</f>
        <v>246.913580246914</v>
      </c>
      <c r="D65" s="58"/>
      <c r="E65" s="73" t="n">
        <f aca="false">SUM($C$11:C65)</f>
        <v>13580.2469135802</v>
      </c>
      <c r="F65" s="73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4" t="n">
        <f aca="false">$B$5/$B$8</f>
        <v>246.913580246914</v>
      </c>
      <c r="D66" s="58"/>
      <c r="E66" s="74" t="n">
        <f aca="false">SUM($C$11:C66)</f>
        <v>13827.1604938272</v>
      </c>
      <c r="F66" s="74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3" t="n">
        <f aca="false">$B$5/$B$8</f>
        <v>246.913580246914</v>
      </c>
      <c r="D67" s="58"/>
      <c r="E67" s="73" t="n">
        <f aca="false">SUM($C$11:C67)</f>
        <v>14074.0740740741</v>
      </c>
      <c r="F67" s="73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4" t="n">
        <f aca="false">$B$5/$B$8</f>
        <v>246.913580246914</v>
      </c>
      <c r="D68" s="58"/>
      <c r="E68" s="74" t="n">
        <f aca="false">SUM($C$11:C68)</f>
        <v>14320.987654321</v>
      </c>
      <c r="F68" s="74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3" t="n">
        <f aca="false">$B$5/$B$8</f>
        <v>246.913580246914</v>
      </c>
      <c r="D69" s="58"/>
      <c r="E69" s="73" t="n">
        <f aca="false">SUM($C$11:C69)</f>
        <v>14567.9012345679</v>
      </c>
      <c r="F69" s="73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4" t="n">
        <f aca="false">$B$5/$B$8</f>
        <v>246.913580246914</v>
      </c>
      <c r="D70" s="58"/>
      <c r="E70" s="74" t="n">
        <f aca="false">SUM($C$11:C70)</f>
        <v>14814.8148148148</v>
      </c>
      <c r="F70" s="74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3" t="n">
        <f aca="false">$B$5/$B$8</f>
        <v>246.913580246914</v>
      </c>
      <c r="D71" s="58"/>
      <c r="E71" s="73" t="n">
        <f aca="false">SUM($C$11:C71)</f>
        <v>15061.7283950617</v>
      </c>
      <c r="F71" s="73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4" t="n">
        <f aca="false">$B$5/$B$8</f>
        <v>246.913580246914</v>
      </c>
      <c r="D72" s="58"/>
      <c r="E72" s="74" t="n">
        <f aca="false">SUM($C$11:C72)</f>
        <v>15308.6419753086</v>
      </c>
      <c r="F72" s="74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3" t="n">
        <f aca="false">$B$5/$B$8</f>
        <v>246.913580246914</v>
      </c>
      <c r="D73" s="58"/>
      <c r="E73" s="73" t="n">
        <f aca="false">SUM($C$11:C73)</f>
        <v>15555.5555555556</v>
      </c>
      <c r="F73" s="73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4" t="n">
        <f aca="false">$B$5/$B$8</f>
        <v>246.913580246914</v>
      </c>
      <c r="D74" s="58"/>
      <c r="E74" s="74" t="n">
        <f aca="false">SUM($C$11:C74)</f>
        <v>15802.4691358025</v>
      </c>
      <c r="F74" s="74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3" t="n">
        <f aca="false">$B$5/$B$8</f>
        <v>246.913580246914</v>
      </c>
      <c r="D75" s="58"/>
      <c r="E75" s="73" t="n">
        <f aca="false">SUM($C$11:C75)</f>
        <v>16049.3827160494</v>
      </c>
      <c r="F75" s="73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4" t="n">
        <f aca="false">$B$5/$B$8</f>
        <v>246.913580246914</v>
      </c>
      <c r="D76" s="58"/>
      <c r="E76" s="74" t="n">
        <f aca="false">SUM($C$11:C76)</f>
        <v>16296.2962962963</v>
      </c>
      <c r="F76" s="74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3" t="n">
        <f aca="false">$B$5/$B$8</f>
        <v>246.913580246914</v>
      </c>
      <c r="D77" s="58"/>
      <c r="E77" s="73" t="n">
        <f aca="false">SUM($C$11:C77)</f>
        <v>16543.2098765432</v>
      </c>
      <c r="F77" s="73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4" t="n">
        <f aca="false">$B$5/$B$8</f>
        <v>246.913580246914</v>
      </c>
      <c r="D78" s="58"/>
      <c r="E78" s="74" t="n">
        <f aca="false">SUM($C$11:C78)</f>
        <v>16790.1234567901</v>
      </c>
      <c r="F78" s="74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3" t="n">
        <f aca="false">$B$5/$B$8</f>
        <v>246.913580246914</v>
      </c>
      <c r="D79" s="58"/>
      <c r="E79" s="73" t="n">
        <f aca="false">SUM($C$11:C79)</f>
        <v>17037.037037037</v>
      </c>
      <c r="F79" s="73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4" t="n">
        <f aca="false">$B$5/$B$8</f>
        <v>246.913580246914</v>
      </c>
      <c r="D80" s="58"/>
      <c r="E80" s="74" t="n">
        <f aca="false">SUM($C$11:C80)</f>
        <v>17283.950617284</v>
      </c>
      <c r="F80" s="74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3" t="n">
        <f aca="false">$B$5/$B$8</f>
        <v>246.913580246914</v>
      </c>
      <c r="D81" s="58"/>
      <c r="E81" s="73" t="n">
        <f aca="false">SUM($C$11:C81)</f>
        <v>17530.8641975309</v>
      </c>
      <c r="F81" s="73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4" t="n">
        <f aca="false">$B$5/$B$8</f>
        <v>246.913580246914</v>
      </c>
      <c r="D82" s="58"/>
      <c r="E82" s="74" t="n">
        <f aca="false">SUM($C$11:C82)</f>
        <v>17777.7777777778</v>
      </c>
      <c r="F82" s="74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3" t="n">
        <f aca="false">$B$5/$B$8</f>
        <v>246.913580246914</v>
      </c>
      <c r="D83" s="58"/>
      <c r="E83" s="73" t="n">
        <f aca="false">SUM($C$11:C83)</f>
        <v>18024.6913580247</v>
      </c>
      <c r="F83" s="73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4" t="n">
        <f aca="false">$B$5/$B$8</f>
        <v>246.913580246914</v>
      </c>
      <c r="D84" s="58"/>
      <c r="E84" s="74" t="n">
        <f aca="false">SUM($C$11:C84)</f>
        <v>18271.6049382716</v>
      </c>
      <c r="F84" s="74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3" t="n">
        <f aca="false">$B$5/$B$8</f>
        <v>246.913580246914</v>
      </c>
      <c r="D85" s="58"/>
      <c r="E85" s="73" t="n">
        <f aca="false">SUM($C$11:C85)</f>
        <v>18518.5185185185</v>
      </c>
      <c r="F85" s="73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4" t="n">
        <f aca="false">$B$5/$B$8</f>
        <v>246.913580246914</v>
      </c>
      <c r="D86" s="58"/>
      <c r="E86" s="74" t="n">
        <f aca="false">SUM($C$11:C86)</f>
        <v>18765.4320987654</v>
      </c>
      <c r="F86" s="74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3" t="n">
        <f aca="false">$B$5/$B$8</f>
        <v>246.913580246914</v>
      </c>
      <c r="D87" s="58"/>
      <c r="E87" s="73" t="n">
        <f aca="false">SUM($C$11:C87)</f>
        <v>19012.3456790123</v>
      </c>
      <c r="F87" s="73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4" t="n">
        <f aca="false">$B$5/$B$8</f>
        <v>246.913580246914</v>
      </c>
      <c r="D88" s="58"/>
      <c r="E88" s="74" t="n">
        <f aca="false">SUM($C$11:C88)</f>
        <v>19259.2592592593</v>
      </c>
      <c r="F88" s="74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3" t="n">
        <f aca="false">$B$5/$B$8</f>
        <v>246.913580246914</v>
      </c>
      <c r="D89" s="58"/>
      <c r="E89" s="73" t="n">
        <f aca="false">SUM($C$11:C89)</f>
        <v>19506.1728395062</v>
      </c>
      <c r="F89" s="73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4" t="n">
        <f aca="false">$B$5/$B$8</f>
        <v>246.913580246914</v>
      </c>
      <c r="D90" s="58"/>
      <c r="E90" s="74" t="n">
        <f aca="false">SUM($C$11:C90)</f>
        <v>19753.0864197531</v>
      </c>
      <c r="F90" s="74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3" t="n">
        <f aca="false">$B$5/$B$8</f>
        <v>246.913580246914</v>
      </c>
      <c r="D91" s="58"/>
      <c r="E91" s="73" t="n">
        <f aca="false">SUM($C$11:C91)</f>
        <v>20000</v>
      </c>
      <c r="F91" s="73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182</v>
      </c>
    </row>
    <row r="3" customFormat="false" ht="15" hidden="false" customHeight="false" outlineLevel="0" collapsed="false">
      <c r="A3" s="17" t="s">
        <v>84</v>
      </c>
      <c r="B3" s="44" t="s">
        <v>183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55</v>
      </c>
    </row>
    <row r="5" customFormat="false" ht="24" hidden="false" customHeight="true" outlineLevel="0" collapsed="false">
      <c r="A5" s="17" t="s">
        <v>89</v>
      </c>
      <c r="B5" s="46" t="n">
        <v>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184</v>
      </c>
      <c r="J8" s="49"/>
      <c r="K8" s="49" t="s">
        <v>185</v>
      </c>
      <c r="L8" s="49"/>
      <c r="M8" s="49" t="s">
        <v>186</v>
      </c>
      <c r="N8" s="49"/>
      <c r="O8" s="49" t="s">
        <v>187</v>
      </c>
      <c r="P8" s="49"/>
      <c r="Q8" s="49" t="s">
        <v>188</v>
      </c>
      <c r="R8" s="49"/>
      <c r="S8" s="49" t="s">
        <v>189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2</v>
      </c>
      <c r="L9" s="53"/>
      <c r="M9" s="53" t="n">
        <v>3</v>
      </c>
      <c r="N9" s="53"/>
      <c r="O9" s="53" t="n">
        <v>1</v>
      </c>
      <c r="P9" s="53"/>
      <c r="Q9" s="54" t="n">
        <v>1</v>
      </c>
      <c r="R9" s="54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</f>
        <v>0</v>
      </c>
      <c r="D11" s="58"/>
      <c r="E11" s="5"/>
      <c r="F11" s="5"/>
      <c r="G11" s="79" t="str">
        <f aca="false">IF(D11="","",D11-C11)</f>
        <v/>
      </c>
      <c r="H11" s="13" t="str">
        <f aca="false">IF(D11="","",IF(D11&lt;=C11,"En meta",IF(D11&lt;=C11+1,"Riesgo","Atrasado")))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</f>
        <v>0</v>
      </c>
      <c r="D12" s="58"/>
      <c r="E12" s="29"/>
      <c r="F12" s="29"/>
      <c r="G12" s="80" t="str">
        <f aca="false">IF(D12="","",D12-C12)</f>
        <v/>
      </c>
      <c r="H12" s="14" t="str">
        <f aca="false">IF(D12="","",IF(D12&lt;=C12,"En meta",IF(D12&lt;=C12+1,"Riesgo","Atrasado")))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</f>
        <v>0</v>
      </c>
      <c r="D13" s="58"/>
      <c r="E13" s="5"/>
      <c r="F13" s="5"/>
      <c r="G13" s="79" t="str">
        <f aca="false">IF(D13="","",D13-C13)</f>
        <v/>
      </c>
      <c r="H13" s="13" t="str">
        <f aca="false">IF(D13="","",IF(D13&lt;=C13,"En meta",IF(D13&lt;=C13+1,"Riesgo","Atrasado")))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</f>
        <v>0</v>
      </c>
      <c r="D14" s="58"/>
      <c r="E14" s="29"/>
      <c r="F14" s="29"/>
      <c r="G14" s="80" t="str">
        <f aca="false">IF(D14="","",D14-C14)</f>
        <v/>
      </c>
      <c r="H14" s="14" t="str">
        <f aca="false">IF(D14="","",IF(D14&lt;=C14,"En meta",IF(D14&lt;=C14+1,"Riesgo","Atrasado")))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</f>
        <v>0</v>
      </c>
      <c r="D15" s="58"/>
      <c r="E15" s="5"/>
      <c r="F15" s="5"/>
      <c r="G15" s="79" t="str">
        <f aca="false">IF(D15="","",D15-C15)</f>
        <v/>
      </c>
      <c r="H15" s="13" t="str">
        <f aca="false">IF(D15="","",IF(D15&lt;=C15,"En meta",IF(D15&lt;=C15+1,"Riesgo","Atrasado")))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</f>
        <v>0</v>
      </c>
      <c r="D16" s="58"/>
      <c r="E16" s="29"/>
      <c r="F16" s="29"/>
      <c r="G16" s="80" t="str">
        <f aca="false">IF(D16="","",D16-C16)</f>
        <v/>
      </c>
      <c r="H16" s="14" t="str">
        <f aca="false">IF(D16="","",IF(D16&lt;=C16,"En meta",IF(D16&lt;=C16+1,"Riesgo","Atrasado")))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</f>
        <v>0</v>
      </c>
      <c r="D17" s="58"/>
      <c r="E17" s="5"/>
      <c r="F17" s="5"/>
      <c r="G17" s="79" t="str">
        <f aca="false">IF(D17="","",D17-C17)</f>
        <v/>
      </c>
      <c r="H17" s="13" t="str">
        <f aca="false">IF(D17="","",IF(D17&lt;=C17,"En meta",IF(D17&lt;=C17+1,"Riesgo","Atrasado")))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</f>
        <v>0</v>
      </c>
      <c r="D18" s="58"/>
      <c r="E18" s="29"/>
      <c r="F18" s="29"/>
      <c r="G18" s="80" t="str">
        <f aca="false">IF(D18="","",D18-C18)</f>
        <v/>
      </c>
      <c r="H18" s="14" t="str">
        <f aca="false">IF(D18="","",IF(D18&lt;=C18,"En meta",IF(D18&lt;=C18+1,"Riesgo","Atrasado")))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</f>
        <v>0</v>
      </c>
      <c r="D19" s="58"/>
      <c r="E19" s="5"/>
      <c r="F19" s="5"/>
      <c r="G19" s="79" t="str">
        <f aca="false">IF(D19="","",D19-C19)</f>
        <v/>
      </c>
      <c r="H19" s="13" t="str">
        <f aca="false">IF(D19="","",IF(D19&lt;=C19,"En meta",IF(D19&lt;=C19+1,"Riesgo","Atrasado")))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</f>
        <v>0</v>
      </c>
      <c r="D20" s="58"/>
      <c r="E20" s="29"/>
      <c r="F20" s="29"/>
      <c r="G20" s="80" t="str">
        <f aca="false">IF(D20="","",D20-C20)</f>
        <v/>
      </c>
      <c r="H20" s="14" t="str">
        <f aca="false">IF(D20="","",IF(D20&lt;=C20,"En meta",IF(D20&lt;=C20+1,"Riesgo","Atrasado")))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</f>
        <v>0</v>
      </c>
      <c r="D21" s="58"/>
      <c r="E21" s="5"/>
      <c r="F21" s="5"/>
      <c r="G21" s="79" t="str">
        <f aca="false">IF(D21="","",D21-C21)</f>
        <v/>
      </c>
      <c r="H21" s="13" t="str">
        <f aca="false">IF(D21="","",IF(D21&lt;=C21,"En meta",IF(D21&lt;=C21+1,"Riesgo","Atrasado")))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</f>
        <v>0</v>
      </c>
      <c r="D22" s="58"/>
      <c r="E22" s="29"/>
      <c r="F22" s="29"/>
      <c r="G22" s="80" t="str">
        <f aca="false">IF(D22="","",D22-C22)</f>
        <v/>
      </c>
      <c r="H22" s="14" t="str">
        <f aca="false">IF(D22="","",IF(D22&lt;=C22,"En meta",IF(D22&lt;=C22+1,"Riesgo","Atrasado")))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</f>
        <v>0</v>
      </c>
      <c r="D23" s="58"/>
      <c r="E23" s="5"/>
      <c r="F23" s="5"/>
      <c r="G23" s="79" t="str">
        <f aca="false">IF(D23="","",D23-C23)</f>
        <v/>
      </c>
      <c r="H23" s="13" t="str">
        <f aca="false">IF(D23="","",IF(D23&lt;=C23,"En meta",IF(D23&lt;=C23+1,"Riesgo","Atrasado")))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</f>
        <v>0</v>
      </c>
      <c r="D24" s="58"/>
      <c r="E24" s="29"/>
      <c r="F24" s="29"/>
      <c r="G24" s="80" t="str">
        <f aca="false">IF(D24="","",D24-C24)</f>
        <v/>
      </c>
      <c r="H24" s="14" t="str">
        <f aca="false">IF(D24="","",IF(D24&lt;=C24,"En meta",IF(D24&lt;=C24+1,"Riesgo","Atrasado")))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</f>
        <v>0</v>
      </c>
      <c r="D25" s="58"/>
      <c r="E25" s="5"/>
      <c r="F25" s="5"/>
      <c r="G25" s="79" t="str">
        <f aca="false">IF(D25="","",D25-C25)</f>
        <v/>
      </c>
      <c r="H25" s="13" t="str">
        <f aca="false">IF(D25="","",IF(D25&lt;=C25,"En meta",IF(D25&lt;=C25+1,"Riesgo","Atrasado")))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</f>
        <v>0</v>
      </c>
      <c r="D26" s="58"/>
      <c r="E26" s="29"/>
      <c r="F26" s="29"/>
      <c r="G26" s="80" t="str">
        <f aca="false">IF(D26="","",D26-C26)</f>
        <v/>
      </c>
      <c r="H26" s="14" t="str">
        <f aca="false">IF(D26="","",IF(D26&lt;=C26,"En meta",IF(D26&lt;=C26+1,"Riesgo","Atrasado")))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</f>
        <v>0</v>
      </c>
      <c r="D27" s="58"/>
      <c r="E27" s="5"/>
      <c r="F27" s="5"/>
      <c r="G27" s="79" t="str">
        <f aca="false">IF(D27="","",D27-C27)</f>
        <v/>
      </c>
      <c r="H27" s="13" t="str">
        <f aca="false">IF(D27="","",IF(D27&lt;=C27,"En meta",IF(D27&lt;=C27+1,"Riesgo","Atrasado")))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</f>
        <v>0</v>
      </c>
      <c r="D28" s="58"/>
      <c r="E28" s="29"/>
      <c r="F28" s="29"/>
      <c r="G28" s="80" t="str">
        <f aca="false">IF(D28="","",D28-C28)</f>
        <v/>
      </c>
      <c r="H28" s="14" t="str">
        <f aca="false">IF(D28="","",IF(D28&lt;=C28,"En meta",IF(D28&lt;=C28+1,"Riesgo","Atrasado")))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</f>
        <v>0</v>
      </c>
      <c r="D29" s="58"/>
      <c r="E29" s="5"/>
      <c r="F29" s="5"/>
      <c r="G29" s="79" t="str">
        <f aca="false">IF(D29="","",D29-C29)</f>
        <v/>
      </c>
      <c r="H29" s="13" t="str">
        <f aca="false">IF(D29="","",IF(D29&lt;=C29,"En meta",IF(D29&lt;=C29+1,"Riesgo","Atrasado")))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</f>
        <v>0</v>
      </c>
      <c r="D30" s="58"/>
      <c r="E30" s="29"/>
      <c r="F30" s="29"/>
      <c r="G30" s="80" t="str">
        <f aca="false">IF(D30="","",D30-C30)</f>
        <v/>
      </c>
      <c r="H30" s="14" t="str">
        <f aca="false">IF(D30="","",IF(D30&lt;=C30,"En meta",IF(D30&lt;=C30+1,"Riesgo","Atrasado")))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</f>
        <v>0</v>
      </c>
      <c r="D31" s="58"/>
      <c r="E31" s="5"/>
      <c r="F31" s="5"/>
      <c r="G31" s="79" t="str">
        <f aca="false">IF(D31="","",D31-C31)</f>
        <v/>
      </c>
      <c r="H31" s="13" t="str">
        <f aca="false">IF(D31="","",IF(D31&lt;=C31,"En meta",IF(D31&lt;=C31+1,"Riesgo","Atrasado")))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</f>
        <v>0</v>
      </c>
      <c r="D32" s="58"/>
      <c r="E32" s="29"/>
      <c r="F32" s="29"/>
      <c r="G32" s="80" t="str">
        <f aca="false">IF(D32="","",D32-C32)</f>
        <v/>
      </c>
      <c r="H32" s="14" t="str">
        <f aca="false">IF(D32="","",IF(D32&lt;=C32,"En meta",IF(D32&lt;=C32+1,"Riesgo","Atrasado")))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</f>
        <v>0</v>
      </c>
      <c r="D33" s="58"/>
      <c r="E33" s="5"/>
      <c r="F33" s="5"/>
      <c r="G33" s="79" t="str">
        <f aca="false">IF(D33="","",D33-C33)</f>
        <v/>
      </c>
      <c r="H33" s="13" t="str">
        <f aca="false">IF(D33="","",IF(D33&lt;=C33,"En meta",IF(D33&lt;=C33+1,"Riesgo","Atrasado")))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</f>
        <v>0</v>
      </c>
      <c r="D34" s="58"/>
      <c r="E34" s="29"/>
      <c r="F34" s="29"/>
      <c r="G34" s="80" t="str">
        <f aca="false">IF(D34="","",D34-C34)</f>
        <v/>
      </c>
      <c r="H34" s="14" t="str">
        <f aca="false">IF(D34="","",IF(D34&lt;=C34,"En meta",IF(D34&lt;=C34+1,"Riesgo","Atrasado")))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</f>
        <v>0</v>
      </c>
      <c r="D35" s="58"/>
      <c r="E35" s="5"/>
      <c r="F35" s="5"/>
      <c r="G35" s="79" t="str">
        <f aca="false">IF(D35="","",D35-C35)</f>
        <v/>
      </c>
      <c r="H35" s="13" t="str">
        <f aca="false">IF(D35="","",IF(D35&lt;=C35,"En meta",IF(D35&lt;=C35+1,"Riesgo","Atrasado")))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</f>
        <v>0</v>
      </c>
      <c r="D36" s="58"/>
      <c r="E36" s="29"/>
      <c r="F36" s="29"/>
      <c r="G36" s="80" t="str">
        <f aca="false">IF(D36="","",D36-C36)</f>
        <v/>
      </c>
      <c r="H36" s="14" t="str">
        <f aca="false">IF(D36="","",IF(D36&lt;=C36,"En meta",IF(D36&lt;=C36+1,"Riesgo","Atrasado")))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</f>
        <v>0</v>
      </c>
      <c r="D37" s="58"/>
      <c r="E37" s="5"/>
      <c r="F37" s="5"/>
      <c r="G37" s="79" t="str">
        <f aca="false">IF(D37="","",D37-C37)</f>
        <v/>
      </c>
      <c r="H37" s="13" t="str">
        <f aca="false">IF(D37="","",IF(D37&lt;=C37,"En meta",IF(D37&lt;=C37+1,"Riesgo","Atrasado")))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</f>
        <v>0</v>
      </c>
      <c r="D38" s="58"/>
      <c r="E38" s="29"/>
      <c r="F38" s="29"/>
      <c r="G38" s="80" t="str">
        <f aca="false">IF(D38="","",D38-C38)</f>
        <v/>
      </c>
      <c r="H38" s="14" t="str">
        <f aca="false">IF(D38="","",IF(D38&lt;=C38,"En meta",IF(D38&lt;=C38+1,"Riesgo","Atrasado")))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</f>
        <v>0</v>
      </c>
      <c r="D39" s="58"/>
      <c r="E39" s="5"/>
      <c r="F39" s="5"/>
      <c r="G39" s="79" t="str">
        <f aca="false">IF(D39="","",D39-C39)</f>
        <v/>
      </c>
      <c r="H39" s="13" t="str">
        <f aca="false">IF(D39="","",IF(D39&lt;=C39,"En meta",IF(D39&lt;=C39+1,"Riesgo","Atrasado")))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</f>
        <v>0</v>
      </c>
      <c r="D40" s="58"/>
      <c r="E40" s="29"/>
      <c r="F40" s="29"/>
      <c r="G40" s="80" t="str">
        <f aca="false">IF(D40="","",D40-C40)</f>
        <v/>
      </c>
      <c r="H40" s="14" t="str">
        <f aca="false">IF(D40="","",IF(D40&lt;=C40,"En meta",IF(D40&lt;=C40+1,"Riesgo","Atrasado")))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</f>
        <v>0</v>
      </c>
      <c r="D41" s="58"/>
      <c r="E41" s="5"/>
      <c r="F41" s="5"/>
      <c r="G41" s="79" t="str">
        <f aca="false">IF(D41="","",D41-C41)</f>
        <v/>
      </c>
      <c r="H41" s="13" t="str">
        <f aca="false">IF(D41="","",IF(D41&lt;=C41,"En meta",IF(D41&lt;=C41+1,"Riesgo","Atrasado")))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</f>
        <v>0</v>
      </c>
      <c r="D42" s="58"/>
      <c r="E42" s="29"/>
      <c r="F42" s="29"/>
      <c r="G42" s="80" t="str">
        <f aca="false">IF(D42="","",D42-C42)</f>
        <v/>
      </c>
      <c r="H42" s="14" t="str">
        <f aca="false">IF(D42="","",IF(D42&lt;=C42,"En meta",IF(D42&lt;=C42+1,"Riesgo","Atrasado")))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</f>
        <v>0</v>
      </c>
      <c r="D43" s="58"/>
      <c r="E43" s="5"/>
      <c r="F43" s="5"/>
      <c r="G43" s="79" t="str">
        <f aca="false">IF(D43="","",D43-C43)</f>
        <v/>
      </c>
      <c r="H43" s="13" t="str">
        <f aca="false">IF(D43="","",IF(D43&lt;=C43,"En meta",IF(D43&lt;=C43+1,"Riesgo","Atrasado")))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</f>
        <v>0</v>
      </c>
      <c r="D44" s="58"/>
      <c r="E44" s="29"/>
      <c r="F44" s="29"/>
      <c r="G44" s="80" t="str">
        <f aca="false">IF(D44="","",D44-C44)</f>
        <v/>
      </c>
      <c r="H44" s="14" t="str">
        <f aca="false">IF(D44="","",IF(D44&lt;=C44,"En meta",IF(D44&lt;=C44+1,"Riesgo","Atrasado")))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</f>
        <v>0</v>
      </c>
      <c r="D45" s="58"/>
      <c r="E45" s="5"/>
      <c r="F45" s="5"/>
      <c r="G45" s="79" t="str">
        <f aca="false">IF(D45="","",D45-C45)</f>
        <v/>
      </c>
      <c r="H45" s="13" t="str">
        <f aca="false">IF(D45="","",IF(D45&lt;=C45,"En meta",IF(D45&lt;=C45+1,"Riesgo","Atrasado")))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</f>
        <v>0</v>
      </c>
      <c r="D46" s="58"/>
      <c r="E46" s="29"/>
      <c r="F46" s="29"/>
      <c r="G46" s="80" t="str">
        <f aca="false">IF(D46="","",D46-C46)</f>
        <v/>
      </c>
      <c r="H46" s="14" t="str">
        <f aca="false">IF(D46="","",IF(D46&lt;=C46,"En meta",IF(D46&lt;=C46+1,"Riesgo","Atrasado")))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</f>
        <v>0</v>
      </c>
      <c r="D47" s="58"/>
      <c r="E47" s="5"/>
      <c r="F47" s="5"/>
      <c r="G47" s="79" t="str">
        <f aca="false">IF(D47="","",D47-C47)</f>
        <v/>
      </c>
      <c r="H47" s="13" t="str">
        <f aca="false">IF(D47="","",IF(D47&lt;=C47,"En meta",IF(D47&lt;=C47+1,"Riesgo","Atrasado")))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</f>
        <v>0</v>
      </c>
      <c r="D48" s="58"/>
      <c r="E48" s="29"/>
      <c r="F48" s="29"/>
      <c r="G48" s="80" t="str">
        <f aca="false">IF(D48="","",D48-C48)</f>
        <v/>
      </c>
      <c r="H48" s="14" t="str">
        <f aca="false">IF(D48="","",IF(D48&lt;=C48,"En meta",IF(D48&lt;=C48+1,"Riesgo","Atrasado")))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</f>
        <v>0</v>
      </c>
      <c r="D49" s="58"/>
      <c r="E49" s="5"/>
      <c r="F49" s="5"/>
      <c r="G49" s="79" t="str">
        <f aca="false">IF(D49="","",D49-C49)</f>
        <v/>
      </c>
      <c r="H49" s="13" t="str">
        <f aca="false">IF(D49="","",IF(D49&lt;=C49,"En meta",IF(D49&lt;=C49+1,"Riesgo","Atrasado")))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</f>
        <v>0</v>
      </c>
      <c r="D50" s="58"/>
      <c r="E50" s="29"/>
      <c r="F50" s="29"/>
      <c r="G50" s="80" t="str">
        <f aca="false">IF(D50="","",D50-C50)</f>
        <v/>
      </c>
      <c r="H50" s="14" t="str">
        <f aca="false">IF(D50="","",IF(D50&lt;=C50,"En meta",IF(D50&lt;=C50+1,"Riesgo","Atrasado")))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</f>
        <v>0</v>
      </c>
      <c r="D51" s="58"/>
      <c r="E51" s="5"/>
      <c r="F51" s="5"/>
      <c r="G51" s="79" t="str">
        <f aca="false">IF(D51="","",D51-C51)</f>
        <v/>
      </c>
      <c r="H51" s="13" t="str">
        <f aca="false">IF(D51="","",IF(D51&lt;=C51,"En meta",IF(D51&lt;=C51+1,"Riesgo","Atrasado")))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</f>
        <v>0</v>
      </c>
      <c r="D52" s="58"/>
      <c r="E52" s="29"/>
      <c r="F52" s="29"/>
      <c r="G52" s="80" t="str">
        <f aca="false">IF(D52="","",D52-C52)</f>
        <v/>
      </c>
      <c r="H52" s="14" t="str">
        <f aca="false">IF(D52="","",IF(D52&lt;=C52,"En meta",IF(D52&lt;=C52+1,"Riesgo","Atrasado")))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</f>
        <v>0</v>
      </c>
      <c r="D53" s="58"/>
      <c r="E53" s="5"/>
      <c r="F53" s="5"/>
      <c r="G53" s="79" t="str">
        <f aca="false">IF(D53="","",D53-C53)</f>
        <v/>
      </c>
      <c r="H53" s="13" t="str">
        <f aca="false">IF(D53="","",IF(D53&lt;=C53,"En meta",IF(D53&lt;=C53+1,"Riesgo","Atrasado")))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3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</f>
        <v>0</v>
      </c>
      <c r="D54" s="58"/>
      <c r="E54" s="29"/>
      <c r="F54" s="29"/>
      <c r="G54" s="80" t="str">
        <f aca="false">IF(D54="","",D54-C54)</f>
        <v/>
      </c>
      <c r="H54" s="14" t="str">
        <f aca="false">IF(D54="","",IF(D54&lt;=C54,"En meta",IF(D54&lt;=C54+1,"Riesgo","Atrasado")))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3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</f>
        <v>0</v>
      </c>
      <c r="D55" s="58"/>
      <c r="E55" s="5"/>
      <c r="F55" s="5"/>
      <c r="G55" s="79" t="str">
        <f aca="false">IF(D55="","",D55-C55)</f>
        <v/>
      </c>
      <c r="H55" s="13" t="str">
        <f aca="false">IF(D55="","",IF(D55&lt;=C55,"En meta",IF(D55&lt;=C55+1,"Riesgo","Atrasado")))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3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</f>
        <v>0</v>
      </c>
      <c r="D56" s="58"/>
      <c r="E56" s="29"/>
      <c r="F56" s="29"/>
      <c r="G56" s="80" t="str">
        <f aca="false">IF(D56="","",D56-C56)</f>
        <v/>
      </c>
      <c r="H56" s="14" t="str">
        <f aca="false">IF(D56="","",IF(D56&lt;=C56,"En meta",IF(D56&lt;=C56+1,"Riesgo","Atrasado")))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3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</f>
        <v>0</v>
      </c>
      <c r="D57" s="58"/>
      <c r="E57" s="5"/>
      <c r="F57" s="5"/>
      <c r="G57" s="79" t="str">
        <f aca="false">IF(D57="","",D57-C57)</f>
        <v/>
      </c>
      <c r="H57" s="13" t="str">
        <f aca="false">IF(D57="","",IF(D57&lt;=C57,"En meta",IF(D57&lt;=C57+1,"Riesgo","Atrasado")))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3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</f>
        <v>0</v>
      </c>
      <c r="D58" s="58"/>
      <c r="E58" s="29"/>
      <c r="F58" s="29"/>
      <c r="G58" s="80" t="str">
        <f aca="false">IF(D58="","",D58-C58)</f>
        <v/>
      </c>
      <c r="H58" s="14" t="str">
        <f aca="false">IF(D58="","",IF(D58&lt;=C58,"En meta",IF(D58&lt;=C58+1,"Riesgo","Atrasado")))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3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</f>
        <v>0</v>
      </c>
      <c r="D59" s="58"/>
      <c r="E59" s="5"/>
      <c r="F59" s="5"/>
      <c r="G59" s="79" t="str">
        <f aca="false">IF(D59="","",D59-C59)</f>
        <v/>
      </c>
      <c r="H59" s="13" t="str">
        <f aca="false">IF(D59="","",IF(D59&lt;=C59,"En meta",IF(D59&lt;=C59+1,"Riesgo","Atrasado")))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3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</f>
        <v>0</v>
      </c>
      <c r="D60" s="58"/>
      <c r="E60" s="29"/>
      <c r="F60" s="29"/>
      <c r="G60" s="80" t="str">
        <f aca="false">IF(D60="","",D60-C60)</f>
        <v/>
      </c>
      <c r="H60" s="14" t="str">
        <f aca="false">IF(D60="","",IF(D60&lt;=C60,"En meta",IF(D60&lt;=C60+1,"Riesgo","Atrasado")))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3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</f>
        <v>0</v>
      </c>
      <c r="D61" s="58"/>
      <c r="E61" s="5"/>
      <c r="F61" s="5"/>
      <c r="G61" s="79" t="str">
        <f aca="false">IF(D61="","",D61-C61)</f>
        <v/>
      </c>
      <c r="H61" s="13" t="str">
        <f aca="false">IF(D61="","",IF(D61&lt;=C61,"En meta",IF(D61&lt;=C61+1,"Riesgo","Atrasado")))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3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</f>
        <v>0</v>
      </c>
      <c r="D62" s="58"/>
      <c r="E62" s="29"/>
      <c r="F62" s="29"/>
      <c r="G62" s="80" t="str">
        <f aca="false">IF(D62="","",D62-C62)</f>
        <v/>
      </c>
      <c r="H62" s="14" t="str">
        <f aca="false">IF(D62="","",IF(D62&lt;=C62,"En meta",IF(D62&lt;=C62+1,"Riesgo","Atrasado")))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3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</f>
        <v>0</v>
      </c>
      <c r="D63" s="58"/>
      <c r="E63" s="5"/>
      <c r="F63" s="5"/>
      <c r="G63" s="79" t="str">
        <f aca="false">IF(D63="","",D63-C63)</f>
        <v/>
      </c>
      <c r="H63" s="13" t="str">
        <f aca="false">IF(D63="","",IF(D63&lt;=C63,"En meta",IF(D63&lt;=C63+1,"Riesgo","Atrasado")))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3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</f>
        <v>0</v>
      </c>
      <c r="D64" s="58"/>
      <c r="E64" s="29"/>
      <c r="F64" s="29"/>
      <c r="G64" s="80" t="str">
        <f aca="false">IF(D64="","",D64-C64)</f>
        <v/>
      </c>
      <c r="H64" s="14" t="str">
        <f aca="false">IF(D64="","",IF(D64&lt;=C64,"En meta",IF(D64&lt;=C64+1,"Riesgo","Atrasado")))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3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</f>
        <v>0</v>
      </c>
      <c r="D65" s="58"/>
      <c r="E65" s="5"/>
      <c r="F65" s="5"/>
      <c r="G65" s="79" t="str">
        <f aca="false">IF(D65="","",D65-C65)</f>
        <v/>
      </c>
      <c r="H65" s="13" t="str">
        <f aca="false">IF(D65="","",IF(D65&lt;=C65,"En meta",IF(D65&lt;=C65+1,"Riesgo","Atrasado")))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3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</f>
        <v>0</v>
      </c>
      <c r="D66" s="58"/>
      <c r="E66" s="29"/>
      <c r="F66" s="29"/>
      <c r="G66" s="80" t="str">
        <f aca="false">IF(D66="","",D66-C66)</f>
        <v/>
      </c>
      <c r="H66" s="14" t="str">
        <f aca="false">IF(D66="","",IF(D66&lt;=C66,"En meta",IF(D66&lt;=C66+1,"Riesgo","Atrasado")))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3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</f>
        <v>0</v>
      </c>
      <c r="D67" s="58"/>
      <c r="E67" s="5"/>
      <c r="F67" s="5"/>
      <c r="G67" s="79" t="str">
        <f aca="false">IF(D67="","",D67-C67)</f>
        <v/>
      </c>
      <c r="H67" s="13" t="str">
        <f aca="false">IF(D67="","",IF(D67&lt;=C67,"En meta",IF(D67&lt;=C67+1,"Riesgo","Atrasado")))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3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</f>
        <v>0</v>
      </c>
      <c r="D68" s="58"/>
      <c r="E68" s="29"/>
      <c r="F68" s="29"/>
      <c r="G68" s="80" t="str">
        <f aca="false">IF(D68="","",D68-C68)</f>
        <v/>
      </c>
      <c r="H68" s="14" t="str">
        <f aca="false">IF(D68="","",IF(D68&lt;=C68,"En meta",IF(D68&lt;=C68+1,"Riesgo","Atrasado")))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3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</f>
        <v>0</v>
      </c>
      <c r="D69" s="58"/>
      <c r="E69" s="5"/>
      <c r="F69" s="5"/>
      <c r="G69" s="79" t="str">
        <f aca="false">IF(D69="","",D69-C69)</f>
        <v/>
      </c>
      <c r="H69" s="13" t="str">
        <f aca="false">IF(D69="","",IF(D69&lt;=C69,"En meta",IF(D69&lt;=C69+1,"Riesgo","Atrasado")))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3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</f>
        <v>0</v>
      </c>
      <c r="D70" s="58"/>
      <c r="E70" s="29"/>
      <c r="F70" s="29"/>
      <c r="G70" s="80" t="str">
        <f aca="false">IF(D70="","",D70-C70)</f>
        <v/>
      </c>
      <c r="H70" s="14" t="str">
        <f aca="false">IF(D70="","",IF(D70&lt;=C70,"En meta",IF(D70&lt;=C70+1,"Riesgo","Atrasado")))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3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</f>
        <v>0</v>
      </c>
      <c r="D71" s="58"/>
      <c r="E71" s="5"/>
      <c r="F71" s="5"/>
      <c r="G71" s="79" t="str">
        <f aca="false">IF(D71="","",D71-C71)</f>
        <v/>
      </c>
      <c r="H71" s="13" t="str">
        <f aca="false">IF(D71="","",IF(D71&lt;=C71,"En meta",IF(D71&lt;=C71+1,"Riesgo","Atrasado")))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3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</f>
        <v>0</v>
      </c>
      <c r="D72" s="58"/>
      <c r="E72" s="29"/>
      <c r="F72" s="29"/>
      <c r="G72" s="80" t="str">
        <f aca="false">IF(D72="","",D72-C72)</f>
        <v/>
      </c>
      <c r="H72" s="14" t="str">
        <f aca="false">IF(D72="","",IF(D72&lt;=C72,"En meta",IF(D72&lt;=C72+1,"Riesgo","Atrasado")))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3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</f>
        <v>0</v>
      </c>
      <c r="D73" s="58"/>
      <c r="E73" s="5"/>
      <c r="F73" s="5"/>
      <c r="G73" s="79" t="str">
        <f aca="false">IF(D73="","",D73-C73)</f>
        <v/>
      </c>
      <c r="H73" s="13" t="str">
        <f aca="false">IF(D73="","",IF(D73&lt;=C73,"En meta",IF(D73&lt;=C73+1,"Riesgo","Atrasado")))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3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</f>
        <v>0</v>
      </c>
      <c r="D74" s="58"/>
      <c r="E74" s="29"/>
      <c r="F74" s="29"/>
      <c r="G74" s="80" t="str">
        <f aca="false">IF(D74="","",D74-C74)</f>
        <v/>
      </c>
      <c r="H74" s="14" t="str">
        <f aca="false">IF(D74="","",IF(D74&lt;=C74,"En meta",IF(D74&lt;=C74+1,"Riesgo","Atrasado")))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3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</f>
        <v>0</v>
      </c>
      <c r="D75" s="58"/>
      <c r="E75" s="5"/>
      <c r="F75" s="5"/>
      <c r="G75" s="79" t="str">
        <f aca="false">IF(D75="","",D75-C75)</f>
        <v/>
      </c>
      <c r="H75" s="13" t="str">
        <f aca="false">IF(D75="","",IF(D75&lt;=C75,"En meta",IF(D75&lt;=C75+1,"Riesgo","Atrasado")))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3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</f>
        <v>0</v>
      </c>
      <c r="D76" s="58"/>
      <c r="E76" s="29"/>
      <c r="F76" s="29"/>
      <c r="G76" s="80" t="str">
        <f aca="false">IF(D76="","",D76-C76)</f>
        <v/>
      </c>
      <c r="H76" s="14" t="str">
        <f aca="false">IF(D76="","",IF(D76&lt;=C76,"En meta",IF(D76&lt;=C76+1,"Riesgo","Atrasado")))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3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</f>
        <v>0</v>
      </c>
      <c r="D77" s="58"/>
      <c r="E77" s="5"/>
      <c r="F77" s="5"/>
      <c r="G77" s="79" t="str">
        <f aca="false">IF(D77="","",D77-C77)</f>
        <v/>
      </c>
      <c r="H77" s="13" t="str">
        <f aca="false">IF(D77="","",IF(D77&lt;=C77,"En meta",IF(D77&lt;=C77+1,"Riesgo","Atrasado")))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3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</f>
        <v>0</v>
      </c>
      <c r="D78" s="58"/>
      <c r="E78" s="29"/>
      <c r="F78" s="29"/>
      <c r="G78" s="80" t="str">
        <f aca="false">IF(D78="","",D78-C78)</f>
        <v/>
      </c>
      <c r="H78" s="14" t="str">
        <f aca="false">IF(D78="","",IF(D78&lt;=C78,"En meta",IF(D78&lt;=C78+1,"Riesgo","Atrasado")))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3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</f>
        <v>0</v>
      </c>
      <c r="D79" s="58"/>
      <c r="E79" s="5"/>
      <c r="F79" s="5"/>
      <c r="G79" s="79" t="str">
        <f aca="false">IF(D79="","",D79-C79)</f>
        <v/>
      </c>
      <c r="H79" s="13" t="str">
        <f aca="false">IF(D79="","",IF(D79&lt;=C79,"En meta",IF(D79&lt;=C79+1,"Riesgo","Atrasado")))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3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</f>
        <v>0</v>
      </c>
      <c r="D80" s="58"/>
      <c r="E80" s="29"/>
      <c r="F80" s="29"/>
      <c r="G80" s="80" t="str">
        <f aca="false">IF(D80="","",D80-C80)</f>
        <v/>
      </c>
      <c r="H80" s="14" t="str">
        <f aca="false">IF(D80="","",IF(D80&lt;=C80,"En meta",IF(D80&lt;=C80+1,"Riesgo","Atrasado")))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3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</f>
        <v>0</v>
      </c>
      <c r="D81" s="58"/>
      <c r="E81" s="5"/>
      <c r="F81" s="5"/>
      <c r="G81" s="79" t="str">
        <f aca="false">IF(D81="","",D81-C81)</f>
        <v/>
      </c>
      <c r="H81" s="13" t="str">
        <f aca="false">IF(D81="","",IF(D81&lt;=C81,"En meta",IF(D81&lt;=C81+1,"Riesgo","Atrasado")))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3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</f>
        <v>0</v>
      </c>
      <c r="D82" s="58"/>
      <c r="E82" s="29"/>
      <c r="F82" s="29"/>
      <c r="G82" s="80" t="str">
        <f aca="false">IF(D82="","",D82-C82)</f>
        <v/>
      </c>
      <c r="H82" s="14" t="str">
        <f aca="false">IF(D82="","",IF(D82&lt;=C82,"En meta",IF(D82&lt;=C82+1,"Riesgo","Atrasado")))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3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</f>
        <v>0</v>
      </c>
      <c r="D83" s="58"/>
      <c r="E83" s="5"/>
      <c r="F83" s="5"/>
      <c r="G83" s="79" t="str">
        <f aca="false">IF(D83="","",D83-C83)</f>
        <v/>
      </c>
      <c r="H83" s="13" t="str">
        <f aca="false">IF(D83="","",IF(D83&lt;=C83,"En meta",IF(D83&lt;=C83+1,"Riesgo","Atrasado")))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3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</f>
        <v>0</v>
      </c>
      <c r="D84" s="58"/>
      <c r="E84" s="29"/>
      <c r="F84" s="29"/>
      <c r="G84" s="80" t="str">
        <f aca="false">IF(D84="","",D84-C84)</f>
        <v/>
      </c>
      <c r="H84" s="14" t="str">
        <f aca="false">IF(D84="","",IF(D84&lt;=C84,"En meta",IF(D84&lt;=C84+1,"Riesgo","Atrasado")))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3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</f>
        <v>0</v>
      </c>
      <c r="D85" s="58"/>
      <c r="E85" s="5"/>
      <c r="F85" s="5"/>
      <c r="G85" s="79" t="str">
        <f aca="false">IF(D85="","",D85-C85)</f>
        <v/>
      </c>
      <c r="H85" s="13" t="str">
        <f aca="false">IF(D85="","",IF(D85&lt;=C85,"En meta",IF(D85&lt;=C85+1,"Riesgo","Atrasado")))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3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</f>
        <v>0</v>
      </c>
      <c r="D86" s="58"/>
      <c r="E86" s="29"/>
      <c r="F86" s="29"/>
      <c r="G86" s="80" t="str">
        <f aca="false">IF(D86="","",D86-C86)</f>
        <v/>
      </c>
      <c r="H86" s="14" t="str">
        <f aca="false">IF(D86="","",IF(D86&lt;=C86,"En meta",IF(D86&lt;=C86+1,"Riesgo","Atrasado")))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3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</f>
        <v>0</v>
      </c>
      <c r="D87" s="58"/>
      <c r="E87" s="5"/>
      <c r="F87" s="5"/>
      <c r="G87" s="79" t="str">
        <f aca="false">IF(D87="","",D87-C87)</f>
        <v/>
      </c>
      <c r="H87" s="13" t="str">
        <f aca="false">IF(D87="","",IF(D87&lt;=C87,"En meta",IF(D87&lt;=C87+1,"Riesgo","Atrasado")))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3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</f>
        <v>0</v>
      </c>
      <c r="D88" s="58"/>
      <c r="E88" s="29"/>
      <c r="F88" s="29"/>
      <c r="G88" s="80" t="str">
        <f aca="false">IF(D88="","",D88-C88)</f>
        <v/>
      </c>
      <c r="H88" s="14" t="str">
        <f aca="false">IF(D88="","",IF(D88&lt;=C88,"En meta",IF(D88&lt;=C88+1,"Riesgo","Atrasado")))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3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</f>
        <v>0</v>
      </c>
      <c r="D89" s="58"/>
      <c r="E89" s="5"/>
      <c r="F89" s="5"/>
      <c r="G89" s="79" t="str">
        <f aca="false">IF(D89="","",D89-C89)</f>
        <v/>
      </c>
      <c r="H89" s="13" t="str">
        <f aca="false">IF(D89="","",IF(D89&lt;=C89,"En meta",IF(D89&lt;=C89+1,"Riesgo","Atrasado")))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3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</f>
        <v>0</v>
      </c>
      <c r="D90" s="58"/>
      <c r="E90" s="29"/>
      <c r="F90" s="29"/>
      <c r="G90" s="80" t="str">
        <f aca="false">IF(D90="","",D90-C90)</f>
        <v/>
      </c>
      <c r="H90" s="14" t="str">
        <f aca="false">IF(D90="","",IF(D90&lt;=C90,"En meta",IF(D90&lt;=C90+1,"Riesgo","Atrasado")))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3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</f>
        <v>0</v>
      </c>
      <c r="D91" s="58"/>
      <c r="E91" s="5"/>
      <c r="F91" s="5"/>
      <c r="G91" s="79" t="str">
        <f aca="false">IF(D91="","",D91-C91)</f>
        <v/>
      </c>
      <c r="H91" s="13" t="str">
        <f aca="false">IF(D91="","",IF(D91&lt;=C91,"En meta",IF(D91&lt;=C91+1,"Riesgo","Atrasado")))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3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191</v>
      </c>
    </row>
    <row r="3" customFormat="false" ht="15" hidden="false" customHeight="false" outlineLevel="0" collapsed="false">
      <c r="A3" s="17" t="s">
        <v>84</v>
      </c>
      <c r="B3" s="44" t="s">
        <v>192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58</v>
      </c>
    </row>
    <row r="5" customFormat="false" ht="24" hidden="false" customHeight="true" outlineLevel="0" collapsed="false">
      <c r="A5" s="17" t="s">
        <v>89</v>
      </c>
      <c r="B5" s="78" t="n">
        <v>30000</v>
      </c>
      <c r="D5" s="17" t="s">
        <v>90</v>
      </c>
      <c r="E5" s="47" t="n">
        <v>46188</v>
      </c>
      <c r="F5" s="17" t="s">
        <v>91</v>
      </c>
      <c r="G5" s="47" t="n">
        <v>46503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COUNT(A11:A56)</f>
        <v>46</v>
      </c>
      <c r="H8" s="48" t="s">
        <v>118</v>
      </c>
      <c r="I8" s="49" t="s">
        <v>193</v>
      </c>
      <c r="J8" s="49"/>
      <c r="K8" s="49" t="s">
        <v>194</v>
      </c>
      <c r="L8" s="49"/>
      <c r="M8" s="49" t="s">
        <v>195</v>
      </c>
      <c r="N8" s="49"/>
      <c r="O8" s="49" t="s">
        <v>196</v>
      </c>
      <c r="P8" s="49"/>
      <c r="Q8" s="49" t="s">
        <v>197</v>
      </c>
      <c r="R8" s="49"/>
      <c r="S8" s="49" t="s">
        <v>198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4</v>
      </c>
      <c r="J9" s="53"/>
      <c r="K9" s="53" t="n">
        <v>2</v>
      </c>
      <c r="L9" s="53"/>
      <c r="M9" s="53" t="n">
        <v>1</v>
      </c>
      <c r="N9" s="53"/>
      <c r="O9" s="53" t="n">
        <v>1</v>
      </c>
      <c r="P9" s="53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652.173913043478</v>
      </c>
      <c r="D11" s="58"/>
      <c r="E11" s="73" t="n">
        <f aca="false">SUM($C$11:C11)</f>
        <v>652.173913043478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652.173913043478</v>
      </c>
      <c r="D12" s="58"/>
      <c r="E12" s="74" t="n">
        <f aca="false">SUM($C$11:C12)</f>
        <v>1304.34782608696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652.173913043478</v>
      </c>
      <c r="D13" s="58"/>
      <c r="E13" s="73" t="n">
        <f aca="false">SUM($C$11:C13)</f>
        <v>1956.52173913043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652.173913043478</v>
      </c>
      <c r="D14" s="58"/>
      <c r="E14" s="74" t="n">
        <f aca="false">SUM($C$11:C14)</f>
        <v>2608.69565217391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652.173913043478</v>
      </c>
      <c r="D15" s="58"/>
      <c r="E15" s="73" t="n">
        <f aca="false">SUM($C$11:C15)</f>
        <v>3260.86956521739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652.173913043478</v>
      </c>
      <c r="D16" s="58"/>
      <c r="E16" s="74" t="n">
        <f aca="false">SUM($C$11:C16)</f>
        <v>3913.04347826087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652.173913043478</v>
      </c>
      <c r="D17" s="58"/>
      <c r="E17" s="73" t="n">
        <f aca="false">SUM($C$11:C17)</f>
        <v>4565.21739130435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652.173913043478</v>
      </c>
      <c r="D18" s="58"/>
      <c r="E18" s="74" t="n">
        <f aca="false">SUM($C$11:C18)</f>
        <v>5217.39130434783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652.173913043478</v>
      </c>
      <c r="D19" s="58"/>
      <c r="E19" s="73" t="n">
        <f aca="false">SUM($C$11:C19)</f>
        <v>5869.5652173913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652.173913043478</v>
      </c>
      <c r="D20" s="58"/>
      <c r="E20" s="74" t="n">
        <f aca="false">SUM($C$11:C20)</f>
        <v>6521.73913043478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652.173913043478</v>
      </c>
      <c r="D21" s="58"/>
      <c r="E21" s="73" t="n">
        <f aca="false">SUM($C$11:C21)</f>
        <v>7173.91304347826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652.173913043478</v>
      </c>
      <c r="D22" s="58"/>
      <c r="E22" s="74" t="n">
        <f aca="false">SUM($C$11:C22)</f>
        <v>7826.08695652174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652.173913043478</v>
      </c>
      <c r="D23" s="58"/>
      <c r="E23" s="73" t="n">
        <f aca="false">SUM($C$11:C23)</f>
        <v>8478.26086956522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652.173913043478</v>
      </c>
      <c r="D24" s="58"/>
      <c r="E24" s="74" t="n">
        <f aca="false">SUM($C$11:C24)</f>
        <v>9130.4347826087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652.173913043478</v>
      </c>
      <c r="D25" s="58"/>
      <c r="E25" s="73" t="n">
        <f aca="false">SUM($C$11:C25)</f>
        <v>9782.60869565217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652.173913043478</v>
      </c>
      <c r="D26" s="58"/>
      <c r="E26" s="74" t="n">
        <f aca="false">SUM($C$11:C26)</f>
        <v>10434.7826086957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652.173913043478</v>
      </c>
      <c r="D27" s="58"/>
      <c r="E27" s="73" t="n">
        <f aca="false">SUM($C$11:C27)</f>
        <v>11086.9565217391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652.173913043478</v>
      </c>
      <c r="D28" s="58"/>
      <c r="E28" s="74" t="n">
        <f aca="false">SUM($C$11:C28)</f>
        <v>11739.1304347826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652.173913043478</v>
      </c>
      <c r="D29" s="58"/>
      <c r="E29" s="73" t="n">
        <f aca="false">SUM($C$11:C29)</f>
        <v>12391.3043478261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652.173913043478</v>
      </c>
      <c r="D30" s="58"/>
      <c r="E30" s="74" t="n">
        <f aca="false">SUM($C$11:C30)</f>
        <v>13043.4782608696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652.173913043478</v>
      </c>
      <c r="D31" s="58"/>
      <c r="E31" s="73" t="n">
        <f aca="false">SUM($C$11:C31)</f>
        <v>13695.652173913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652.173913043478</v>
      </c>
      <c r="D32" s="58"/>
      <c r="E32" s="74" t="n">
        <f aca="false">SUM($C$11:C32)</f>
        <v>14347.8260869565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652.173913043478</v>
      </c>
      <c r="D33" s="58"/>
      <c r="E33" s="73" t="n">
        <f aca="false">SUM($C$11:C33)</f>
        <v>15000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652.173913043478</v>
      </c>
      <c r="D34" s="58"/>
      <c r="E34" s="74" t="n">
        <f aca="false">SUM($C$11:C34)</f>
        <v>15652.1739130435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652.173913043478</v>
      </c>
      <c r="D35" s="58"/>
      <c r="E35" s="73" t="n">
        <f aca="false">SUM($C$11:C35)</f>
        <v>16304.347826087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652.173913043478</v>
      </c>
      <c r="D36" s="58"/>
      <c r="E36" s="74" t="n">
        <f aca="false">SUM($C$11:C36)</f>
        <v>16956.5217391304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652.173913043478</v>
      </c>
      <c r="D37" s="58"/>
      <c r="E37" s="73" t="n">
        <f aca="false">SUM($C$11:C37)</f>
        <v>17608.6956521739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652.173913043478</v>
      </c>
      <c r="D38" s="58"/>
      <c r="E38" s="74" t="n">
        <f aca="false">SUM($C$11:C38)</f>
        <v>18260.8695652174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652.173913043478</v>
      </c>
      <c r="D39" s="58"/>
      <c r="E39" s="73" t="n">
        <f aca="false">SUM($C$11:C39)</f>
        <v>18913.0434782609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652.173913043478</v>
      </c>
      <c r="D40" s="58"/>
      <c r="E40" s="74" t="n">
        <f aca="false">SUM($C$11:C40)</f>
        <v>19565.2173913043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652.173913043478</v>
      </c>
      <c r="D41" s="58"/>
      <c r="E41" s="73" t="n">
        <f aca="false">SUM($C$11:C41)</f>
        <v>20217.3913043478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652.173913043478</v>
      </c>
      <c r="D42" s="58"/>
      <c r="E42" s="74" t="n">
        <f aca="false">SUM($C$11:C42)</f>
        <v>20869.5652173913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652.173913043478</v>
      </c>
      <c r="D43" s="58"/>
      <c r="E43" s="73" t="n">
        <f aca="false">SUM($C$11:C43)</f>
        <v>21521.7391304348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652.173913043478</v>
      </c>
      <c r="D44" s="58"/>
      <c r="E44" s="74" t="n">
        <f aca="false">SUM($C$11:C44)</f>
        <v>22173.9130434783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652.173913043478</v>
      </c>
      <c r="D45" s="58"/>
      <c r="E45" s="73" t="n">
        <f aca="false">SUM($C$11:C45)</f>
        <v>22826.0869565217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652.173913043478</v>
      </c>
      <c r="D46" s="58"/>
      <c r="E46" s="74" t="n">
        <f aca="false">SUM($C$11:C46)</f>
        <v>23478.2608695652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652.173913043478</v>
      </c>
      <c r="D47" s="58"/>
      <c r="E47" s="73" t="n">
        <f aca="false">SUM($C$11:C47)</f>
        <v>24130.4347826087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652.173913043478</v>
      </c>
      <c r="D48" s="58"/>
      <c r="E48" s="74" t="n">
        <f aca="false">SUM($C$11:C48)</f>
        <v>24782.6086956522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652.173913043478</v>
      </c>
      <c r="D49" s="58"/>
      <c r="E49" s="73" t="n">
        <f aca="false">SUM($C$11:C49)</f>
        <v>25434.7826086957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652.173913043478</v>
      </c>
      <c r="D50" s="58"/>
      <c r="E50" s="74" t="n">
        <f aca="false">SUM($C$11:C50)</f>
        <v>26086.9565217391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652.173913043478</v>
      </c>
      <c r="D51" s="58"/>
      <c r="E51" s="73" t="n">
        <f aca="false">SUM($C$11:C51)</f>
        <v>26739.1304347826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652.173913043478</v>
      </c>
      <c r="D52" s="58"/>
      <c r="E52" s="74" t="n">
        <f aca="false">SUM($C$11:C52)</f>
        <v>27391.3043478261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652.173913043478</v>
      </c>
      <c r="D53" s="58"/>
      <c r="E53" s="73" t="n">
        <f aca="false">SUM($C$11:C53)</f>
        <v>28043.4782608696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652.173913043478</v>
      </c>
      <c r="D54" s="58"/>
      <c r="E54" s="74" t="n">
        <f aca="false">SUM($C$11:C54)</f>
        <v>28695.652173913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652.173913043478</v>
      </c>
      <c r="D55" s="58"/>
      <c r="E55" s="73" t="n">
        <f aca="false">SUM($C$11:C55)</f>
        <v>29347.8260869565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652.173913043478</v>
      </c>
      <c r="D56" s="58"/>
      <c r="E56" s="74" t="n">
        <f aca="false">SUM($C$11:C56)</f>
        <v>30000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8" customFormat="false" ht="15" hidden="false" customHeight="false" outlineLevel="0" collapsed="false">
      <c r="A58" s="68" t="s">
        <v>133</v>
      </c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</row>
    <row r="59" customFormat="false" ht="15" hidden="false" customHeight="false" outlineLevel="0" collapsed="false">
      <c r="A59" s="69" t="s">
        <v>134</v>
      </c>
      <c r="B59" s="69"/>
      <c r="C59" s="69"/>
      <c r="D59" s="69"/>
      <c r="E59" s="4" t="s">
        <v>135</v>
      </c>
      <c r="F59" s="4" t="s">
        <v>136</v>
      </c>
      <c r="G59" s="4" t="s">
        <v>137</v>
      </c>
      <c r="H59" s="4" t="s">
        <v>9</v>
      </c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  <row r="62" customFormat="false" ht="21.75" hidden="false" customHeight="true" outlineLevel="0" collapsed="false">
      <c r="A62" s="70"/>
      <c r="B62" s="70"/>
      <c r="C62" s="70"/>
      <c r="D62" s="70"/>
      <c r="E62" s="71"/>
      <c r="F62" s="71"/>
      <c r="G62" s="72"/>
      <c r="H62" s="71"/>
    </row>
    <row r="63" customFormat="false" ht="21.75" hidden="false" customHeight="true" outlineLevel="0" collapsed="false">
      <c r="A63" s="70"/>
      <c r="B63" s="70"/>
      <c r="C63" s="70"/>
      <c r="D63" s="70"/>
      <c r="E63" s="71"/>
      <c r="F63" s="71"/>
      <c r="G63" s="72"/>
      <c r="H63" s="71"/>
    </row>
    <row r="64" customFormat="false" ht="21.75" hidden="false" customHeight="true" outlineLevel="0" collapsed="false">
      <c r="A64" s="70"/>
      <c r="B64" s="70"/>
      <c r="C64" s="70"/>
      <c r="D64" s="70"/>
      <c r="E64" s="71"/>
      <c r="F64" s="71"/>
      <c r="G64" s="72"/>
      <c r="H64" s="71"/>
    </row>
    <row r="65" customFormat="false" ht="21.75" hidden="false" customHeight="true" outlineLevel="0" collapsed="false">
      <c r="A65" s="70"/>
      <c r="B65" s="70"/>
      <c r="C65" s="70"/>
      <c r="D65" s="70"/>
      <c r="E65" s="71"/>
      <c r="F65" s="71"/>
      <c r="G65" s="72"/>
      <c r="H65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200</v>
      </c>
    </row>
    <row r="3" customFormat="false" ht="15" hidden="false" customHeight="false" outlineLevel="0" collapsed="false">
      <c r="A3" s="17" t="s">
        <v>84</v>
      </c>
      <c r="B3" s="44" t="s">
        <v>201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61</v>
      </c>
    </row>
    <row r="5" customFormat="false" ht="24" hidden="false" customHeight="true" outlineLevel="0" collapsed="false">
      <c r="A5" s="17" t="s">
        <v>89</v>
      </c>
      <c r="B5" s="75" t="n">
        <v>0.16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202</v>
      </c>
      <c r="J8" s="49"/>
      <c r="K8" s="49" t="s">
        <v>203</v>
      </c>
      <c r="L8" s="49"/>
      <c r="M8" s="49" t="s">
        <v>204</v>
      </c>
      <c r="N8" s="49"/>
      <c r="O8" s="49" t="s">
        <v>205</v>
      </c>
      <c r="P8" s="49"/>
      <c r="Q8" s="49" t="s">
        <v>206</v>
      </c>
      <c r="R8" s="49"/>
      <c r="S8" s="49" t="s">
        <v>207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4" t="n">
        <v>1</v>
      </c>
      <c r="N9" s="54"/>
      <c r="O9" s="53" t="n">
        <v>2</v>
      </c>
      <c r="P9" s="53"/>
      <c r="Q9" s="53" t="n">
        <v>4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0.16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0.16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0.16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0.16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0.16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0.16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0.16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0.16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0.16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0.16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0.16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0.16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0.16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0.16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0.16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0.16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0.16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0.16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208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209</v>
      </c>
    </row>
    <row r="3" customFormat="false" ht="15" hidden="false" customHeight="false" outlineLevel="0" collapsed="false">
      <c r="A3" s="17" t="s">
        <v>84</v>
      </c>
      <c r="B3" s="44" t="s">
        <v>210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64</v>
      </c>
    </row>
    <row r="5" customFormat="false" ht="24" hidden="false" customHeight="true" outlineLevel="0" collapsed="false">
      <c r="A5" s="17" t="s">
        <v>89</v>
      </c>
      <c r="B5" s="81" t="n">
        <v>4.5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211</v>
      </c>
      <c r="J8" s="49"/>
      <c r="K8" s="49" t="s">
        <v>212</v>
      </c>
      <c r="L8" s="49"/>
      <c r="M8" s="49" t="s">
        <v>213</v>
      </c>
      <c r="N8" s="49"/>
      <c r="O8" s="49" t="s">
        <v>214</v>
      </c>
      <c r="P8" s="49"/>
      <c r="Q8" s="49" t="s">
        <v>215</v>
      </c>
      <c r="R8" s="49"/>
      <c r="S8" s="49" t="s">
        <v>216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0.6</v>
      </c>
      <c r="J9" s="54"/>
      <c r="K9" s="53" t="n">
        <v>8</v>
      </c>
      <c r="L9" s="53"/>
      <c r="M9" s="54" t="n">
        <v>1</v>
      </c>
      <c r="N9" s="54"/>
      <c r="O9" s="54" t="n">
        <v>0.95</v>
      </c>
      <c r="P9" s="54"/>
      <c r="Q9" s="53" t="n">
        <v>12</v>
      </c>
      <c r="R9" s="53"/>
      <c r="S9" s="53" t="n">
        <v>3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82" t="n">
        <f aca="false">$B$5</f>
        <v>4.5</v>
      </c>
      <c r="D11" s="58"/>
      <c r="E11" s="5"/>
      <c r="F11" s="5"/>
      <c r="G11" s="83" t="str">
        <f aca="false">IF(D11="","",D11-C11)</f>
        <v/>
      </c>
      <c r="H11" s="13" t="str">
        <f aca="false">IF(D11="","",IF(D11&gt;=C11,"En meta",IF(D11&gt;=C11-0.3,"Riesgo","Atrasado")))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84" t="n">
        <f aca="false">$B$5</f>
        <v>4.5</v>
      </c>
      <c r="D12" s="58"/>
      <c r="E12" s="29"/>
      <c r="F12" s="29"/>
      <c r="G12" s="85" t="str">
        <f aca="false">IF(D12="","",D12-C12)</f>
        <v/>
      </c>
      <c r="H12" s="14" t="str">
        <f aca="false">IF(D12="","",IF(D12&gt;=C12,"En meta",IF(D12&gt;=C12-0.3,"Riesgo","Atrasado")))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82" t="n">
        <f aca="false">$B$5</f>
        <v>4.5</v>
      </c>
      <c r="D13" s="58"/>
      <c r="E13" s="5"/>
      <c r="F13" s="5"/>
      <c r="G13" s="83" t="str">
        <f aca="false">IF(D13="","",D13-C13)</f>
        <v/>
      </c>
      <c r="H13" s="13" t="str">
        <f aca="false">IF(D13="","",IF(D13&gt;=C13,"En meta",IF(D13&gt;=C13-0.3,"Riesgo","Atrasado")))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84" t="n">
        <f aca="false">$B$5</f>
        <v>4.5</v>
      </c>
      <c r="D14" s="58"/>
      <c r="E14" s="29"/>
      <c r="F14" s="29"/>
      <c r="G14" s="85" t="str">
        <f aca="false">IF(D14="","",D14-C14)</f>
        <v/>
      </c>
      <c r="H14" s="14" t="str">
        <f aca="false">IF(D14="","",IF(D14&gt;=C14,"En meta",IF(D14&gt;=C14-0.3,"Riesgo","Atrasado")))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82" t="n">
        <f aca="false">$B$5</f>
        <v>4.5</v>
      </c>
      <c r="D15" s="58"/>
      <c r="E15" s="5"/>
      <c r="F15" s="5"/>
      <c r="G15" s="83" t="str">
        <f aca="false">IF(D15="","",D15-C15)</f>
        <v/>
      </c>
      <c r="H15" s="13" t="str">
        <f aca="false">IF(D15="","",IF(D15&gt;=C15,"En meta",IF(D15&gt;=C15-0.3,"Riesgo","Atrasado")))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84" t="n">
        <f aca="false">$B$5</f>
        <v>4.5</v>
      </c>
      <c r="D16" s="58"/>
      <c r="E16" s="29"/>
      <c r="F16" s="29"/>
      <c r="G16" s="85" t="str">
        <f aca="false">IF(D16="","",D16-C16)</f>
        <v/>
      </c>
      <c r="H16" s="14" t="str">
        <f aca="false">IF(D16="","",IF(D16&gt;=C16,"En meta",IF(D16&gt;=C16-0.3,"Riesgo","Atrasado")))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82" t="n">
        <f aca="false">$B$5</f>
        <v>4.5</v>
      </c>
      <c r="D17" s="58"/>
      <c r="E17" s="5"/>
      <c r="F17" s="5"/>
      <c r="G17" s="83" t="str">
        <f aca="false">IF(D17="","",D17-C17)</f>
        <v/>
      </c>
      <c r="H17" s="13" t="str">
        <f aca="false">IF(D17="","",IF(D17&gt;=C17,"En meta",IF(D17&gt;=C17-0.3,"Riesgo","Atrasado")))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84" t="n">
        <f aca="false">$B$5</f>
        <v>4.5</v>
      </c>
      <c r="D18" s="58"/>
      <c r="E18" s="29"/>
      <c r="F18" s="29"/>
      <c r="G18" s="85" t="str">
        <f aca="false">IF(D18="","",D18-C18)</f>
        <v/>
      </c>
      <c r="H18" s="14" t="str">
        <f aca="false">IF(D18="","",IF(D18&gt;=C18,"En meta",IF(D18&gt;=C18-0.3,"Riesgo","Atrasado")))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82" t="n">
        <f aca="false">$B$5</f>
        <v>4.5</v>
      </c>
      <c r="D19" s="58"/>
      <c r="E19" s="5"/>
      <c r="F19" s="5"/>
      <c r="G19" s="83" t="str">
        <f aca="false">IF(D19="","",D19-C19)</f>
        <v/>
      </c>
      <c r="H19" s="13" t="str">
        <f aca="false">IF(D19="","",IF(D19&gt;=C19,"En meta",IF(D19&gt;=C19-0.3,"Riesgo","Atrasado")))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84" t="n">
        <f aca="false">$B$5</f>
        <v>4.5</v>
      </c>
      <c r="D20" s="58"/>
      <c r="E20" s="29"/>
      <c r="F20" s="29"/>
      <c r="G20" s="85" t="str">
        <f aca="false">IF(D20="","",D20-C20)</f>
        <v/>
      </c>
      <c r="H20" s="14" t="str">
        <f aca="false">IF(D20="","",IF(D20&gt;=C20,"En meta",IF(D20&gt;=C20-0.3,"Riesgo","Atrasado")))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82" t="n">
        <f aca="false">$B$5</f>
        <v>4.5</v>
      </c>
      <c r="D21" s="58"/>
      <c r="E21" s="5"/>
      <c r="F21" s="5"/>
      <c r="G21" s="83" t="str">
        <f aca="false">IF(D21="","",D21-C21)</f>
        <v/>
      </c>
      <c r="H21" s="13" t="str">
        <f aca="false">IF(D21="","",IF(D21&gt;=C21,"En meta",IF(D21&gt;=C21-0.3,"Riesgo","Atrasado")))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84" t="n">
        <f aca="false">$B$5</f>
        <v>4.5</v>
      </c>
      <c r="D22" s="58"/>
      <c r="E22" s="29"/>
      <c r="F22" s="29"/>
      <c r="G22" s="85" t="str">
        <f aca="false">IF(D22="","",D22-C22)</f>
        <v/>
      </c>
      <c r="H22" s="14" t="str">
        <f aca="false">IF(D22="","",IF(D22&gt;=C22,"En meta",IF(D22&gt;=C22-0.3,"Riesgo","Atrasado")))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82" t="n">
        <f aca="false">$B$5</f>
        <v>4.5</v>
      </c>
      <c r="D23" s="58"/>
      <c r="E23" s="5"/>
      <c r="F23" s="5"/>
      <c r="G23" s="83" t="str">
        <f aca="false">IF(D23="","",D23-C23)</f>
        <v/>
      </c>
      <c r="H23" s="13" t="str">
        <f aca="false">IF(D23="","",IF(D23&gt;=C23,"En meta",IF(D23&gt;=C23-0.3,"Riesgo","Atrasado")))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84" t="n">
        <f aca="false">$B$5</f>
        <v>4.5</v>
      </c>
      <c r="D24" s="58"/>
      <c r="E24" s="29"/>
      <c r="F24" s="29"/>
      <c r="G24" s="85" t="str">
        <f aca="false">IF(D24="","",D24-C24)</f>
        <v/>
      </c>
      <c r="H24" s="14" t="str">
        <f aca="false">IF(D24="","",IF(D24&gt;=C24,"En meta",IF(D24&gt;=C24-0.3,"Riesgo","Atrasado")))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82" t="n">
        <f aca="false">$B$5</f>
        <v>4.5</v>
      </c>
      <c r="D25" s="58"/>
      <c r="E25" s="5"/>
      <c r="F25" s="5"/>
      <c r="G25" s="83" t="str">
        <f aca="false">IF(D25="","",D25-C25)</f>
        <v/>
      </c>
      <c r="H25" s="13" t="str">
        <f aca="false">IF(D25="","",IF(D25&gt;=C25,"En meta",IF(D25&gt;=C25-0.3,"Riesgo","Atrasado")))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84" t="n">
        <f aca="false">$B$5</f>
        <v>4.5</v>
      </c>
      <c r="D26" s="58"/>
      <c r="E26" s="29"/>
      <c r="F26" s="29"/>
      <c r="G26" s="85" t="str">
        <f aca="false">IF(D26="","",D26-C26)</f>
        <v/>
      </c>
      <c r="H26" s="14" t="str">
        <f aca="false">IF(D26="","",IF(D26&gt;=C26,"En meta",IF(D26&gt;=C26-0.3,"Riesgo","Atrasado")))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82" t="n">
        <f aca="false">$B$5</f>
        <v>4.5</v>
      </c>
      <c r="D27" s="58"/>
      <c r="E27" s="5"/>
      <c r="F27" s="5"/>
      <c r="G27" s="83" t="str">
        <f aca="false">IF(D27="","",D27-C27)</f>
        <v/>
      </c>
      <c r="H27" s="13" t="str">
        <f aca="false">IF(D27="","",IF(D27&gt;=C27,"En meta",IF(D27&gt;=C27-0.3,"Riesgo","Atrasado")))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84" t="n">
        <f aca="false">$B$5</f>
        <v>4.5</v>
      </c>
      <c r="D28" s="58"/>
      <c r="E28" s="29"/>
      <c r="F28" s="29"/>
      <c r="G28" s="85" t="str">
        <f aca="false">IF(D28="","",D28-C28)</f>
        <v/>
      </c>
      <c r="H28" s="14" t="str">
        <f aca="false">IF(D28="","",IF(D28&gt;=C28,"En meta",IF(D28&gt;=C28-0.3,"Riesgo","Atrasado")))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218</v>
      </c>
    </row>
    <row r="3" customFormat="false" ht="15" hidden="false" customHeight="false" outlineLevel="0" collapsed="false">
      <c r="A3" s="17" t="s">
        <v>84</v>
      </c>
      <c r="B3" s="44" t="s">
        <v>219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67</v>
      </c>
    </row>
    <row r="5" customFormat="false" ht="24" hidden="false" customHeight="true" outlineLevel="0" collapsed="false">
      <c r="A5" s="17" t="s">
        <v>89</v>
      </c>
      <c r="B5" s="75" t="n">
        <v>0.09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220</v>
      </c>
      <c r="J8" s="49"/>
      <c r="K8" s="49" t="s">
        <v>221</v>
      </c>
      <c r="L8" s="49"/>
      <c r="M8" s="49" t="s">
        <v>222</v>
      </c>
      <c r="N8" s="49"/>
      <c r="O8" s="49" t="s">
        <v>223</v>
      </c>
      <c r="P8" s="49"/>
      <c r="Q8" s="49" t="s">
        <v>224</v>
      </c>
      <c r="R8" s="49"/>
      <c r="S8" s="49" t="s">
        <v>225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1</v>
      </c>
      <c r="N9" s="53"/>
      <c r="O9" s="54" t="n">
        <v>1</v>
      </c>
      <c r="P9" s="54"/>
      <c r="Q9" s="53" t="n">
        <v>1</v>
      </c>
      <c r="R9" s="53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0.09</v>
      </c>
      <c r="D11" s="58"/>
      <c r="E11" s="5"/>
      <c r="F11" s="5"/>
      <c r="G11" s="59" t="str">
        <f aca="false">IF(D11="","",D11-C11)</f>
        <v/>
      </c>
      <c r="H11" s="13" t="str">
        <f aca="false">IF(D11="","",IF(D11&lt;=C11,"En meta",IF(D11&lt;=C11+0.01,"Riesgo","Atrasado")))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0.09</v>
      </c>
      <c r="D12" s="58"/>
      <c r="E12" s="29"/>
      <c r="F12" s="29"/>
      <c r="G12" s="66" t="str">
        <f aca="false">IF(D12="","",D12-C12)</f>
        <v/>
      </c>
      <c r="H12" s="14" t="str">
        <f aca="false">IF(D12="","",IF(D12&lt;=C12,"En meta",IF(D12&lt;=C12+0.01,"Riesgo","Atrasado")))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0.09</v>
      </c>
      <c r="D13" s="58"/>
      <c r="E13" s="5"/>
      <c r="F13" s="5"/>
      <c r="G13" s="59" t="str">
        <f aca="false">IF(D13="","",D13-C13)</f>
        <v/>
      </c>
      <c r="H13" s="13" t="str">
        <f aca="false">IF(D13="","",IF(D13&lt;=C13,"En meta",IF(D13&lt;=C13+0.01,"Riesgo","Atrasado")))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0.09</v>
      </c>
      <c r="D14" s="58"/>
      <c r="E14" s="29"/>
      <c r="F14" s="29"/>
      <c r="G14" s="66" t="str">
        <f aca="false">IF(D14="","",D14-C14)</f>
        <v/>
      </c>
      <c r="H14" s="14" t="str">
        <f aca="false">IF(D14="","",IF(D14&lt;=C14,"En meta",IF(D14&lt;=C14+0.01,"Riesgo","Atrasado")))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0.09</v>
      </c>
      <c r="D15" s="58"/>
      <c r="E15" s="5"/>
      <c r="F15" s="5"/>
      <c r="G15" s="59" t="str">
        <f aca="false">IF(D15="","",D15-C15)</f>
        <v/>
      </c>
      <c r="H15" s="13" t="str">
        <f aca="false">IF(D15="","",IF(D15&lt;=C15,"En meta",IF(D15&lt;=C15+0.01,"Riesgo","Atrasado")))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0.09</v>
      </c>
      <c r="D16" s="58"/>
      <c r="E16" s="29"/>
      <c r="F16" s="29"/>
      <c r="G16" s="66" t="str">
        <f aca="false">IF(D16="","",D16-C16)</f>
        <v/>
      </c>
      <c r="H16" s="14" t="str">
        <f aca="false">IF(D16="","",IF(D16&lt;=C16,"En meta",IF(D16&lt;=C16+0.01,"Riesgo","Atrasado")))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0.09</v>
      </c>
      <c r="D17" s="58"/>
      <c r="E17" s="5"/>
      <c r="F17" s="5"/>
      <c r="G17" s="59" t="str">
        <f aca="false">IF(D17="","",D17-C17)</f>
        <v/>
      </c>
      <c r="H17" s="13" t="str">
        <f aca="false">IF(D17="","",IF(D17&lt;=C17,"En meta",IF(D17&lt;=C17+0.01,"Riesgo","Atrasado")))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0.09</v>
      </c>
      <c r="D18" s="58"/>
      <c r="E18" s="29"/>
      <c r="F18" s="29"/>
      <c r="G18" s="66" t="str">
        <f aca="false">IF(D18="","",D18-C18)</f>
        <v/>
      </c>
      <c r="H18" s="14" t="str">
        <f aca="false">IF(D18="","",IF(D18&lt;=C18,"En meta",IF(D18&lt;=C18+0.01,"Riesgo","Atrasado")))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0.09</v>
      </c>
      <c r="D19" s="58"/>
      <c r="E19" s="5"/>
      <c r="F19" s="5"/>
      <c r="G19" s="59" t="str">
        <f aca="false">IF(D19="","",D19-C19)</f>
        <v/>
      </c>
      <c r="H19" s="13" t="str">
        <f aca="false">IF(D19="","",IF(D19&lt;=C19,"En meta",IF(D19&lt;=C19+0.01,"Riesgo","Atrasado")))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0.09</v>
      </c>
      <c r="D20" s="58"/>
      <c r="E20" s="29"/>
      <c r="F20" s="29"/>
      <c r="G20" s="66" t="str">
        <f aca="false">IF(D20="","",D20-C20)</f>
        <v/>
      </c>
      <c r="H20" s="14" t="str">
        <f aca="false">IF(D20="","",IF(D20&lt;=C20,"En meta",IF(D20&lt;=C20+0.01,"Riesgo","Atrasado")))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0.09</v>
      </c>
      <c r="D21" s="58"/>
      <c r="E21" s="5"/>
      <c r="F21" s="5"/>
      <c r="G21" s="59" t="str">
        <f aca="false">IF(D21="","",D21-C21)</f>
        <v/>
      </c>
      <c r="H21" s="13" t="str">
        <f aca="false">IF(D21="","",IF(D21&lt;=C21,"En meta",IF(D21&lt;=C21+0.01,"Riesgo","Atrasado")))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0.09</v>
      </c>
      <c r="D22" s="58"/>
      <c r="E22" s="29"/>
      <c r="F22" s="29"/>
      <c r="G22" s="66" t="str">
        <f aca="false">IF(D22="","",D22-C22)</f>
        <v/>
      </c>
      <c r="H22" s="14" t="str">
        <f aca="false">IF(D22="","",IF(D22&lt;=C22,"En meta",IF(D22&lt;=C22+0.01,"Riesgo","Atrasado")))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0.09</v>
      </c>
      <c r="D23" s="58"/>
      <c r="E23" s="5"/>
      <c r="F23" s="5"/>
      <c r="G23" s="59" t="str">
        <f aca="false">IF(D23="","",D23-C23)</f>
        <v/>
      </c>
      <c r="H23" s="13" t="str">
        <f aca="false">IF(D23="","",IF(D23&lt;=C23,"En meta",IF(D23&lt;=C23+0.01,"Riesgo","Atrasado")))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0.09</v>
      </c>
      <c r="D24" s="58"/>
      <c r="E24" s="29"/>
      <c r="F24" s="29"/>
      <c r="G24" s="66" t="str">
        <f aca="false">IF(D24="","",D24-C24)</f>
        <v/>
      </c>
      <c r="H24" s="14" t="str">
        <f aca="false">IF(D24="","",IF(D24&lt;=C24,"En meta",IF(D24&lt;=C24+0.01,"Riesgo","Atrasado")))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0.09</v>
      </c>
      <c r="D25" s="58"/>
      <c r="E25" s="5"/>
      <c r="F25" s="5"/>
      <c r="G25" s="59" t="str">
        <f aca="false">IF(D25="","",D25-C25)</f>
        <v/>
      </c>
      <c r="H25" s="13" t="str">
        <f aca="false">IF(D25="","",IF(D25&lt;=C25,"En meta",IF(D25&lt;=C25+0.01,"Riesgo","Atrasado")))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0.09</v>
      </c>
      <c r="D26" s="58"/>
      <c r="E26" s="29"/>
      <c r="F26" s="29"/>
      <c r="G26" s="66" t="str">
        <f aca="false">IF(D26="","",D26-C26)</f>
        <v/>
      </c>
      <c r="H26" s="14" t="str">
        <f aca="false">IF(D26="","",IF(D26&lt;=C26,"En meta",IF(D26&lt;=C26+0.01,"Riesgo","Atrasado")))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0.09</v>
      </c>
      <c r="D27" s="58"/>
      <c r="E27" s="5"/>
      <c r="F27" s="5"/>
      <c r="G27" s="59" t="str">
        <f aca="false">IF(D27="","",D27-C27)</f>
        <v/>
      </c>
      <c r="H27" s="13" t="str">
        <f aca="false">IF(D27="","",IF(D27&lt;=C27,"En meta",IF(D27&lt;=C27+0.01,"Riesgo","Atrasado")))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0.09</v>
      </c>
      <c r="D28" s="58"/>
      <c r="E28" s="29"/>
      <c r="F28" s="29"/>
      <c r="G28" s="66" t="str">
        <f aca="false">IF(D28="","",D28-C28)</f>
        <v/>
      </c>
      <c r="H28" s="14" t="str">
        <f aca="false">IF(D28="","",IF(D28&lt;=C28,"En meta",IF(D28&lt;=C28+0.01,"Riesgo","Atrasado")))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226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227</v>
      </c>
    </row>
    <row r="3" customFormat="false" ht="15" hidden="false" customHeight="false" outlineLevel="0" collapsed="false">
      <c r="A3" s="17" t="s">
        <v>84</v>
      </c>
      <c r="B3" s="44" t="s">
        <v>228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70</v>
      </c>
    </row>
    <row r="5" customFormat="false" ht="24" hidden="false" customHeight="true" outlineLevel="0" collapsed="false">
      <c r="A5" s="17" t="s">
        <v>89</v>
      </c>
      <c r="B5" s="78" t="n">
        <v>0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229</v>
      </c>
      <c r="J8" s="49"/>
      <c r="K8" s="49" t="s">
        <v>230</v>
      </c>
      <c r="L8" s="49"/>
      <c r="M8" s="49" t="s">
        <v>231</v>
      </c>
      <c r="N8" s="49"/>
      <c r="O8" s="49" t="s">
        <v>232</v>
      </c>
      <c r="P8" s="49"/>
      <c r="Q8" s="49" t="s">
        <v>233</v>
      </c>
      <c r="R8" s="49"/>
      <c r="S8" s="49" t="s">
        <v>234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3" t="n">
        <v>1</v>
      </c>
      <c r="N9" s="53"/>
      <c r="O9" s="54" t="n">
        <v>0.7</v>
      </c>
      <c r="P9" s="54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3" t="n">
        <f aca="false">$B$5</f>
        <v>0</v>
      </c>
      <c r="D11" s="58"/>
      <c r="E11" s="5"/>
      <c r="F11" s="5"/>
      <c r="G11" s="86" t="str">
        <f aca="false">IF(D11="","",D11-C11)</f>
        <v/>
      </c>
      <c r="H11" s="13" t="str">
        <f aca="false">IF(D11="","",IF(D11&gt;=C11,"En meta",IF(D11&gt;=C11-10000,"Riesgo","Atrasado")))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4" t="n">
        <f aca="false">$B$5</f>
        <v>0</v>
      </c>
      <c r="D12" s="58"/>
      <c r="E12" s="29"/>
      <c r="F12" s="29"/>
      <c r="G12" s="87" t="str">
        <f aca="false">IF(D12="","",D12-C12)</f>
        <v/>
      </c>
      <c r="H12" s="14" t="str">
        <f aca="false">IF(D12="","",IF(D12&gt;=C12,"En meta",IF(D12&gt;=C12-10000,"Riesgo","Atrasado")))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3" t="n">
        <f aca="false">$B$5</f>
        <v>0</v>
      </c>
      <c r="D13" s="58"/>
      <c r="E13" s="5"/>
      <c r="F13" s="5"/>
      <c r="G13" s="86" t="str">
        <f aca="false">IF(D13="","",D13-C13)</f>
        <v/>
      </c>
      <c r="H13" s="13" t="str">
        <f aca="false">IF(D13="","",IF(D13&gt;=C13,"En meta",IF(D13&gt;=C13-10000,"Riesgo","Atrasado")))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4" t="n">
        <f aca="false">$B$5</f>
        <v>0</v>
      </c>
      <c r="D14" s="58"/>
      <c r="E14" s="29"/>
      <c r="F14" s="29"/>
      <c r="G14" s="87" t="str">
        <f aca="false">IF(D14="","",D14-C14)</f>
        <v/>
      </c>
      <c r="H14" s="14" t="str">
        <f aca="false">IF(D14="","",IF(D14&gt;=C14,"En meta",IF(D14&gt;=C14-10000,"Riesgo","Atrasado")))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3" t="n">
        <f aca="false">$B$5</f>
        <v>0</v>
      </c>
      <c r="D15" s="58"/>
      <c r="E15" s="5"/>
      <c r="F15" s="5"/>
      <c r="G15" s="86" t="str">
        <f aca="false">IF(D15="","",D15-C15)</f>
        <v/>
      </c>
      <c r="H15" s="13" t="str">
        <f aca="false">IF(D15="","",IF(D15&gt;=C15,"En meta",IF(D15&gt;=C15-10000,"Riesgo","Atrasado")))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4" t="n">
        <f aca="false">$B$5</f>
        <v>0</v>
      </c>
      <c r="D16" s="58"/>
      <c r="E16" s="29"/>
      <c r="F16" s="29"/>
      <c r="G16" s="87" t="str">
        <f aca="false">IF(D16="","",D16-C16)</f>
        <v/>
      </c>
      <c r="H16" s="14" t="str">
        <f aca="false">IF(D16="","",IF(D16&gt;=C16,"En meta",IF(D16&gt;=C16-10000,"Riesgo","Atrasado")))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3" t="n">
        <f aca="false">$B$5</f>
        <v>0</v>
      </c>
      <c r="D17" s="58"/>
      <c r="E17" s="5"/>
      <c r="F17" s="5"/>
      <c r="G17" s="86" t="str">
        <f aca="false">IF(D17="","",D17-C17)</f>
        <v/>
      </c>
      <c r="H17" s="13" t="str">
        <f aca="false">IF(D17="","",IF(D17&gt;=C17,"En meta",IF(D17&gt;=C17-10000,"Riesgo","Atrasado")))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4" t="n">
        <f aca="false">$B$5</f>
        <v>0</v>
      </c>
      <c r="D18" s="58"/>
      <c r="E18" s="29"/>
      <c r="F18" s="29"/>
      <c r="G18" s="87" t="str">
        <f aca="false">IF(D18="","",D18-C18)</f>
        <v/>
      </c>
      <c r="H18" s="14" t="str">
        <f aca="false">IF(D18="","",IF(D18&gt;=C18,"En meta",IF(D18&gt;=C18-10000,"Riesgo","Atrasado")))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3" t="n">
        <f aca="false">$B$5</f>
        <v>0</v>
      </c>
      <c r="D19" s="58"/>
      <c r="E19" s="5"/>
      <c r="F19" s="5"/>
      <c r="G19" s="86" t="str">
        <f aca="false">IF(D19="","",D19-C19)</f>
        <v/>
      </c>
      <c r="H19" s="13" t="str">
        <f aca="false">IF(D19="","",IF(D19&gt;=C19,"En meta",IF(D19&gt;=C19-10000,"Riesgo","Atrasado")))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4" t="n">
        <f aca="false">$B$5</f>
        <v>0</v>
      </c>
      <c r="D20" s="58"/>
      <c r="E20" s="29"/>
      <c r="F20" s="29"/>
      <c r="G20" s="87" t="str">
        <f aca="false">IF(D20="","",D20-C20)</f>
        <v/>
      </c>
      <c r="H20" s="14" t="str">
        <f aca="false">IF(D20="","",IF(D20&gt;=C20,"En meta",IF(D20&gt;=C20-10000,"Riesgo","Atrasado")))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3" t="n">
        <f aca="false">$B$5</f>
        <v>0</v>
      </c>
      <c r="D21" s="58"/>
      <c r="E21" s="5"/>
      <c r="F21" s="5"/>
      <c r="G21" s="86" t="str">
        <f aca="false">IF(D21="","",D21-C21)</f>
        <v/>
      </c>
      <c r="H21" s="13" t="str">
        <f aca="false">IF(D21="","",IF(D21&gt;=C21,"En meta",IF(D21&gt;=C21-10000,"Riesgo","Atrasado")))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4" t="n">
        <f aca="false">$B$5</f>
        <v>0</v>
      </c>
      <c r="D22" s="58"/>
      <c r="E22" s="29"/>
      <c r="F22" s="29"/>
      <c r="G22" s="87" t="str">
        <f aca="false">IF(D22="","",D22-C22)</f>
        <v/>
      </c>
      <c r="H22" s="14" t="str">
        <f aca="false">IF(D22="","",IF(D22&gt;=C22,"En meta",IF(D22&gt;=C22-10000,"Riesgo","Atrasado")))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3" t="n">
        <f aca="false">$B$5</f>
        <v>0</v>
      </c>
      <c r="D23" s="58"/>
      <c r="E23" s="5"/>
      <c r="F23" s="5"/>
      <c r="G23" s="86" t="str">
        <f aca="false">IF(D23="","",D23-C23)</f>
        <v/>
      </c>
      <c r="H23" s="13" t="str">
        <f aca="false">IF(D23="","",IF(D23&gt;=C23,"En meta",IF(D23&gt;=C23-10000,"Riesgo","Atrasado")))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4" t="n">
        <f aca="false">$B$5</f>
        <v>0</v>
      </c>
      <c r="D24" s="58"/>
      <c r="E24" s="29"/>
      <c r="F24" s="29"/>
      <c r="G24" s="87" t="str">
        <f aca="false">IF(D24="","",D24-C24)</f>
        <v/>
      </c>
      <c r="H24" s="14" t="str">
        <f aca="false">IF(D24="","",IF(D24&gt;=C24,"En meta",IF(D24&gt;=C24-10000,"Riesgo","Atrasado")))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3" t="n">
        <f aca="false">$B$5</f>
        <v>0</v>
      </c>
      <c r="D25" s="58"/>
      <c r="E25" s="5"/>
      <c r="F25" s="5"/>
      <c r="G25" s="86" t="str">
        <f aca="false">IF(D25="","",D25-C25)</f>
        <v/>
      </c>
      <c r="H25" s="13" t="str">
        <f aca="false">IF(D25="","",IF(D25&gt;=C25,"En meta",IF(D25&gt;=C25-10000,"Riesgo","Atrasado")))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4" t="n">
        <f aca="false">$B$5</f>
        <v>0</v>
      </c>
      <c r="D26" s="58"/>
      <c r="E26" s="29"/>
      <c r="F26" s="29"/>
      <c r="G26" s="87" t="str">
        <f aca="false">IF(D26="","",D26-C26)</f>
        <v/>
      </c>
      <c r="H26" s="14" t="str">
        <f aca="false">IF(D26="","",IF(D26&gt;=C26,"En meta",IF(D26&gt;=C26-10000,"Riesgo","Atrasado")))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3" t="n">
        <f aca="false">$B$5</f>
        <v>0</v>
      </c>
      <c r="D27" s="58"/>
      <c r="E27" s="5"/>
      <c r="F27" s="5"/>
      <c r="G27" s="86" t="str">
        <f aca="false">IF(D27="","",D27-C27)</f>
        <v/>
      </c>
      <c r="H27" s="13" t="str">
        <f aca="false">IF(D27="","",IF(D27&gt;=C27,"En meta",IF(D27&gt;=C27-10000,"Riesgo","Atrasado")))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4" t="n">
        <f aca="false">$B$5</f>
        <v>0</v>
      </c>
      <c r="D28" s="58"/>
      <c r="E28" s="29"/>
      <c r="F28" s="29"/>
      <c r="G28" s="87" t="str">
        <f aca="false">IF(D28="","",D28-C28)</f>
        <v/>
      </c>
      <c r="H28" s="14" t="str">
        <f aca="false">IF(D28="","",IF(D28&gt;=C28,"En meta",IF(D28&gt;=C28-10000,"Riesgo","Atrasado")))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235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236</v>
      </c>
    </row>
    <row r="3" customFormat="false" ht="15" hidden="false" customHeight="false" outlineLevel="0" collapsed="false">
      <c r="A3" s="17" t="s">
        <v>84</v>
      </c>
      <c r="B3" s="44" t="s">
        <v>237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73</v>
      </c>
    </row>
    <row r="5" customFormat="false" ht="24" hidden="false" customHeight="true" outlineLevel="0" collapsed="false">
      <c r="A5" s="17" t="s">
        <v>89</v>
      </c>
      <c r="B5" s="75" t="n">
        <v>0.48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238</v>
      </c>
      <c r="J8" s="49"/>
      <c r="K8" s="49" t="s">
        <v>239</v>
      </c>
      <c r="L8" s="49"/>
      <c r="M8" s="49" t="s">
        <v>240</v>
      </c>
      <c r="N8" s="49"/>
      <c r="O8" s="49" t="s">
        <v>241</v>
      </c>
      <c r="P8" s="49"/>
      <c r="Q8" s="49" t="s">
        <v>242</v>
      </c>
      <c r="R8" s="49"/>
      <c r="S8" s="49" t="s">
        <v>243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40</v>
      </c>
      <c r="N9" s="53"/>
      <c r="O9" s="53" t="n">
        <v>1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0.48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meta",IF(D11&gt;=C11-0.03,"Riesgo","Atrasado")))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0.48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meta",IF(D12&gt;=C12-0.03,"Riesgo","Atrasado")))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0.48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meta",IF(D13&gt;=C13-0.03,"Riesgo","Atrasado")))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0.48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meta",IF(D14&gt;=C14-0.03,"Riesgo","Atrasado")))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0.48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meta",IF(D15&gt;=C15-0.03,"Riesgo","Atrasado")))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0.48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meta",IF(D16&gt;=C16-0.03,"Riesgo","Atrasado")))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0.48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meta",IF(D17&gt;=C17-0.03,"Riesgo","Atrasado")))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0.48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meta",IF(D18&gt;=C18-0.03,"Riesgo","Atrasado")))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0.48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meta",IF(D19&gt;=C19-0.03,"Riesgo","Atrasado")))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0.48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meta",IF(D20&gt;=C20-0.03,"Riesgo","Atrasado")))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0.48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meta",IF(D21&gt;=C21-0.03,"Riesgo","Atrasado")))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0.48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meta",IF(D22&gt;=C22-0.03,"Riesgo","Atrasado")))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0.48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meta",IF(D23&gt;=C23-0.03,"Riesgo","Atrasado")))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0.48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meta",IF(D24&gt;=C24-0.03,"Riesgo","Atrasado")))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0.48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meta",IF(D25&gt;=C25-0.03,"Riesgo","Atrasado")))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0.48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meta",IF(D26&gt;=C26-0.03,"Riesgo","Atrasado")))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0.48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meta",IF(D27&gt;=C27-0.03,"Riesgo","Atrasado")))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0.48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meta",IF(D28&gt;=C28-0.03,"Riesgo","Atrasado")))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244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245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21000000</v>
      </c>
      <c r="D4" s="17" t="s">
        <v>247</v>
      </c>
      <c r="E4" s="90" t="n">
        <v>0.16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3360000</v>
      </c>
      <c r="D5" s="17" t="s">
        <v>249</v>
      </c>
      <c r="E5" s="91" t="n">
        <v>1000000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3360000</v>
      </c>
      <c r="D7" s="17" t="s">
        <v>253</v>
      </c>
      <c r="E7" s="90" t="n">
        <v>0.0476190476190476</v>
      </c>
    </row>
    <row r="9" customFormat="false" ht="15" hidden="false" customHeight="false" outlineLevel="0" collapsed="false">
      <c r="A9" s="3" t="s">
        <v>254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3360000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3360000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3360000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3360000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3360000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3360000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3360000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3360000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3360000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3360000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3360000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3360000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3360000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3360000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3360000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3360000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3360000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3360000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3360000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3360000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3360000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3360000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3360000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3360000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3360000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3360000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3360000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3360000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3360000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257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258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28571000</v>
      </c>
      <c r="D4" s="17" t="s">
        <v>247</v>
      </c>
      <c r="E4" s="90" t="n">
        <v>0.164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4685644</v>
      </c>
      <c r="D5" s="17" t="s">
        <v>249</v>
      </c>
      <c r="E5" s="91" t="n">
        <v>2000000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4685644</v>
      </c>
      <c r="D7" s="17" t="s">
        <v>253</v>
      </c>
      <c r="E7" s="90" t="n">
        <v>0.0700010500157502</v>
      </c>
    </row>
    <row r="9" customFormat="false" ht="15" hidden="false" customHeight="false" outlineLevel="0" collapsed="false">
      <c r="A9" s="3" t="s">
        <v>259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4685644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4685644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4685644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4685644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4685644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4685644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4685644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4685644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4685644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4685644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4685644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4685644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4685644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4685644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4685644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4685644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4685644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4685644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4685644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4685644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4685644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4685644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4685644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4685644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4685644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4685644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4685644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4685644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4685644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260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261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30571000</v>
      </c>
      <c r="D4" s="17" t="s">
        <v>247</v>
      </c>
      <c r="E4" s="94" t="n">
        <v>0.165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5044215</v>
      </c>
      <c r="D5" s="17" t="s">
        <v>249</v>
      </c>
      <c r="E5" s="91" t="n">
        <v>2445680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5044215</v>
      </c>
      <c r="D7" s="17" t="s">
        <v>253</v>
      </c>
      <c r="E7" s="90" t="n">
        <v>0.08</v>
      </c>
    </row>
    <row r="9" customFormat="false" ht="15" hidden="false" customHeight="false" outlineLevel="0" collapsed="false">
      <c r="A9" s="3" t="s">
        <v>262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5044215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5044215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5044215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5044215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5044215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5044215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5044215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5044215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5044215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5044215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5044215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5044215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5044215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5044215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5044215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5044215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5044215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5044215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5044215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5044215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5044215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5044215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5044215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5044215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5044215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5044215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5044215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5044215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5044215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72"/>
    <col collapsed="false" customWidth="true" hidden="false" outlineLevel="0" max="4" min="4" style="0" width="22"/>
    <col collapsed="false" customWidth="true" hidden="false" outlineLevel="0" max="5" min="5" style="0" width="12"/>
  </cols>
  <sheetData>
    <row r="1" customFormat="false" ht="262.65" hidden="false" customHeight="false" outlineLevel="0" collapsed="false">
      <c r="A1" s="4" t="s">
        <v>76</v>
      </c>
      <c r="B1" s="4" t="s">
        <v>135</v>
      </c>
      <c r="C1" s="4" t="s">
        <v>263</v>
      </c>
      <c r="D1" s="4" t="s">
        <v>136</v>
      </c>
      <c r="E1" s="4" t="s">
        <v>9</v>
      </c>
      <c r="G1" s="95" t="s">
        <v>264</v>
      </c>
    </row>
    <row r="2" customFormat="false" ht="15" hidden="false" customHeight="false" outlineLevel="0" collapsed="false">
      <c r="A2" s="71" t="n">
        <v>1</v>
      </c>
      <c r="B2" s="71" t="n">
        <v>3</v>
      </c>
      <c r="C2" s="70" t="s">
        <v>265</v>
      </c>
      <c r="D2" s="70" t="s">
        <v>266</v>
      </c>
      <c r="E2" s="71" t="s">
        <v>78</v>
      </c>
    </row>
    <row r="3" customFormat="false" ht="15" hidden="false" customHeight="false" outlineLevel="0" collapsed="false">
      <c r="A3" s="71" t="n">
        <v>1</v>
      </c>
      <c r="B3" s="71" t="n">
        <v>5</v>
      </c>
      <c r="C3" s="70" t="s">
        <v>267</v>
      </c>
      <c r="D3" s="70" t="s">
        <v>139</v>
      </c>
      <c r="E3" s="71" t="s">
        <v>78</v>
      </c>
    </row>
    <row r="4" customFormat="false" ht="15" hidden="false" customHeight="false" outlineLevel="0" collapsed="false">
      <c r="A4" s="71"/>
      <c r="B4" s="71"/>
      <c r="C4" s="70"/>
      <c r="D4" s="70"/>
      <c r="E4" s="71"/>
    </row>
    <row r="5" customFormat="false" ht="15" hidden="false" customHeight="false" outlineLevel="0" collapsed="false">
      <c r="A5" s="96"/>
      <c r="B5" s="96"/>
      <c r="C5" s="97"/>
      <c r="D5" s="97"/>
      <c r="E5" s="96"/>
    </row>
    <row r="6" customFormat="false" ht="15" hidden="false" customHeight="false" outlineLevel="0" collapsed="false">
      <c r="A6" s="71"/>
      <c r="B6" s="71"/>
      <c r="C6" s="70"/>
      <c r="D6" s="70"/>
      <c r="E6" s="71"/>
    </row>
    <row r="7" customFormat="false" ht="15" hidden="false" customHeight="false" outlineLevel="0" collapsed="false">
      <c r="A7" s="96"/>
      <c r="B7" s="96"/>
      <c r="C7" s="97"/>
      <c r="D7" s="97"/>
      <c r="E7" s="96"/>
    </row>
    <row r="8" customFormat="false" ht="15" hidden="false" customHeight="false" outlineLevel="0" collapsed="false">
      <c r="A8" s="71"/>
      <c r="B8" s="71"/>
      <c r="C8" s="70"/>
      <c r="D8" s="70"/>
      <c r="E8" s="71"/>
    </row>
    <row r="9" customFormat="false" ht="15" hidden="false" customHeight="false" outlineLevel="0" collapsed="false">
      <c r="A9" s="96"/>
      <c r="B9" s="96"/>
      <c r="C9" s="97"/>
      <c r="D9" s="97"/>
      <c r="E9" s="96"/>
    </row>
    <row r="10" customFormat="false" ht="15" hidden="false" customHeight="false" outlineLevel="0" collapsed="false">
      <c r="A10" s="71"/>
      <c r="B10" s="71"/>
      <c r="C10" s="70"/>
      <c r="D10" s="70"/>
      <c r="E10" s="71"/>
    </row>
    <row r="11" customFormat="false" ht="15" hidden="false" customHeight="false" outlineLevel="0" collapsed="false">
      <c r="A11" s="96"/>
      <c r="B11" s="96"/>
      <c r="C11" s="97"/>
      <c r="D11" s="97"/>
      <c r="E11" s="96"/>
    </row>
    <row r="12" customFormat="false" ht="15" hidden="false" customHeight="false" outlineLevel="0" collapsed="false">
      <c r="A12" s="71"/>
      <c r="B12" s="71"/>
      <c r="C12" s="70"/>
      <c r="D12" s="70"/>
      <c r="E12" s="71"/>
    </row>
    <row r="13" customFormat="false" ht="15" hidden="false" customHeight="false" outlineLevel="0" collapsed="false">
      <c r="A13" s="96"/>
      <c r="B13" s="96"/>
      <c r="C13" s="97"/>
      <c r="D13" s="97"/>
      <c r="E13" s="96"/>
    </row>
    <row r="14" customFormat="false" ht="15" hidden="false" customHeight="false" outlineLevel="0" collapsed="false">
      <c r="A14" s="71"/>
      <c r="B14" s="71"/>
      <c r="C14" s="70"/>
      <c r="D14" s="70"/>
      <c r="E14" s="71"/>
    </row>
    <row r="15" customFormat="false" ht="15" hidden="false" customHeight="false" outlineLevel="0" collapsed="false">
      <c r="A15" s="96"/>
      <c r="B15" s="96"/>
      <c r="C15" s="97"/>
      <c r="D15" s="97"/>
      <c r="E15" s="96"/>
    </row>
    <row r="16" customFormat="false" ht="15" hidden="false" customHeight="false" outlineLevel="0" collapsed="false">
      <c r="A16" s="71"/>
      <c r="B16" s="71"/>
      <c r="C16" s="70"/>
      <c r="D16" s="70"/>
      <c r="E16" s="71"/>
    </row>
    <row r="17" customFormat="false" ht="15" hidden="false" customHeight="false" outlineLevel="0" collapsed="false">
      <c r="A17" s="96"/>
      <c r="B17" s="96"/>
      <c r="C17" s="97"/>
      <c r="D17" s="97"/>
      <c r="E17" s="96"/>
    </row>
    <row r="18" customFormat="false" ht="15" hidden="false" customHeight="false" outlineLevel="0" collapsed="false">
      <c r="A18" s="71"/>
      <c r="B18" s="71"/>
      <c r="C18" s="70"/>
      <c r="D18" s="70"/>
      <c r="E18" s="71"/>
    </row>
    <row r="19" customFormat="false" ht="15" hidden="false" customHeight="false" outlineLevel="0" collapsed="false">
      <c r="A19" s="96"/>
      <c r="B19" s="96"/>
      <c r="C19" s="97"/>
      <c r="D19" s="97"/>
      <c r="E19" s="96"/>
    </row>
    <row r="20" customFormat="false" ht="15" hidden="false" customHeight="false" outlineLevel="0" collapsed="false">
      <c r="A20" s="71"/>
      <c r="B20" s="71"/>
      <c r="C20" s="70"/>
      <c r="D20" s="70"/>
      <c r="E20" s="71"/>
    </row>
    <row r="21" customFormat="false" ht="15" hidden="false" customHeight="false" outlineLevel="0" collapsed="false">
      <c r="A21" s="96"/>
      <c r="B21" s="96"/>
      <c r="C21" s="97"/>
      <c r="D21" s="97"/>
      <c r="E21" s="96"/>
    </row>
    <row r="22" customFormat="false" ht="15" hidden="false" customHeight="false" outlineLevel="0" collapsed="false">
      <c r="A22" s="71"/>
      <c r="B22" s="71"/>
      <c r="C22" s="70"/>
      <c r="D22" s="70"/>
      <c r="E22" s="71"/>
    </row>
    <row r="23" customFormat="false" ht="15" hidden="false" customHeight="false" outlineLevel="0" collapsed="false">
      <c r="A23" s="96"/>
      <c r="B23" s="96"/>
      <c r="C23" s="97"/>
      <c r="D23" s="97"/>
      <c r="E23" s="96"/>
    </row>
    <row r="24" customFormat="false" ht="15" hidden="false" customHeight="false" outlineLevel="0" collapsed="false">
      <c r="A24" s="71"/>
      <c r="B24" s="71"/>
      <c r="C24" s="70"/>
      <c r="D24" s="70"/>
      <c r="E24" s="71"/>
    </row>
    <row r="25" customFormat="false" ht="15" hidden="false" customHeight="false" outlineLevel="0" collapsed="false">
      <c r="A25" s="96"/>
      <c r="B25" s="96"/>
      <c r="C25" s="97"/>
      <c r="D25" s="97"/>
      <c r="E25" s="96"/>
    </row>
    <row r="26" customFormat="false" ht="15" hidden="false" customHeight="false" outlineLevel="0" collapsed="false">
      <c r="A26" s="71"/>
      <c r="B26" s="71"/>
      <c r="C26" s="70"/>
      <c r="D26" s="70"/>
      <c r="E26" s="71"/>
    </row>
    <row r="27" customFormat="false" ht="15" hidden="false" customHeight="false" outlineLevel="0" collapsed="false">
      <c r="A27" s="96"/>
      <c r="B27" s="96"/>
      <c r="C27" s="97"/>
      <c r="D27" s="97"/>
      <c r="E27" s="96"/>
    </row>
    <row r="28" customFormat="false" ht="15" hidden="false" customHeight="false" outlineLevel="0" collapsed="false">
      <c r="A28" s="71"/>
      <c r="B28" s="71"/>
      <c r="C28" s="70"/>
      <c r="D28" s="70"/>
      <c r="E28" s="71"/>
    </row>
    <row r="29" customFormat="false" ht="15" hidden="false" customHeight="false" outlineLevel="0" collapsed="false">
      <c r="A29" s="96"/>
      <c r="B29" s="96"/>
      <c r="C29" s="97"/>
      <c r="D29" s="97"/>
      <c r="E29" s="96"/>
    </row>
    <row r="30" customFormat="false" ht="15" hidden="false" customHeight="false" outlineLevel="0" collapsed="false">
      <c r="A30" s="71"/>
      <c r="B30" s="71"/>
      <c r="C30" s="70"/>
      <c r="D30" s="70"/>
      <c r="E30" s="71"/>
    </row>
    <row r="31" customFormat="false" ht="15" hidden="false" customHeight="false" outlineLevel="0" collapsed="false">
      <c r="A31" s="96"/>
      <c r="B31" s="96"/>
      <c r="C31" s="97"/>
      <c r="D31" s="97"/>
      <c r="E31" s="96"/>
    </row>
    <row r="32" customFormat="false" ht="15" hidden="false" customHeight="false" outlineLevel="0" collapsed="false">
      <c r="A32" s="71"/>
      <c r="B32" s="71"/>
      <c r="C32" s="70"/>
      <c r="D32" s="70"/>
      <c r="E32" s="71"/>
    </row>
    <row r="33" customFormat="false" ht="15" hidden="false" customHeight="false" outlineLevel="0" collapsed="false">
      <c r="A33" s="96"/>
      <c r="B33" s="96"/>
      <c r="C33" s="97"/>
      <c r="D33" s="97"/>
      <c r="E33" s="96"/>
    </row>
    <row r="34" customFormat="false" ht="15" hidden="false" customHeight="false" outlineLevel="0" collapsed="false">
      <c r="A34" s="71"/>
      <c r="B34" s="71"/>
      <c r="C34" s="70"/>
      <c r="D34" s="70"/>
      <c r="E34" s="71"/>
    </row>
    <row r="35" customFormat="false" ht="15" hidden="false" customHeight="false" outlineLevel="0" collapsed="false">
      <c r="A35" s="96"/>
      <c r="B35" s="96"/>
      <c r="C35" s="97"/>
      <c r="D35" s="97"/>
      <c r="E35" s="96"/>
    </row>
    <row r="36" customFormat="false" ht="15" hidden="false" customHeight="false" outlineLevel="0" collapsed="false">
      <c r="A36" s="71"/>
      <c r="B36" s="71"/>
      <c r="C36" s="70"/>
      <c r="D36" s="70"/>
      <c r="E36" s="71"/>
    </row>
    <row r="37" customFormat="false" ht="15" hidden="false" customHeight="false" outlineLevel="0" collapsed="false">
      <c r="A37" s="96"/>
      <c r="B37" s="96"/>
      <c r="C37" s="97"/>
      <c r="D37" s="97"/>
      <c r="E37" s="96"/>
    </row>
    <row r="38" customFormat="false" ht="15" hidden="false" customHeight="false" outlineLevel="0" collapsed="false">
      <c r="A38" s="71"/>
      <c r="B38" s="71"/>
      <c r="C38" s="70"/>
      <c r="D38" s="70"/>
      <c r="E38" s="71"/>
    </row>
    <row r="39" customFormat="false" ht="15" hidden="false" customHeight="false" outlineLevel="0" collapsed="false">
      <c r="A39" s="96"/>
      <c r="B39" s="96"/>
      <c r="C39" s="97"/>
      <c r="D39" s="97"/>
      <c r="E39" s="96"/>
    </row>
    <row r="40" customFormat="false" ht="15" hidden="false" customHeight="false" outlineLevel="0" collapsed="false">
      <c r="A40" s="71"/>
      <c r="B40" s="71"/>
      <c r="C40" s="70"/>
      <c r="D40" s="70"/>
      <c r="E40" s="71"/>
    </row>
    <row r="41" customFormat="false" ht="15" hidden="false" customHeight="false" outlineLevel="0" collapsed="false">
      <c r="A41" s="96"/>
      <c r="B41" s="96"/>
      <c r="C41" s="97"/>
      <c r="D41" s="97"/>
      <c r="E41" s="96"/>
    </row>
    <row r="42" customFormat="false" ht="15" hidden="false" customHeight="false" outlineLevel="0" collapsed="false">
      <c r="A42" s="71"/>
      <c r="B42" s="71"/>
      <c r="C42" s="70"/>
      <c r="D42" s="70"/>
      <c r="E42" s="71"/>
    </row>
    <row r="43" customFormat="false" ht="15" hidden="false" customHeight="false" outlineLevel="0" collapsed="false">
      <c r="A43" s="96"/>
      <c r="B43" s="96"/>
      <c r="C43" s="97"/>
      <c r="D43" s="97"/>
      <c r="E43" s="96"/>
    </row>
    <row r="44" customFormat="false" ht="15" hidden="false" customHeight="false" outlineLevel="0" collapsed="false">
      <c r="A44" s="71"/>
      <c r="B44" s="71"/>
      <c r="C44" s="70"/>
      <c r="D44" s="70"/>
      <c r="E44" s="71"/>
    </row>
    <row r="45" customFormat="false" ht="15" hidden="false" customHeight="false" outlineLevel="0" collapsed="false">
      <c r="A45" s="96"/>
      <c r="B45" s="96"/>
      <c r="C45" s="97"/>
      <c r="D45" s="97"/>
      <c r="E45" s="96"/>
    </row>
    <row r="46" customFormat="false" ht="15" hidden="false" customHeight="false" outlineLevel="0" collapsed="false">
      <c r="A46" s="71"/>
      <c r="B46" s="71"/>
      <c r="C46" s="70"/>
      <c r="D46" s="70"/>
      <c r="E46" s="71"/>
    </row>
    <row r="47" customFormat="false" ht="15" hidden="false" customHeight="false" outlineLevel="0" collapsed="false">
      <c r="A47" s="96"/>
      <c r="B47" s="96"/>
      <c r="C47" s="97"/>
      <c r="D47" s="97"/>
      <c r="E47" s="96"/>
    </row>
    <row r="48" customFormat="false" ht="15" hidden="false" customHeight="false" outlineLevel="0" collapsed="false">
      <c r="A48" s="71"/>
      <c r="B48" s="71"/>
      <c r="C48" s="70"/>
      <c r="D48" s="70"/>
      <c r="E48" s="71"/>
    </row>
    <row r="49" customFormat="false" ht="15" hidden="false" customHeight="false" outlineLevel="0" collapsed="false">
      <c r="A49" s="96"/>
      <c r="B49" s="96"/>
      <c r="C49" s="97"/>
      <c r="D49" s="97"/>
      <c r="E49" s="96"/>
    </row>
    <row r="50" customFormat="false" ht="15" hidden="false" customHeight="false" outlineLevel="0" collapsed="false">
      <c r="A50" s="71"/>
      <c r="B50" s="71"/>
      <c r="C50" s="70"/>
      <c r="D50" s="70"/>
      <c r="E50" s="71"/>
    </row>
    <row r="51" customFormat="false" ht="15" hidden="false" customHeight="false" outlineLevel="0" collapsed="false">
      <c r="A51" s="96"/>
      <c r="B51" s="96"/>
      <c r="C51" s="97"/>
      <c r="D51" s="97"/>
      <c r="E51" s="96"/>
    </row>
    <row r="52" customFormat="false" ht="15" hidden="false" customHeight="false" outlineLevel="0" collapsed="false">
      <c r="A52" s="71"/>
      <c r="B52" s="71"/>
      <c r="C52" s="70"/>
      <c r="D52" s="70"/>
      <c r="E52" s="71"/>
    </row>
    <row r="53" customFormat="false" ht="15" hidden="false" customHeight="false" outlineLevel="0" collapsed="false">
      <c r="A53" s="96"/>
      <c r="B53" s="96"/>
      <c r="C53" s="97"/>
      <c r="D53" s="97"/>
      <c r="E53" s="96"/>
    </row>
    <row r="54" customFormat="false" ht="15" hidden="false" customHeight="false" outlineLevel="0" collapsed="false">
      <c r="A54" s="71"/>
      <c r="B54" s="71"/>
      <c r="C54" s="70"/>
      <c r="D54" s="70"/>
      <c r="E54" s="71"/>
    </row>
    <row r="55" customFormat="false" ht="15" hidden="false" customHeight="false" outlineLevel="0" collapsed="false">
      <c r="A55" s="96"/>
      <c r="B55" s="96"/>
      <c r="C55" s="97"/>
      <c r="D55" s="97"/>
      <c r="E55" s="96"/>
    </row>
    <row r="56" customFormat="false" ht="15" hidden="false" customHeight="false" outlineLevel="0" collapsed="false">
      <c r="A56" s="71"/>
      <c r="B56" s="71"/>
      <c r="C56" s="70"/>
      <c r="D56" s="70"/>
      <c r="E56" s="71"/>
    </row>
    <row r="57" customFormat="false" ht="15" hidden="false" customHeight="false" outlineLevel="0" collapsed="false">
      <c r="A57" s="96"/>
      <c r="B57" s="96"/>
      <c r="C57" s="97"/>
      <c r="D57" s="97"/>
      <c r="E57" s="96"/>
    </row>
    <row r="58" customFormat="false" ht="15" hidden="false" customHeight="false" outlineLevel="0" collapsed="false">
      <c r="A58" s="71"/>
      <c r="B58" s="71"/>
      <c r="C58" s="70"/>
      <c r="D58" s="70"/>
      <c r="E58" s="71"/>
    </row>
    <row r="59" customFormat="false" ht="15" hidden="false" customHeight="false" outlineLevel="0" collapsed="false">
      <c r="A59" s="96"/>
      <c r="B59" s="96"/>
      <c r="C59" s="97"/>
      <c r="D59" s="97"/>
      <c r="E59" s="96"/>
    </row>
    <row r="60" customFormat="false" ht="15" hidden="false" customHeight="false" outlineLevel="0" collapsed="false">
      <c r="A60" s="71"/>
      <c r="B60" s="71"/>
      <c r="C60" s="70"/>
      <c r="D60" s="70"/>
      <c r="E60" s="71"/>
    </row>
    <row r="61" customFormat="false" ht="15" hidden="false" customHeight="false" outlineLevel="0" collapsed="false">
      <c r="A61" s="96"/>
      <c r="B61" s="96"/>
      <c r="C61" s="97"/>
      <c r="D61" s="97"/>
      <c r="E61" s="96"/>
    </row>
    <row r="62" customFormat="false" ht="15" hidden="false" customHeight="false" outlineLevel="0" collapsed="false">
      <c r="A62" s="71"/>
      <c r="B62" s="71"/>
      <c r="C62" s="70"/>
      <c r="D62" s="70"/>
      <c r="E62" s="71"/>
    </row>
    <row r="63" customFormat="false" ht="15" hidden="false" customHeight="false" outlineLevel="0" collapsed="false">
      <c r="A63" s="96"/>
      <c r="B63" s="96"/>
      <c r="C63" s="97"/>
      <c r="D63" s="97"/>
      <c r="E63" s="96"/>
    </row>
    <row r="64" customFormat="false" ht="15" hidden="false" customHeight="false" outlineLevel="0" collapsed="false">
      <c r="A64" s="71"/>
      <c r="B64" s="71"/>
      <c r="C64" s="70"/>
      <c r="D64" s="70"/>
      <c r="E64" s="71"/>
    </row>
    <row r="65" customFormat="false" ht="15" hidden="false" customHeight="false" outlineLevel="0" collapsed="false">
      <c r="A65" s="96"/>
      <c r="B65" s="96"/>
      <c r="C65" s="97"/>
      <c r="D65" s="97"/>
      <c r="E65" s="96"/>
    </row>
    <row r="66" customFormat="false" ht="15" hidden="false" customHeight="false" outlineLevel="0" collapsed="false">
      <c r="A66" s="71"/>
      <c r="B66" s="71"/>
      <c r="C66" s="70"/>
      <c r="D66" s="70"/>
      <c r="E66" s="71"/>
    </row>
    <row r="67" customFormat="false" ht="15" hidden="false" customHeight="false" outlineLevel="0" collapsed="false">
      <c r="A67" s="96"/>
      <c r="B67" s="96"/>
      <c r="C67" s="97"/>
      <c r="D67" s="97"/>
      <c r="E67" s="96"/>
    </row>
    <row r="68" customFormat="false" ht="15" hidden="false" customHeight="false" outlineLevel="0" collapsed="false">
      <c r="A68" s="71"/>
      <c r="B68" s="71"/>
      <c r="C68" s="70"/>
      <c r="D68" s="70"/>
      <c r="E68" s="71"/>
    </row>
    <row r="69" customFormat="false" ht="15" hidden="false" customHeight="false" outlineLevel="0" collapsed="false">
      <c r="A69" s="96"/>
      <c r="B69" s="96"/>
      <c r="C69" s="97"/>
      <c r="D69" s="97"/>
      <c r="E69" s="96"/>
    </row>
    <row r="70" customFormat="false" ht="15" hidden="false" customHeight="false" outlineLevel="0" collapsed="false">
      <c r="A70" s="71"/>
      <c r="B70" s="71"/>
      <c r="C70" s="70"/>
      <c r="D70" s="70"/>
      <c r="E70" s="71"/>
    </row>
    <row r="71" customFormat="false" ht="15" hidden="false" customHeight="false" outlineLevel="0" collapsed="false">
      <c r="A71" s="96"/>
      <c r="B71" s="96"/>
      <c r="C71" s="97"/>
      <c r="D71" s="97"/>
      <c r="E71" s="96"/>
    </row>
    <row r="72" customFormat="false" ht="15" hidden="false" customHeight="false" outlineLevel="0" collapsed="false">
      <c r="A72" s="71"/>
      <c r="B72" s="71"/>
      <c r="C72" s="70"/>
      <c r="D72" s="70"/>
      <c r="E72" s="71"/>
    </row>
    <row r="73" customFormat="false" ht="15" hidden="false" customHeight="false" outlineLevel="0" collapsed="false">
      <c r="A73" s="96"/>
      <c r="B73" s="96"/>
      <c r="C73" s="97"/>
      <c r="D73" s="97"/>
      <c r="E73" s="96"/>
    </row>
    <row r="74" customFormat="false" ht="15" hidden="false" customHeight="false" outlineLevel="0" collapsed="false">
      <c r="A74" s="71"/>
      <c r="B74" s="71"/>
      <c r="C74" s="70"/>
      <c r="D74" s="70"/>
      <c r="E74" s="71"/>
    </row>
    <row r="75" customFormat="false" ht="15" hidden="false" customHeight="false" outlineLevel="0" collapsed="false">
      <c r="A75" s="96"/>
      <c r="B75" s="96"/>
      <c r="C75" s="97"/>
      <c r="D75" s="97"/>
      <c r="E75" s="96"/>
    </row>
    <row r="76" customFormat="false" ht="15" hidden="false" customHeight="false" outlineLevel="0" collapsed="false">
      <c r="A76" s="71"/>
      <c r="B76" s="71"/>
      <c r="C76" s="70"/>
      <c r="D76" s="70"/>
      <c r="E76" s="71"/>
    </row>
    <row r="77" customFormat="false" ht="15" hidden="false" customHeight="false" outlineLevel="0" collapsed="false">
      <c r="A77" s="96"/>
      <c r="B77" s="96"/>
      <c r="C77" s="97"/>
      <c r="D77" s="97"/>
      <c r="E77" s="96"/>
    </row>
    <row r="78" customFormat="false" ht="15" hidden="false" customHeight="false" outlineLevel="0" collapsed="false">
      <c r="A78" s="71"/>
      <c r="B78" s="71"/>
      <c r="C78" s="70"/>
      <c r="D78" s="70"/>
      <c r="E78" s="71"/>
    </row>
    <row r="79" customFormat="false" ht="15" hidden="false" customHeight="false" outlineLevel="0" collapsed="false">
      <c r="A79" s="96"/>
      <c r="B79" s="96"/>
      <c r="C79" s="97"/>
      <c r="D79" s="97"/>
      <c r="E79" s="96"/>
    </row>
    <row r="80" customFormat="false" ht="15" hidden="false" customHeight="false" outlineLevel="0" collapsed="false">
      <c r="A80" s="71"/>
      <c r="B80" s="71"/>
      <c r="C80" s="70"/>
      <c r="D80" s="70"/>
      <c r="E80" s="71"/>
    </row>
    <row r="81" customFormat="false" ht="15" hidden="false" customHeight="false" outlineLevel="0" collapsed="false">
      <c r="A81" s="96"/>
      <c r="B81" s="96"/>
      <c r="C81" s="97"/>
      <c r="D81" s="97"/>
      <c r="E81" s="96"/>
    </row>
    <row r="82" customFormat="false" ht="15" hidden="false" customHeight="false" outlineLevel="0" collapsed="false">
      <c r="A82" s="71"/>
      <c r="B82" s="71"/>
      <c r="C82" s="70"/>
      <c r="D82" s="70"/>
      <c r="E82" s="71"/>
    </row>
    <row r="83" customFormat="false" ht="15" hidden="false" customHeight="false" outlineLevel="0" collapsed="false">
      <c r="A83" s="96"/>
      <c r="B83" s="96"/>
      <c r="C83" s="97"/>
      <c r="D83" s="97"/>
      <c r="E83" s="96"/>
    </row>
    <row r="84" customFormat="false" ht="15" hidden="false" customHeight="false" outlineLevel="0" collapsed="false">
      <c r="A84" s="71"/>
      <c r="B84" s="71"/>
      <c r="C84" s="70"/>
      <c r="D84" s="70"/>
      <c r="E84" s="71"/>
    </row>
    <row r="85" customFormat="false" ht="15" hidden="false" customHeight="false" outlineLevel="0" collapsed="false">
      <c r="A85" s="96"/>
      <c r="B85" s="96"/>
      <c r="C85" s="97"/>
      <c r="D85" s="97"/>
      <c r="E85" s="96"/>
    </row>
    <row r="86" customFormat="false" ht="15" hidden="false" customHeight="false" outlineLevel="0" collapsed="false">
      <c r="A86" s="71"/>
      <c r="B86" s="71"/>
      <c r="C86" s="70"/>
      <c r="D86" s="70"/>
      <c r="E86" s="71"/>
    </row>
    <row r="87" customFormat="false" ht="15" hidden="false" customHeight="false" outlineLevel="0" collapsed="false">
      <c r="A87" s="96"/>
      <c r="B87" s="96"/>
      <c r="C87" s="97"/>
      <c r="D87" s="97"/>
      <c r="E87" s="96"/>
    </row>
    <row r="88" customFormat="false" ht="15" hidden="false" customHeight="false" outlineLevel="0" collapsed="false">
      <c r="A88" s="71"/>
      <c r="B88" s="71"/>
      <c r="C88" s="70"/>
      <c r="D88" s="70"/>
      <c r="E88" s="71"/>
    </row>
    <row r="89" customFormat="false" ht="15" hidden="false" customHeight="false" outlineLevel="0" collapsed="false">
      <c r="A89" s="96"/>
      <c r="B89" s="96"/>
      <c r="C89" s="97"/>
      <c r="D89" s="97"/>
      <c r="E89" s="96"/>
    </row>
    <row r="90" customFormat="false" ht="15" hidden="false" customHeight="false" outlineLevel="0" collapsed="false">
      <c r="A90" s="71"/>
      <c r="B90" s="71"/>
      <c r="C90" s="70"/>
      <c r="D90" s="70"/>
      <c r="E90" s="71"/>
    </row>
    <row r="91" customFormat="false" ht="15" hidden="false" customHeight="false" outlineLevel="0" collapsed="false">
      <c r="A91" s="96"/>
      <c r="B91" s="96"/>
      <c r="C91" s="97"/>
      <c r="D91" s="97"/>
      <c r="E91" s="96"/>
    </row>
    <row r="92" customFormat="false" ht="15" hidden="false" customHeight="false" outlineLevel="0" collapsed="false">
      <c r="A92" s="71"/>
      <c r="B92" s="71"/>
      <c r="C92" s="70"/>
      <c r="D92" s="70"/>
      <c r="E92" s="71"/>
    </row>
    <row r="93" customFormat="false" ht="15" hidden="false" customHeight="false" outlineLevel="0" collapsed="false">
      <c r="A93" s="96"/>
      <c r="B93" s="96"/>
      <c r="C93" s="97"/>
      <c r="D93" s="97"/>
      <c r="E93" s="96"/>
    </row>
    <row r="94" customFormat="false" ht="15" hidden="false" customHeight="false" outlineLevel="0" collapsed="false">
      <c r="A94" s="71"/>
      <c r="B94" s="71"/>
      <c r="C94" s="70"/>
      <c r="D94" s="70"/>
      <c r="E94" s="71"/>
    </row>
    <row r="95" customFormat="false" ht="15" hidden="false" customHeight="false" outlineLevel="0" collapsed="false">
      <c r="A95" s="96"/>
      <c r="B95" s="96"/>
      <c r="C95" s="97"/>
      <c r="D95" s="97"/>
      <c r="E95" s="96"/>
    </row>
    <row r="96" customFormat="false" ht="15" hidden="false" customHeight="false" outlineLevel="0" collapsed="false">
      <c r="A96" s="71"/>
      <c r="B96" s="71"/>
      <c r="C96" s="70"/>
      <c r="D96" s="70"/>
      <c r="E96" s="71"/>
    </row>
    <row r="97" customFormat="false" ht="15" hidden="false" customHeight="false" outlineLevel="0" collapsed="false">
      <c r="A97" s="96"/>
      <c r="B97" s="96"/>
      <c r="C97" s="97"/>
      <c r="D97" s="97"/>
      <c r="E97" s="96"/>
    </row>
    <row r="98" customFormat="false" ht="15" hidden="false" customHeight="false" outlineLevel="0" collapsed="false">
      <c r="A98" s="71"/>
      <c r="B98" s="71"/>
      <c r="C98" s="70"/>
      <c r="D98" s="70"/>
      <c r="E98" s="71"/>
    </row>
    <row r="99" customFormat="false" ht="15" hidden="false" customHeight="false" outlineLevel="0" collapsed="false">
      <c r="A99" s="96"/>
      <c r="B99" s="96"/>
      <c r="C99" s="97"/>
      <c r="D99" s="97"/>
      <c r="E99" s="96"/>
    </row>
    <row r="100" customFormat="false" ht="15" hidden="false" customHeight="false" outlineLevel="0" collapsed="false">
      <c r="A100" s="71"/>
      <c r="B100" s="71"/>
      <c r="C100" s="70"/>
      <c r="D100" s="70"/>
      <c r="E100" s="71"/>
    </row>
    <row r="101" customFormat="false" ht="15" hidden="false" customHeight="false" outlineLevel="0" collapsed="false">
      <c r="A101" s="96"/>
      <c r="B101" s="96"/>
      <c r="C101" s="97"/>
      <c r="D101" s="97"/>
      <c r="E101" s="96"/>
    </row>
    <row r="102" customFormat="false" ht="15" hidden="false" customHeight="false" outlineLevel="0" collapsed="false">
      <c r="A102" s="71"/>
      <c r="B102" s="71"/>
      <c r="C102" s="70"/>
      <c r="D102" s="70"/>
      <c r="E102" s="71"/>
    </row>
    <row r="103" customFormat="false" ht="15" hidden="false" customHeight="false" outlineLevel="0" collapsed="false">
      <c r="A103" s="96"/>
      <c r="B103" s="96"/>
      <c r="C103" s="97"/>
      <c r="D103" s="97"/>
      <c r="E103" s="96"/>
    </row>
    <row r="104" customFormat="false" ht="15" hidden="false" customHeight="false" outlineLevel="0" collapsed="false">
      <c r="A104" s="71"/>
      <c r="B104" s="71"/>
      <c r="C104" s="70"/>
      <c r="D104" s="70"/>
      <c r="E104" s="71"/>
    </row>
    <row r="105" customFormat="false" ht="15" hidden="false" customHeight="false" outlineLevel="0" collapsed="false">
      <c r="A105" s="96"/>
      <c r="B105" s="96"/>
      <c r="C105" s="97"/>
      <c r="D105" s="97"/>
      <c r="E105" s="96"/>
    </row>
    <row r="106" customFormat="false" ht="15" hidden="false" customHeight="false" outlineLevel="0" collapsed="false">
      <c r="A106" s="71"/>
      <c r="B106" s="71"/>
      <c r="C106" s="70"/>
      <c r="D106" s="70"/>
      <c r="E106" s="71"/>
    </row>
    <row r="107" customFormat="false" ht="15" hidden="false" customHeight="false" outlineLevel="0" collapsed="false">
      <c r="A107" s="96"/>
      <c r="B107" s="96"/>
      <c r="C107" s="97"/>
      <c r="D107" s="97"/>
      <c r="E107" s="96"/>
    </row>
    <row r="108" customFormat="false" ht="15" hidden="false" customHeight="false" outlineLevel="0" collapsed="false">
      <c r="A108" s="71"/>
      <c r="B108" s="71"/>
      <c r="C108" s="70"/>
      <c r="D108" s="70"/>
      <c r="E108" s="71"/>
    </row>
    <row r="109" customFormat="false" ht="15" hidden="false" customHeight="false" outlineLevel="0" collapsed="false">
      <c r="A109" s="96"/>
      <c r="B109" s="96"/>
      <c r="C109" s="97"/>
      <c r="D109" s="97"/>
      <c r="E109" s="96"/>
    </row>
    <row r="110" customFormat="false" ht="15" hidden="false" customHeight="false" outlineLevel="0" collapsed="false">
      <c r="A110" s="71"/>
      <c r="B110" s="71"/>
      <c r="C110" s="70"/>
      <c r="D110" s="70"/>
      <c r="E110" s="71"/>
    </row>
    <row r="111" customFormat="false" ht="15" hidden="false" customHeight="false" outlineLevel="0" collapsed="false">
      <c r="A111" s="96"/>
      <c r="B111" s="96"/>
      <c r="C111" s="97"/>
      <c r="D111" s="97"/>
      <c r="E111" s="96"/>
    </row>
    <row r="112" customFormat="false" ht="15" hidden="false" customHeight="false" outlineLevel="0" collapsed="false">
      <c r="A112" s="71"/>
      <c r="B112" s="71"/>
      <c r="C112" s="70"/>
      <c r="D112" s="70"/>
      <c r="E112" s="71"/>
    </row>
    <row r="113" customFormat="false" ht="15" hidden="false" customHeight="false" outlineLevel="0" collapsed="false">
      <c r="A113" s="96"/>
      <c r="B113" s="96"/>
      <c r="C113" s="97"/>
      <c r="D113" s="97"/>
      <c r="E113" s="96"/>
    </row>
    <row r="114" customFormat="false" ht="15" hidden="false" customHeight="false" outlineLevel="0" collapsed="false">
      <c r="A114" s="71"/>
      <c r="B114" s="71"/>
      <c r="C114" s="70"/>
      <c r="D114" s="70"/>
      <c r="E114" s="71"/>
    </row>
    <row r="115" customFormat="false" ht="15" hidden="false" customHeight="false" outlineLevel="0" collapsed="false">
      <c r="A115" s="96"/>
      <c r="B115" s="96"/>
      <c r="C115" s="97"/>
      <c r="D115" s="97"/>
      <c r="E115" s="96"/>
    </row>
    <row r="116" customFormat="false" ht="15" hidden="false" customHeight="false" outlineLevel="0" collapsed="false">
      <c r="A116" s="71"/>
      <c r="B116" s="71"/>
      <c r="C116" s="70"/>
      <c r="D116" s="70"/>
      <c r="E116" s="71"/>
    </row>
    <row r="117" customFormat="false" ht="15" hidden="false" customHeight="false" outlineLevel="0" collapsed="false">
      <c r="A117" s="96"/>
      <c r="B117" s="96"/>
      <c r="C117" s="97"/>
      <c r="D117" s="97"/>
      <c r="E117" s="96"/>
    </row>
    <row r="118" customFormat="false" ht="15" hidden="false" customHeight="false" outlineLevel="0" collapsed="false">
      <c r="A118" s="71"/>
      <c r="B118" s="71"/>
      <c r="C118" s="70"/>
      <c r="D118" s="70"/>
      <c r="E118" s="71"/>
    </row>
    <row r="119" customFormat="false" ht="15" hidden="false" customHeight="false" outlineLevel="0" collapsed="false">
      <c r="A119" s="96"/>
      <c r="B119" s="96"/>
      <c r="C119" s="97"/>
      <c r="D119" s="97"/>
      <c r="E119" s="96"/>
    </row>
    <row r="120" customFormat="false" ht="15" hidden="false" customHeight="false" outlineLevel="0" collapsed="false">
      <c r="A120" s="71"/>
      <c r="B120" s="71"/>
      <c r="C120" s="70"/>
      <c r="D120" s="70"/>
      <c r="E120" s="71"/>
    </row>
    <row r="121" customFormat="false" ht="15" hidden="false" customHeight="false" outlineLevel="0" collapsed="false">
      <c r="A121" s="96"/>
      <c r="B121" s="96"/>
      <c r="C121" s="97"/>
      <c r="D121" s="97"/>
      <c r="E121" s="96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98" t="s">
        <v>268</v>
      </c>
    </row>
    <row r="3" customFormat="false" ht="15" hidden="false" customHeight="false" outlineLevel="0" collapsed="false">
      <c r="A3" s="99" t="s">
        <v>269</v>
      </c>
    </row>
    <row r="4" customFormat="false" ht="23.85" hidden="false" customHeight="false" outlineLevel="0" collapsed="false">
      <c r="A4" s="100" t="s">
        <v>270</v>
      </c>
    </row>
    <row r="5" customFormat="false" ht="15" hidden="false" customHeight="false" outlineLevel="0" collapsed="false">
      <c r="A5" s="100" t="s">
        <v>271</v>
      </c>
    </row>
    <row r="6" customFormat="false" ht="15" hidden="false" customHeight="false" outlineLevel="0" collapsed="false">
      <c r="A6" s="100" t="s">
        <v>272</v>
      </c>
    </row>
    <row r="7" customFormat="false" ht="15" hidden="false" customHeight="false" outlineLevel="0" collapsed="false">
      <c r="A7" s="100" t="s">
        <v>273</v>
      </c>
    </row>
    <row r="9" customFormat="false" ht="15" hidden="false" customHeight="false" outlineLevel="0" collapsed="false">
      <c r="A9" s="99" t="s">
        <v>274</v>
      </c>
    </row>
    <row r="10" customFormat="false" ht="23.85" hidden="false" customHeight="false" outlineLevel="0" collapsed="false">
      <c r="A10" s="100" t="s">
        <v>275</v>
      </c>
    </row>
    <row r="11" customFormat="false" ht="23.85" hidden="false" customHeight="false" outlineLevel="0" collapsed="false">
      <c r="A11" s="100" t="s">
        <v>276</v>
      </c>
    </row>
    <row r="12" customFormat="false" ht="15" hidden="false" customHeight="false" outlineLevel="0" collapsed="false">
      <c r="A12" s="100" t="s">
        <v>277</v>
      </c>
    </row>
    <row r="13" customFormat="false" ht="15" hidden="false" customHeight="false" outlineLevel="0" collapsed="false">
      <c r="A13" s="100" t="s">
        <v>278</v>
      </c>
    </row>
    <row r="15" customFormat="false" ht="15" hidden="false" customHeight="false" outlineLevel="0" collapsed="false">
      <c r="A15" s="99" t="s">
        <v>279</v>
      </c>
    </row>
    <row r="16" customFormat="false" ht="15" hidden="false" customHeight="false" outlineLevel="0" collapsed="false">
      <c r="A16" s="100" t="s">
        <v>280</v>
      </c>
    </row>
    <row r="17" customFormat="false" ht="15" hidden="false" customHeight="false" outlineLevel="0" collapsed="false">
      <c r="A17" s="100" t="s">
        <v>281</v>
      </c>
    </row>
    <row r="18" customFormat="false" ht="15" hidden="false" customHeight="false" outlineLevel="0" collapsed="false">
      <c r="A18" s="100" t="s">
        <v>282</v>
      </c>
    </row>
    <row r="20" customFormat="false" ht="15" hidden="false" customHeight="false" outlineLevel="0" collapsed="false">
      <c r="A20" s="99" t="s">
        <v>283</v>
      </c>
    </row>
    <row r="21" customFormat="false" ht="15" hidden="false" customHeight="false" outlineLevel="0" collapsed="false">
      <c r="A21" s="100" t="s">
        <v>284</v>
      </c>
    </row>
    <row r="22" customFormat="false" ht="15" hidden="false" customHeight="false" outlineLevel="0" collapsed="false">
      <c r="A22" s="100" t="s">
        <v>285</v>
      </c>
    </row>
    <row r="23" customFormat="false" ht="15" hidden="false" customHeight="false" outlineLevel="0" collapsed="false">
      <c r="A23" s="100" t="s">
        <v>286</v>
      </c>
    </row>
    <row r="25" customFormat="false" ht="15" hidden="false" customHeight="false" outlineLevel="0" collapsed="false">
      <c r="A25" s="99" t="s">
        <v>287</v>
      </c>
    </row>
    <row r="26" customFormat="false" ht="23.85" hidden="false" customHeight="false" outlineLevel="0" collapsed="false">
      <c r="A26" s="10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2026-07-21T23:10:56Z</dcterms:created>
  <dc:creator>openpyxl</dc:creator>
  <dc:description/>
  <dc:language>en-US</dc:language>
  <cp:lastModifiedBy/>
  <dcterms:modified xsi:type="dcterms:W3CDTF">2026-07-21T17:11:15Z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