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xl/charts/style1.xml" ContentType="application/vnd.ms-office.chartstyle+xml"/>
  <Override PartName="/xl/charts/style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colors14.xml" ContentType="application/vnd.ms-office.chartcolorstyle+xml"/>
  <Override PartName="/xl/charts/style15.xml" ContentType="application/vnd.ms-office.chartstyle+xml"/>
  <Override PartName="/xl/charts/chart8.xml" ContentType="application/vnd.openxmlformats-officedocument.drawingml.chart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hart1.xml" ContentType="application/vnd.openxmlformats-officedocument.drawingml.chart+xml"/>
  <Override PartName="/xl/charts/chart11.xml" ContentType="application/vnd.openxmlformats-officedocument.drawingml.chart+xml"/>
  <Override PartName="/xl/charts/colors5.xml" ContentType="application/vnd.ms-office.chartcolorstyle+xml"/>
  <Override PartName="/xl/charts/colors16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colors7.xml" ContentType="application/vnd.ms-office.chartcolorstyle+xml"/>
  <Override PartName="/xl/charts/chart6.xml" ContentType="application/vnd.openxmlformats-officedocument.drawingml.chart+xml"/>
  <Override PartName="/xl/charts/chart3.xml" ContentType="application/vnd.openxmlformats-officedocument.drawingml.chart+xml"/>
  <Override PartName="/xl/charts/colors8.xml" ContentType="application/vnd.ms-office.chartcolorstyle+xml"/>
  <Override PartName="/xl/charts/colors11.xml" ContentType="application/vnd.ms-office.chartcolorstyle+xml"/>
  <Override PartName="/xl/charts/style7.xml" ContentType="application/vnd.ms-office.chartstyle+xml"/>
  <Override PartName="/xl/charts/chart14.xml" ContentType="application/vnd.openxmlformats-officedocument.drawingml.chart+xml"/>
  <Override PartName="/xl/charts/chart12.xml" ContentType="application/vnd.openxmlformats-officedocument.drawingml.chart+xml"/>
  <Override PartName="/xl/charts/style16.xml" ContentType="application/vnd.ms-office.chartstyle+xml"/>
  <Override PartName="/xl/charts/colors12.xml" ContentType="application/vnd.ms-office.chartcolorstyle+xml"/>
  <Override PartName="/xl/charts/style11.xml" ContentType="application/vnd.ms-office.chartstyle+xml"/>
  <Override PartName="/xl/charts/colors10.xml" ContentType="application/vnd.ms-office.chartcolorstyle+xml"/>
  <Override PartName="/xl/charts/chart4.xml" ContentType="application/vnd.openxmlformats-officedocument.drawingml.chart+xml"/>
  <Override PartName="/xl/charts/colors1.xml" ContentType="application/vnd.ms-office.chartcolorstyle+xml"/>
  <Override PartName="/xl/charts/chart10.xml" ContentType="application/vnd.openxmlformats-officedocument.drawingml.chart+xml"/>
  <Override PartName="/xl/charts/colors13.xml" ContentType="application/vnd.ms-office.chartcolorstyle+xml"/>
  <Override PartName="/xl/charts/style9.xml" ContentType="application/vnd.ms-office.chartstyle+xml"/>
  <Override PartName="/xl/charts/colors4.xml" ContentType="application/vnd.ms-office.chartcolor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colors3.xml" ContentType="application/vnd.ms-office.chartcolorstyle+xml"/>
  <Override PartName="/xl/charts/chart15.xml" ContentType="application/vnd.openxmlformats-officedocument.drawingml.chart+xml"/>
  <Override PartName="/xl/charts/style8.xml" ContentType="application/vnd.ms-office.chartstyle+xml"/>
  <Override PartName="/xl/charts/style12.xml" ContentType="application/vnd.ms-office.chartstyle+xml"/>
  <Override PartName="/xl/charts/chart13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style10.xml" ContentType="application/vnd.ms-office.chartstyle+xml"/>
  <Override PartName="/xl/charts/colors15.xml" ContentType="application/vnd.ms-office.chartcolorstyle+xml"/>
  <Override PartName="/xl/charts/chart7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1. Smart User 500" sheetId="2" state="visible" r:id="rId4"/>
    <sheet name="2. MV Advisory" sheetId="3" state="visible" r:id="rId5"/>
    <sheet name="3. Negocios +30K GP" sheetId="4" state="visible" r:id="rId6"/>
    <sheet name="4. Entregas 100%" sheetId="5" state="visible" r:id="rId7"/>
    <sheet name="5. MV Datacenter" sheetId="6" state="visible" r:id="rId8"/>
    <sheet name="6. Cero Expired" sheetId="7" state="visible" r:id="rId9"/>
    <sheet name="7. MV Digital Sol" sheetId="8" state="visible" r:id="rId10"/>
    <sheet name="8. GP 16%" sheetId="9" state="visible" r:id="rId11"/>
    <sheet name="9. CSAT" sheetId="10" state="visible" r:id="rId12"/>
    <sheet name="10. Apalancamiento" sheetId="11" state="visible" r:id="rId13"/>
    <sheet name="11. Recuperar DS" sheetId="12" state="visible" r:id="rId14"/>
    <sheet name="12. Utilizacion" sheetId="13" state="visible" r:id="rId15"/>
    <sheet name="2027" sheetId="14" state="visible" r:id="rId16"/>
    <sheet name="2028" sheetId="15" state="visible" r:id="rId17"/>
    <sheet name="2029" sheetId="16" state="visible" r:id="rId18"/>
    <sheet name="Tareas" sheetId="17" state="visible" r:id="rId19"/>
    <sheet name="Instruccione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<sst xmlns="http://schemas.openxmlformats.org/spreadsheetml/2006/main" count="749" uniqueCount="258">
  <si>
    <t xml:space="preserve">Tablero 4DX — GBM Nicaragua</t>
  </si>
  <si>
    <t xml:space="preserve">WIG de la compañía: Construir la utilidad neta (NAT) de Nicaragua — $1M en 2027, $2M (7%) en 2028, $2.4M (8%) en 2029</t>
  </si>
  <si>
    <t xml:space="preserve">Metas de Utilidad Neta (NAT) 2027 → 2029  (base 2026)</t>
  </si>
  <si>
    <t xml:space="preserve">Año</t>
  </si>
  <si>
    <t xml:space="preserve">Ingreso</t>
  </si>
  <si>
    <t xml:space="preserve">GP %</t>
  </si>
  <si>
    <t xml:space="preserve">Meta NAT</t>
  </si>
  <si>
    <t xml:space="preserve">NAT %</t>
  </si>
  <si>
    <t xml:space="preserve">NAT real</t>
  </si>
  <si>
    <t xml:space="preserve">Estado</t>
  </si>
  <si>
    <t xml:space="preserve">Ir a pestaña</t>
  </si>
  <si>
    <t xml:space="preserve">2026 (estimado)</t>
  </si>
  <si>
    <t xml:space="preserve">2027 (meta)</t>
  </si>
  <si>
    <t xml:space="preserve">Ver 2027</t>
  </si>
  <si>
    <t xml:space="preserve">2028 (meta)</t>
  </si>
  <si>
    <t xml:space="preserve">Ver 2028</t>
  </si>
  <si>
    <t xml:space="preserve">2029 (meta)</t>
  </si>
  <si>
    <t xml:space="preserve">Ver 2029</t>
  </si>
  <si>
    <t xml:space="preserve">El tope de impuesto mínimo (3% sobre ventas) fija el piso de impuestos; por eso la meta se gana en GP% y en mantener el costo local plano, no solo en crecer ventas.</t>
  </si>
  <si>
    <t xml:space="preserve">Cobertura de backlog — GP comprometido vs meta del año</t>
  </si>
  <si>
    <t xml:space="preserve">GP meta</t>
  </si>
  <si>
    <t xml:space="preserve">GP comprometido</t>
  </si>
  <si>
    <t xml:space="preserve">Brecha (falta vender)</t>
  </si>
  <si>
    <t xml:space="preserve">% cobertura</t>
  </si>
  <si>
    <t xml:space="preserve">Seguimiento mensual NAT — año en curso</t>
  </si>
  <si>
    <t xml:space="preserve">Meta anual NAT:</t>
  </si>
  <si>
    <t xml:space="preserve">Mes</t>
  </si>
  <si>
    <t xml:space="preserve">Meta mensual</t>
  </si>
  <si>
    <t xml:space="preserve">Meta acum.</t>
  </si>
  <si>
    <t xml:space="preserve">Real acum.</t>
  </si>
  <si>
    <t xml:space="preserve">% avance</t>
  </si>
  <si>
    <t xml:space="preserve">WIGs de soporte — estado al último dato ingresado</t>
  </si>
  <si>
    <t xml:space="preserve">#</t>
  </si>
  <si>
    <t xml:space="preserve">WIG de soporte</t>
  </si>
  <si>
    <t xml:space="preserve">Dueño</t>
  </si>
  <si>
    <t xml:space="preserve">Equipo</t>
  </si>
  <si>
    <t xml:space="preserve">Meta</t>
  </si>
  <si>
    <t xml:space="preserve">Último real</t>
  </si>
  <si>
    <t xml:space="preserve">Incrementar el Parque de Smart User en 500 equipos en el 2026</t>
  </si>
  <si>
    <t xml:space="preserve">Pre-Sales, Del - DEX</t>
  </si>
  <si>
    <t xml:space="preserve">1. Smart User 500</t>
  </si>
  <si>
    <t xml:space="preserve">Lograr un Monthly Value de $X en advisory en el primer trimestre de 2027</t>
  </si>
  <si>
    <t xml:space="preserve">Ventas, Customer Success, Pre-Sales, Del - TSS</t>
  </si>
  <si>
    <t xml:space="preserve">2. MV Advisory</t>
  </si>
  <si>
    <t xml:space="preserve">Reconocer 10 negocios mayores a $30K de GP en el 2027</t>
  </si>
  <si>
    <t xml:space="preserve">Ventas, Pre-Sales</t>
  </si>
  <si>
    <t xml:space="preserve">3. Negocios +30K GP</t>
  </si>
  <si>
    <t xml:space="preserve">Cumplir el 100% de entregas y colocaciones en tiempo y forma</t>
  </si>
  <si>
    <t xml:space="preserve">Finanzas</t>
  </si>
  <si>
    <t xml:space="preserve">4. Entregas 100%</t>
  </si>
  <si>
    <t xml:space="preserve">Incrementar el MV de servicios basados en el DC GBM San Marcos en $20,000</t>
  </si>
  <si>
    <t xml:space="preserve">Pre-Sales, Del - DC</t>
  </si>
  <si>
    <t xml:space="preserve">5. MV Datacenter</t>
  </si>
  <si>
    <t xml:space="preserve">Tener cero contratos expired en al menos 16 de los próximos 18 meses</t>
  </si>
  <si>
    <t xml:space="preserve">Customer Success, Del - DEX, Del - TSS, Del - DC</t>
  </si>
  <si>
    <t xml:space="preserve">6. Cero Expired</t>
  </si>
  <si>
    <t xml:space="preserve">Incrementar el MV de Digital Solutions en $30K/mes al 1ro de mayo 2027</t>
  </si>
  <si>
    <t xml:space="preserve">Ventas, Del - DS</t>
  </si>
  <si>
    <t xml:space="preserve">7. MV Digital Sol</t>
  </si>
  <si>
    <t xml:space="preserve">Lograr un GP consolidado de 16% en el 2027</t>
  </si>
  <si>
    <t xml:space="preserve">Finanzas (todas las áreas aportan)</t>
  </si>
  <si>
    <t xml:space="preserve">8. GP 16%</t>
  </si>
  <si>
    <t xml:space="preserve">Incrementar el CSAT de X a Y, sosteniéndolo 4 meses consecutivos</t>
  </si>
  <si>
    <t xml:space="preserve">Customer Success (todas las áreas de entrega aportan)</t>
  </si>
  <si>
    <t xml:space="preserve">9. CSAT</t>
  </si>
  <si>
    <t xml:space="preserve">Sostener costos locales planos mientras crece el ingreso (apalancamiento operativo)</t>
  </si>
  <si>
    <t xml:space="preserve">Finanzas, Customer Success, todas las áreas locales</t>
  </si>
  <si>
    <t xml:space="preserve">10. Apalancamiento</t>
  </si>
  <si>
    <t xml:space="preserve">Recuperar el margen de Digital Solutions y eliminar líneas con GP negativo</t>
  </si>
  <si>
    <t xml:space="preserve">Ventas, Pre-Sales, Del - DS, Finanzas</t>
  </si>
  <si>
    <t xml:space="preserve">11. Recuperar DS</t>
  </si>
  <si>
    <t xml:space="preserve">Subir la utilización facturable de ingenieros locales de 42% a 48%+</t>
  </si>
  <si>
    <t xml:space="preserve">Del - TSS, Del - DC, Customer Success, Pre-Sales</t>
  </si>
  <si>
    <t xml:space="preserve">12. Utilizacion</t>
  </si>
  <si>
    <t xml:space="preserve">WIG 1 — Incrementar el Parque de Smart User en 500 equipos en el 2026</t>
  </si>
  <si>
    <t xml:space="preserve">Indicador lag:</t>
  </si>
  <si>
    <t xml:space="preserve">Equipos Smart User colocados (acumulado). 500 equipos a $40/mes = $6.4K MRR adicional en GP.</t>
  </si>
  <si>
    <t xml:space="preserve">De X a Y:</t>
  </si>
  <si>
    <t xml:space="preserve">De 0 a 500 equipos colocados, antes del 31 de diciembre de 2026.</t>
  </si>
  <si>
    <t xml:space="preserve">Dueño:</t>
  </si>
  <si>
    <t xml:space="preserve">Por asignar</t>
  </si>
  <si>
    <t xml:space="preserve">Equipo:</t>
  </si>
  <si>
    <t xml:space="preserve">Meta:</t>
  </si>
  <si>
    <t xml:space="preserve">Inicio:</t>
  </si>
  <si>
    <t xml:space="preserve">Fin:</t>
  </si>
  <si>
    <t xml:space="preserve">Leads:</t>
  </si>
  <si>
    <t xml:space="preserve">Hasta 8 indicadores predictivos a la derecha. L1–L2 = apuesta principal del equipo; L3–L8 = indicadores de apoyo. Nombre (fila 8) y meta semanal (fila 9) editables en azul.</t>
  </si>
  <si>
    <t xml:space="preserve">Periodos:</t>
  </si>
  <si>
    <t xml:space="preserve">Lead →</t>
  </si>
  <si>
    <t xml:space="preserve">L1. Compromisos de asignación firmados (equipos)</t>
  </si>
  <si>
    <t xml:space="preserve">L2. Demos / POCs activos (Promerica, Disnorte, otros)</t>
  </si>
  <si>
    <t xml:space="preserve">L3. Presentaciones de oferta Smart User realizadas</t>
  </si>
  <si>
    <t xml:space="preserve">L4. Equipos cotizados en la semana</t>
  </si>
  <si>
    <t xml:space="preserve">L5. Equipos en bodega listos para colocar</t>
  </si>
  <si>
    <t xml:space="preserve">L6. Clientes nuevos contactados con la oferta</t>
  </si>
  <si>
    <t xml:space="preserve">L7. % equipos colocados en ≤2 semanas tras firma</t>
  </si>
  <si>
    <t xml:space="preserve">(Disponible)</t>
  </si>
  <si>
    <t xml:space="preserve">Celdas azules = se digitan cada lunes. Celdas negras = fórmulas, no tocar.</t>
  </si>
  <si>
    <t xml:space="preserve">Meta →</t>
  </si>
  <si>
    <t xml:space="preserve">Semana</t>
  </si>
  <si>
    <t xml:space="preserve">Meta semana</t>
  </si>
  <si>
    <t xml:space="preserve">Real</t>
  </si>
  <si>
    <t xml:space="preserve">%</t>
  </si>
  <si>
    <t xml:space="preserve">WIG 2 — Lograr un Monthly Value de $X en advisory en el primer trimestre de 2027</t>
  </si>
  <si>
    <t xml:space="preserve">MV de horas advisory de ingenieros locales vendidas (USD acumulado). Costo fijo ya cubierto = mayor utilidad.</t>
  </si>
  <si>
    <t xml:space="preserve">De $0 a la meta de MV advisory, antes del 31 de marzo de 2027. (Definir $X en la celda Meta)</t>
  </si>
  <si>
    <t xml:space="preserve">L1. Propuestas de advisory presentadas</t>
  </si>
  <si>
    <t xml:space="preserve">L2. Horas advisory cotizadas</t>
  </si>
  <si>
    <t xml:space="preserve">L3. Reuniones de venta consultiva con clientes</t>
  </si>
  <si>
    <t xml:space="preserve">L4. Assessments / health checks ofrecidos</t>
  </si>
  <si>
    <t xml:space="preserve">L5. % utilización de ingenieros locales en advisory</t>
  </si>
  <si>
    <t xml:space="preserve">L6. Opps de advisory activas en pipeline</t>
  </si>
  <si>
    <t xml:space="preserve">L7. Contratos advisory firmados en la semana</t>
  </si>
  <si>
    <t xml:space="preserve">WIG 3 — Reconocer 10 negocios mayores a $30K de GP en el 2027</t>
  </si>
  <si>
    <t xml:space="preserve">Negocios con GP &gt; $30K reconocidos (acumulado). Negocios grandes que mueven el NAT.</t>
  </si>
  <si>
    <t xml:space="preserve">De 0 a 10 negocios &gt; $30K GP reconocidos, antes del 31 de diciembre de 2027.</t>
  </si>
  <si>
    <t xml:space="preserve">L1. Opps &gt; $30K GP activas en pipeline</t>
  </si>
  <si>
    <t xml:space="preserve">L2. Opps nuevas ingresadas en la semana</t>
  </si>
  <si>
    <t xml:space="preserve">L3. Propuestas &gt; $30K presentadas</t>
  </si>
  <si>
    <t xml:space="preserve">L4. Reuniones C-level realizadas</t>
  </si>
  <si>
    <t xml:space="preserve">L5. Leads activas al cierre de la semana</t>
  </si>
  <si>
    <t xml:space="preserve">L6. Opps &gt; $30K avanzadas de etapa</t>
  </si>
  <si>
    <t xml:space="preserve">L7. Win rate de opps &gt; $30K (acumulado)</t>
  </si>
  <si>
    <t xml:space="preserve">WIG 4 — Cumplir el 100% de entregas y colocaciones en tiempo y forma</t>
  </si>
  <si>
    <t xml:space="preserve">% de colocaciones y entregas de la semana realizadas en tiempo y forma.</t>
  </si>
  <si>
    <t xml:space="preserve">Sostener 100% de cumplimiento semanal durante todo el periodo.</t>
  </si>
  <si>
    <t xml:space="preserve">L1. % entregas programadas con checklist completo</t>
  </si>
  <si>
    <t xml:space="preserve">L2. Riesgos de entrega escalados ≥1 semana antes</t>
  </si>
  <si>
    <t xml:space="preserve">L3. % órdenes de compra liberadas a tiempo</t>
  </si>
  <si>
    <t xml:space="preserve">L4. % inventario confirmado ≥5 días antes</t>
  </si>
  <si>
    <t xml:space="preserve">L5. Coordinaciones logísticas confirmadas</t>
  </si>
  <si>
    <t xml:space="preserve">L6. % facturas emitidas ≤48h tras la entrega</t>
  </si>
  <si>
    <t xml:space="preserve">Brecha vs meta</t>
  </si>
  <si>
    <t xml:space="preserve">WIG 5 — Incrementar el MV de servicios basados en el DC GBM San Marcos en $20,000</t>
  </si>
  <si>
    <t xml:space="preserve">MV nuevo firmado de servicios basados desde el datacenter (USD acumulado).</t>
  </si>
  <si>
    <t xml:space="preserve">De $0 a +$20,000 de MV incremental, antes del 31 de diciembre de 2027.</t>
  </si>
  <si>
    <t xml:space="preserve">L1. Propuestas de servicios DC presentadas</t>
  </si>
  <si>
    <t xml:space="preserve">L2. Workloads nuevos aprovisionados / migrados</t>
  </si>
  <si>
    <t xml:space="preserve">L3. Assessments de migración realizados</t>
  </si>
  <si>
    <t xml:space="preserve">L4. Opps DC activas en pipeline</t>
  </si>
  <si>
    <t xml:space="preserve">L5. Clientes contactados con oferta DC</t>
  </si>
  <si>
    <t xml:space="preserve">L6. % capacidad DC documentada y actualizada</t>
  </si>
  <si>
    <t xml:space="preserve">WIG 6 — Tener cero contratos expired en al menos 16 de los próximos 18 meses</t>
  </si>
  <si>
    <t xml:space="preserve">Contratos en estado Expired / On-Hold al cierre de la semana (meta: 0).</t>
  </si>
  <si>
    <t xml:space="preserve">De N a 0 contratos expired, sosteniéndolo en 16 de los próximos 18 meses (jun 2026 – dic 2027).</t>
  </si>
  <si>
    <t xml:space="preserve">L1. % contratos por vencer en 90 días con plan</t>
  </si>
  <si>
    <t xml:space="preserve">L2. Renovaciones cerradas a tiempo en la semana</t>
  </si>
  <si>
    <t xml:space="preserve">L3. Cotizaciones de renovación enviadas ≥60 días antes</t>
  </si>
  <si>
    <t xml:space="preserve">L4. QBRs con clientes en riesgo de no renovar</t>
  </si>
  <si>
    <t xml:space="preserve">L5. % contratos on-hold con plan de reactivación</t>
  </si>
  <si>
    <t xml:space="preserve">L6. Forecast de renovaciones actualizado (1 = sí)</t>
  </si>
  <si>
    <t xml:space="preserve">WIG 7 — Incrementar el MV de Digital Solutions en $30K/mes al 1ro de mayo 2027</t>
  </si>
  <si>
    <t xml:space="preserve">MV incremental firmado de servicios Digital Solutions (SOC y Célula), USD acumulado.</t>
  </si>
  <si>
    <t xml:space="preserve">De $0 a +$30,000 de MV mensual, antes del 1 de mayo de 2027.</t>
  </si>
  <si>
    <t xml:space="preserve">L1. Opps SOC / Célula activas en pipeline</t>
  </si>
  <si>
    <t xml:space="preserve">L2. Propuestas DS presentadas</t>
  </si>
  <si>
    <t xml:space="preserve">L3. Demos / PoV de SOC ejecutados</t>
  </si>
  <si>
    <t xml:space="preserve">L4. Workshops de células de desarrollo</t>
  </si>
  <si>
    <t xml:space="preserve">L5. Casos de éxito / referencias compartidas</t>
  </si>
  <si>
    <t xml:space="preserve">L6. Opps DS avanzadas de etapa</t>
  </si>
  <si>
    <t xml:space="preserve">WIG 8 — Lograr un GP consolidado de 16% en el 2027</t>
  </si>
  <si>
    <t xml:space="preserve">GP consolidado del mes (%).</t>
  </si>
  <si>
    <t xml:space="preserve">De GP actual a 16% consolidado sostenido en 2027.</t>
  </si>
  <si>
    <t xml:space="preserve">Hasta 8 indicadores predictivos a la derecha. L1–L2 = apuesta principal del equipo; L3–L8 = indicadores de apoyo. Nombre (fila 8) y meta mensual (fila 9) editables en azul.</t>
  </si>
  <si>
    <t xml:space="preserve">L1. % distribuciones del mes vs plan de baja distribución</t>
  </si>
  <si>
    <t xml:space="preserve">L2. % reservas (inventario + ITA + IR) bajo el tope del plan</t>
  </si>
  <si>
    <t xml:space="preserve">L3. % negocios cotizados con GP ≥ margen mínimo</t>
  </si>
  <si>
    <t xml:space="preserve">L4. Acciones de recuperación de margen ejecutadas</t>
  </si>
  <si>
    <t xml:space="preserve">L5. Revisiones de pricing realizadas en el mes</t>
  </si>
  <si>
    <t xml:space="preserve">L6. % proyectos con revisión de rentabilidad mensual</t>
  </si>
  <si>
    <t xml:space="preserve">WIG 9 — Incrementar el CSAT de X a Y, sosteniéndolo 4 meses consecutivos</t>
  </si>
  <si>
    <t xml:space="preserve">CSAT del mes (puntaje de encuestas de satisfacción).</t>
  </si>
  <si>
    <t xml:space="preserve">De X a Y, con 4 meses consecutivos en la meta. (Definir X y Y en la celda Meta)</t>
  </si>
  <si>
    <t xml:space="preserve">L1. % encuestas CSAT enviadas y respondidas</t>
  </si>
  <si>
    <t xml:space="preserve">L2. QBRs / touchpoints de CS ejecutados</t>
  </si>
  <si>
    <t xml:space="preserve">L3. % detractores con plan de acción en ≤5 días</t>
  </si>
  <si>
    <t xml:space="preserve">L4. % casos críticos resueltos dentro del SLA</t>
  </si>
  <si>
    <t xml:space="preserve">L5. Llamadas proactivas de CSM en el mes</t>
  </si>
  <si>
    <t xml:space="preserve">L6. Promotores contactados para referencia</t>
  </si>
  <si>
    <t xml:space="preserve">WIG 10 — Sostener costos locales planos mientras crece el ingreso (apalancamiento operativo)</t>
  </si>
  <si>
    <t xml:space="preserve">Costo indirecto local + OREX del mes como % del ingreso del mes (objetivo: que BAJE al crecer ventas).</t>
  </si>
  <si>
    <t xml:space="preserve">De ~13% (local+OREX / ingreso) hacia ≤9% sostenido, manteniendo el costo local en valor absoluto plano mientras el ingreso crece.</t>
  </si>
  <si>
    <t xml:space="preserve">L1. Costo local absoluto del mes vs. mes base (≤100%)</t>
  </si>
  <si>
    <t xml:space="preserve">L2. Headcount local de apoyo vs. plan plano (≤100%)</t>
  </si>
  <si>
    <t xml:space="preserve">L3. Vacantes de apoyo cubiertas con productividad, no contratación</t>
  </si>
  <si>
    <t xml:space="preserve">L4. % de crecimiento de ingreso absorbido sin nuevo costo local</t>
  </si>
  <si>
    <t xml:space="preserve">L5. Iniciativas de automatización/eficiencia en marcha</t>
  </si>
  <si>
    <t xml:space="preserve">L6. Revisión mensual de costo local por área ejecutada (1 = sí)</t>
  </si>
  <si>
    <t xml:space="preserve">WIG 11 — Recuperar el margen de Digital Solutions y eliminar líneas con GP negativo</t>
  </si>
  <si>
    <t xml:space="preserve">GP del mes de las líneas hoy negativas (Digital Solutions + service-attach): de negativo a positivo (USD).</t>
  </si>
  <si>
    <t xml:space="preserve">De ~-$78K/mes de arrastre (DS + líneas negativas) a GP ≥ $0 y luego positivo, antes de dic 2027.</t>
  </si>
  <si>
    <t xml:space="preserve">L1. % negocios DS cotizados con GP ≥ piso de margen</t>
  </si>
  <si>
    <t xml:space="preserve">L2. Líneas con GP negativo re-precificadas o cerradas (acum.)</t>
  </si>
  <si>
    <t xml:space="preserve">L3. Contratos DS renegociados al alza en el mes</t>
  </si>
  <si>
    <t xml:space="preserve">L4. % utilización de la célula / SOC</t>
  </si>
  <si>
    <t xml:space="preserve">L5. Revisión de rentabilidad por línea DS ejecutada (1 = sí)</t>
  </si>
  <si>
    <t xml:space="preserve">L6. Casos de service-attach negativo investigados</t>
  </si>
  <si>
    <t xml:space="preserve">WIG 12 — Subir la utilización facturable de ingenieros locales de 42% a 48%+</t>
  </si>
  <si>
    <t xml:space="preserve">% de horas facturables sobre horas disponibles de los ingenieros locales (mes). Costo ya fijo = margen directo.</t>
  </si>
  <si>
    <t xml:space="preserve">De 42% a ≥48% de utilización facturable, sostenido, antes de dic 2027.</t>
  </si>
  <si>
    <t xml:space="preserve">L1. Horas facturables registradas en el mes vs. meta</t>
  </si>
  <si>
    <t xml:space="preserve">L2. % de timesheets completos y a tiempo</t>
  </si>
  <si>
    <t xml:space="preserve">L3. Horas advisory/billable vendidas en el mes</t>
  </si>
  <si>
    <t xml:space="preserve">L4. Ingenieros con utilización &lt; 40% con plan de acción</t>
  </si>
  <si>
    <t xml:space="preserve">L5. Proyectos con staffing confirmado 2 semanas antes</t>
  </si>
  <si>
    <t xml:space="preserve">L6. % de horas no facturables justificadas/categorizadas</t>
  </si>
  <si>
    <t xml:space="preserve">2027 — Meta de Utilidad Neta (NAT)</t>
  </si>
  <si>
    <t xml:space="preserve">Meta de utilidad neta después de impuestos para 2027. Debajo: el camino de GP y la cobertura de backlog — cuánto GP ya está comprometido por contratos conocidos y cuánto falta vender. Se actualiza cada semana de 2026.</t>
  </si>
  <si>
    <t xml:space="preserve">Ingreso meta:</t>
  </si>
  <si>
    <t xml:space="preserve">GP meta %:</t>
  </si>
  <si>
    <t xml:space="preserve">GP meta (Ingreso × GP%):</t>
  </si>
  <si>
    <t xml:space="preserve">META NAT (utilidad neta):</t>
  </si>
  <si>
    <t xml:space="preserve">GP comprometido (último):</t>
  </si>
  <si>
    <t xml:space="preserve">% cobertura:</t>
  </si>
  <si>
    <t xml:space="preserve">Brecha (falta vender):</t>
  </si>
  <si>
    <t xml:space="preserve">Margen NAT (NAT / Ingreso):</t>
  </si>
  <si>
    <t xml:space="preserve">Backlog comprometido por semana (2027)</t>
  </si>
  <si>
    <t xml:space="preserve">GP comprometido (acum.)</t>
  </si>
  <si>
    <t xml:space="preserve">Brecha</t>
  </si>
  <si>
    <t xml:space="preserve">2028 — Meta de Utilidad Neta (NAT)</t>
  </si>
  <si>
    <t xml:space="preserve">Meta de utilidad neta después de impuestos para 2028. Debajo: el camino de GP y la cobertura de backlog — cuánto GP ya está comprometido por contratos conocidos y cuánto falta vender. Se actualiza cada semana de 2026.</t>
  </si>
  <si>
    <t xml:space="preserve">Backlog comprometido por semana (2028)</t>
  </si>
  <si>
    <t xml:space="preserve">2029 — Meta de Utilidad Neta (NAT)</t>
  </si>
  <si>
    <t xml:space="preserve">Meta de utilidad neta después de impuestos para 2029. Debajo: el camino de GP y la cobertura de backlog — cuánto GP ya está comprometido por contratos conocidos y cuánto falta vender. Se actualiza cada semana de 2026.</t>
  </si>
  <si>
    <t xml:space="preserve">Backlog comprometido por semana (2029)</t>
  </si>
  <si>
    <t xml:space="preserve">WIG</t>
  </si>
  <si>
    <t xml:space="preserve">Lead</t>
  </si>
  <si>
    <t xml:space="preserve">Tarea</t>
  </si>
  <si>
    <t xml:space="preserve">Responsable</t>
  </si>
  <si>
    <t xml:space="preserve">Tareas de soporte por lead: cada fila es una acción concreta que sostiene un lead measure. WIG = número de pestaña (1–12), Lead = 1–8. Aparecen en el detalle del lead en el televisor. Estado: Pendiente · En curso · Hecho.</t>
  </si>
  <si>
    <t xml:space="preserve">Presentar la oferta Smart User a 100 clientes en 2026</t>
  </si>
  <si>
    <t xml:space="preserve">Pre-Sales</t>
  </si>
  <si>
    <t xml:space="preserve">En curso</t>
  </si>
  <si>
    <t xml:space="preserve">Certificarse como Apple Authorized Service Provider para reparar equipos con mayor eficiencia</t>
  </si>
  <si>
    <t xml:space="preserve">Del - DEX</t>
  </si>
  <si>
    <t xml:space="preserve">Pendiente</t>
  </si>
  <si>
    <t xml:space="preserve">Mantener siempre 50 equipos en bodega listos para colocar</t>
  </si>
  <si>
    <t xml:space="preserve">Cómo usar este tablero 4DX</t>
  </si>
  <si>
    <t xml:space="preserve">RITUAL DEL LUNES (antes de la reunión de WIG):</t>
  </si>
  <si>
    <t xml:space="preserve">1. Cada dueño de WIG abre su pestaña y digita en las celdas AZULES de la semana: el resultado real del lag (columna "Real") y el real de cada lead measure (columnas "Real" bajo cada lead, a la derecha).</t>
  </si>
  <si>
    <t xml:space="preserve">2. Finanzas digita el NAT del mes en el Dashboard (columna "NAT real") cuando cierre el mes.</t>
  </si>
  <si>
    <t xml:space="preserve">3. El Dashboard se actualiza solo, y el marcador del televisor se refresca arrastrando este archivo a la pantalla.</t>
  </si>
  <si>
    <t xml:space="preserve">4. Suban el archivo actualizado a Claude cada lunes y pidan el marcador semanal para la reunión de cadencia.</t>
  </si>
  <si>
    <t xml:space="preserve">LEAD MEASURES (hasta 8 por WIG):</t>
  </si>
  <si>
    <t xml:space="preserve">• Cada WIG tiene hasta 8 indicadores predictivos en columnas a la derecha: el nombre (fila 8) y la meta semanal/mensual (fila 9) son editables en azul.</t>
  </si>
  <si>
    <t xml:space="preserve">• Los leads L1 y L2 son la apuesta principal: ahí el equipo rinde cuentas con compromisos semanales. L3–L8 son indicadores de apoyo que explican el resultado.</t>
  </si>
  <si>
    <t xml:space="preserve">• El % de cada lead se calcula automáticamente contra su meta. Dejar la meta vacía desactiva el lead ("(Disponible)").</t>
  </si>
  <si>
    <t xml:space="preserve">• Definan todos los leads en positivo (más = mejor) para que el % se lea igual en todos.</t>
  </si>
  <si>
    <t xml:space="preserve">TAREAS DE SOPORTE (pestaña «Tareas»):</t>
  </si>
  <si>
    <t xml:space="preserve">• Cada fila es una acción concreta que sostiene un lead measure: WIG (1–12), Lead (1–8), la tarea, el responsable y el estado.</t>
  </si>
  <si>
    <t xml:space="preserve">• Usen los desplegables de las columnas WIG, Lead y Estado (Pendiente · En curso · Hecho) para no salirse de rango.</t>
  </si>
  <si>
    <t xml:space="preserve">• Aparecen en el televisor al tocar el lead correspondiente (sección «Tareas de soporte» del detalle).</t>
  </si>
  <si>
    <t xml:space="preserve">CÓDIGO DE COLORES:</t>
  </si>
  <si>
    <t xml:space="preserve">• Texto AZUL = celdas de entrada. Texto NEGRO = fórmulas (no tocar). Texto VERDE = vínculos entre pestañas.</t>
  </si>
  <si>
    <t xml:space="preserve">• Fondo AMARILLO = supuestos pendientes de definir (dueños, metas "X" de los WIGs 2 y 9).</t>
  </si>
  <si>
    <t xml:space="preserve">• Estado: En meta ≥ 95% del plan · Riesgo 80–95% · Atrasado &lt; 80%.</t>
  </si>
  <si>
    <t xml:space="preserve">PRINCIPIO 4DX:</t>
  </si>
  <si>
    <t xml:space="preserve">Las lead measures son predictivas e influenciables por el equipo; el lag solo se mueve si las leads se cumplen. En la cadencia semanal cada quien rinde cuentas de sus compromisos sobre las leads, no sobre el lag.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</si>
</sst>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mmm\-yy"/>
    <numFmt numFmtId="168" formatCode="#,##0"/>
    <numFmt numFmtId="169" formatCode="0.0"/>
    <numFmt numFmtId="170" formatCode="dd\-mmm\-yy"/>
    <numFmt numFmtId="171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E5496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A6A6A6"/>
      <rgbColor rgb="FF993366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61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NAT 2027 — Meta vs Real (acumulado)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Dashboard!D21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Dashboard!$A$22:$A$33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Dashboard!$D$22:$D$33</c:f>
              <c:numCache>
                <c:formatCode>\$#,##0</c:formatCode>
                <c:ptCount val="12"/>
                <c:pt idx="0">
                  <c:v>83333.3333333333</c:v>
                </c:pt>
                <c:pt idx="1">
                  <c:v>166666.666666667</c:v>
                </c:pt>
                <c:pt idx="2">
                  <c:v>250000</c:v>
                </c:pt>
                <c:pt idx="3">
                  <c:v>333333.333333333</c:v>
                </c:pt>
                <c:pt idx="4">
                  <c:v>416666.666666667</c:v>
                </c:pt>
                <c:pt idx="5">
                  <c:v>500000</c:v>
                </c:pt>
                <c:pt idx="6">
                  <c:v>583333.333333333</c:v>
                </c:pt>
                <c:pt idx="7">
                  <c:v>666666.666666667</c:v>
                </c:pt>
                <c:pt idx="8">
                  <c:v>750000</c:v>
                </c:pt>
                <c:pt idx="9">
                  <c:v>833333.333333333</c:v>
                </c:pt>
                <c:pt idx="10">
                  <c:v>916666.666666667</c:v>
                </c:pt>
                <c:pt idx="11">
                  <c:v>1000000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Dashboard!E21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Dashboard!$A$22:$A$33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Dashboard!$E$22:$E$33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181191"/>
        <c:axId val="55061646"/>
      </c:lineChart>
      <c:catAx>
        <c:axId val="251811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061646"/>
        <c:crosses val="autoZero"/>
        <c:auto val="1"/>
        <c:lblAlgn val="ctr"/>
        <c:lblOffset val="100"/>
        <c:noMultiLvlLbl val="0"/>
      </c:catAx>
      <c:valAx>
        <c:axId val="55061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1811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'1. Smart User 500'!E10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Smart User 500'!$B$11:$B$39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'1. Smart User 500'!$E$11:$E$39</c:f>
              <c:numCache>
                <c:formatCode>#,##0</c:formatCode>
                <c:ptCount val="29"/>
                <c:pt idx="0">
                  <c:v>17.2413793103448</c:v>
                </c:pt>
                <c:pt idx="1">
                  <c:v>34.4827586206897</c:v>
                </c:pt>
                <c:pt idx="2">
                  <c:v>51.7241379310345</c:v>
                </c:pt>
                <c:pt idx="3">
                  <c:v>68.9655172413793</c:v>
                </c:pt>
                <c:pt idx="4">
                  <c:v>86.2068965517241</c:v>
                </c:pt>
                <c:pt idx="5">
                  <c:v>103.448275862069</c:v>
                </c:pt>
                <c:pt idx="6">
                  <c:v>120.689655172414</c:v>
                </c:pt>
                <c:pt idx="7">
                  <c:v>137.931034482759</c:v>
                </c:pt>
                <c:pt idx="8">
                  <c:v>155.172413793103</c:v>
                </c:pt>
                <c:pt idx="9">
                  <c:v>172.413793103448</c:v>
                </c:pt>
                <c:pt idx="10">
                  <c:v>189.655172413793</c:v>
                </c:pt>
                <c:pt idx="11">
                  <c:v>206.896551724138</c:v>
                </c:pt>
                <c:pt idx="12">
                  <c:v>224.137931034483</c:v>
                </c:pt>
                <c:pt idx="13">
                  <c:v>241.379310344828</c:v>
                </c:pt>
                <c:pt idx="14">
                  <c:v>258.620689655172</c:v>
                </c:pt>
                <c:pt idx="15">
                  <c:v>275.862068965517</c:v>
                </c:pt>
                <c:pt idx="16">
                  <c:v>293.103448275862</c:v>
                </c:pt>
                <c:pt idx="17">
                  <c:v>310.344827586207</c:v>
                </c:pt>
                <c:pt idx="18">
                  <c:v>327.586206896552</c:v>
                </c:pt>
                <c:pt idx="19">
                  <c:v>344.827586206897</c:v>
                </c:pt>
                <c:pt idx="20">
                  <c:v>362.068965517241</c:v>
                </c:pt>
                <c:pt idx="21">
                  <c:v>379.310344827586</c:v>
                </c:pt>
                <c:pt idx="22">
                  <c:v>396.551724137931</c:v>
                </c:pt>
                <c:pt idx="23">
                  <c:v>413.793103448276</c:v>
                </c:pt>
                <c:pt idx="24">
                  <c:v>431.034482758621</c:v>
                </c:pt>
                <c:pt idx="25">
                  <c:v>448.275862068966</c:v>
                </c:pt>
                <c:pt idx="26">
                  <c:v>465.51724137931</c:v>
                </c:pt>
                <c:pt idx="27">
                  <c:v>482.758620689655</c:v>
                </c:pt>
                <c:pt idx="28">
                  <c:v>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'1. Smart User 500'!F10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Smart User 500'!$B$11:$B$39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'1. Smart User 500'!$F$11:$F$39</c:f>
              <c:numCache>
                <c:formatCode>#,##0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878061"/>
        <c:axId val="70995789"/>
      </c:lineChart>
      <c:catAx>
        <c:axId val="97878061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995789"/>
        <c:crosses val="autoZero"/>
        <c:auto val="1"/>
        <c:lblAlgn val="ctr"/>
        <c:lblOffset val="100"/>
        <c:noMultiLvlLbl val="0"/>
      </c:catAx>
      <c:valAx>
        <c:axId val="70995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8780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'2. MV Advisory'!E10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MV Advisory'!$B$11:$B$52</c:f>
              <c:strCache>
                <c:ptCount val="42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</c:strCache>
            </c:strRef>
          </c:cat>
          <c:val>
            <c:numRef>
              <c:f>'2. MV Advisory'!$E$11:$E$52</c:f>
              <c:numCache>
                <c:formatCode>\$#,##0</c:formatCode>
                <c:ptCount val="42"/>
                <c:pt idx="0">
                  <c:v>238.095238095238</c:v>
                </c:pt>
                <c:pt idx="1">
                  <c:v>476.190476190476</c:v>
                </c:pt>
                <c:pt idx="2">
                  <c:v>714.285714285714</c:v>
                </c:pt>
                <c:pt idx="3">
                  <c:v>952.380952380952</c:v>
                </c:pt>
                <c:pt idx="4">
                  <c:v>1190.47619047619</c:v>
                </c:pt>
                <c:pt idx="5">
                  <c:v>1428.57142857143</c:v>
                </c:pt>
                <c:pt idx="6">
                  <c:v>1666.66666666667</c:v>
                </c:pt>
                <c:pt idx="7">
                  <c:v>1904.7619047619</c:v>
                </c:pt>
                <c:pt idx="8">
                  <c:v>2142.85714285714</c:v>
                </c:pt>
                <c:pt idx="9">
                  <c:v>2380.95238095238</c:v>
                </c:pt>
                <c:pt idx="10">
                  <c:v>2619.04761904762</c:v>
                </c:pt>
                <c:pt idx="11">
                  <c:v>2857.14285714286</c:v>
                </c:pt>
                <c:pt idx="12">
                  <c:v>3095.2380952381</c:v>
                </c:pt>
                <c:pt idx="13">
                  <c:v>3333.33333333333</c:v>
                </c:pt>
                <c:pt idx="14">
                  <c:v>3571.42857142857</c:v>
                </c:pt>
                <c:pt idx="15">
                  <c:v>3809.52380952381</c:v>
                </c:pt>
                <c:pt idx="16">
                  <c:v>4047.61904761905</c:v>
                </c:pt>
                <c:pt idx="17">
                  <c:v>4285.71428571429</c:v>
                </c:pt>
                <c:pt idx="18">
                  <c:v>4523.80952380952</c:v>
                </c:pt>
                <c:pt idx="19">
                  <c:v>4761.90476190476</c:v>
                </c:pt>
                <c:pt idx="20">
                  <c:v>5000</c:v>
                </c:pt>
                <c:pt idx="21">
                  <c:v>5238.09523809524</c:v>
                </c:pt>
                <c:pt idx="22">
                  <c:v>5476.19047619048</c:v>
                </c:pt>
                <c:pt idx="23">
                  <c:v>5714.28571428572</c:v>
                </c:pt>
                <c:pt idx="24">
                  <c:v>5952.38095238095</c:v>
                </c:pt>
                <c:pt idx="25">
                  <c:v>6190.47619047619</c:v>
                </c:pt>
                <c:pt idx="26">
                  <c:v>6428.57142857143</c:v>
                </c:pt>
                <c:pt idx="27">
                  <c:v>6666.66666666667</c:v>
                </c:pt>
                <c:pt idx="28">
                  <c:v>6904.76190476191</c:v>
                </c:pt>
                <c:pt idx="29">
                  <c:v>7142.85714285714</c:v>
                </c:pt>
                <c:pt idx="30">
                  <c:v>7380.95238095238</c:v>
                </c:pt>
                <c:pt idx="31">
                  <c:v>7619.04761904762</c:v>
                </c:pt>
                <c:pt idx="32">
                  <c:v>7857.14285714286</c:v>
                </c:pt>
                <c:pt idx="33">
                  <c:v>8095.2380952381</c:v>
                </c:pt>
                <c:pt idx="34">
                  <c:v>8333.33333333333</c:v>
                </c:pt>
                <c:pt idx="35">
                  <c:v>8571.42857142857</c:v>
                </c:pt>
                <c:pt idx="36">
                  <c:v>8809.52380952381</c:v>
                </c:pt>
                <c:pt idx="37">
                  <c:v>9047.61904761905</c:v>
                </c:pt>
                <c:pt idx="38">
                  <c:v>9285.71428571429</c:v>
                </c:pt>
                <c:pt idx="39">
                  <c:v>9523.80952380953</c:v>
                </c:pt>
                <c:pt idx="40">
                  <c:v>9761.90476190476</c:v>
                </c:pt>
                <c:pt idx="41">
                  <c:v>10000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'2. MV Advisory'!F10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MV Advisory'!$B$11:$B$52</c:f>
              <c:strCache>
                <c:ptCount val="42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</c:strCache>
            </c:strRef>
          </c:cat>
          <c:val>
            <c:numRef>
              <c:f>'2. MV Advisory'!$F$11:$F$52</c:f>
              <c:numCache>
                <c:formatCode>\$#,##0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403620"/>
        <c:axId val="80151398"/>
      </c:lineChart>
      <c:catAx>
        <c:axId val="28403620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151398"/>
        <c:crosses val="autoZero"/>
        <c:auto val="1"/>
        <c:lblAlgn val="ctr"/>
        <c:lblOffset val="100"/>
        <c:noMultiLvlLbl val="0"/>
      </c:catAx>
      <c:valAx>
        <c:axId val="801513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4036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'3. Negocios +30K GP'!E10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Negocios +30K GP'!$B$11:$B$91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'3. Negocios +30K GP'!$E$11:$E$91</c:f>
              <c:numCache>
                <c:formatCode>#,##0</c:formatCode>
                <c:ptCount val="81"/>
                <c:pt idx="0">
                  <c:v>0.123456790123457</c:v>
                </c:pt>
                <c:pt idx="1">
                  <c:v>0.246913580246914</c:v>
                </c:pt>
                <c:pt idx="2">
                  <c:v>0.37037037037037</c:v>
                </c:pt>
                <c:pt idx="3">
                  <c:v>0.493827160493827</c:v>
                </c:pt>
                <c:pt idx="4">
                  <c:v>0.617283950617284</c:v>
                </c:pt>
                <c:pt idx="5">
                  <c:v>0.740740740740741</c:v>
                </c:pt>
                <c:pt idx="6">
                  <c:v>0.864197530864198</c:v>
                </c:pt>
                <c:pt idx="7">
                  <c:v>0.987654320987654</c:v>
                </c:pt>
                <c:pt idx="8">
                  <c:v>1.11111111111111</c:v>
                </c:pt>
                <c:pt idx="9">
                  <c:v>1.23456790123457</c:v>
                </c:pt>
                <c:pt idx="10">
                  <c:v>1.35802469135802</c:v>
                </c:pt>
                <c:pt idx="11">
                  <c:v>1.48148148148148</c:v>
                </c:pt>
                <c:pt idx="12">
                  <c:v>1.60493827160494</c:v>
                </c:pt>
                <c:pt idx="13">
                  <c:v>1.7283950617284</c:v>
                </c:pt>
                <c:pt idx="14">
                  <c:v>1.85185185185185</c:v>
                </c:pt>
                <c:pt idx="15">
                  <c:v>1.97530864197531</c:v>
                </c:pt>
                <c:pt idx="16">
                  <c:v>2.09876543209877</c:v>
                </c:pt>
                <c:pt idx="17">
                  <c:v>2.22222222222222</c:v>
                </c:pt>
                <c:pt idx="18">
                  <c:v>2.34567901234568</c:v>
                </c:pt>
                <c:pt idx="19">
                  <c:v>2.46913580246914</c:v>
                </c:pt>
                <c:pt idx="20">
                  <c:v>2.59259259259259</c:v>
                </c:pt>
                <c:pt idx="21">
                  <c:v>2.71604938271605</c:v>
                </c:pt>
                <c:pt idx="22">
                  <c:v>2.83950617283951</c:v>
                </c:pt>
                <c:pt idx="23">
                  <c:v>2.96296296296296</c:v>
                </c:pt>
                <c:pt idx="24">
                  <c:v>3.08641975308642</c:v>
                </c:pt>
                <c:pt idx="25">
                  <c:v>3.20987654320988</c:v>
                </c:pt>
                <c:pt idx="26">
                  <c:v>3.33333333333333</c:v>
                </c:pt>
                <c:pt idx="27">
                  <c:v>3.45679012345679</c:v>
                </c:pt>
                <c:pt idx="28">
                  <c:v>3.58024691358025</c:v>
                </c:pt>
                <c:pt idx="29">
                  <c:v>3.7037037037037</c:v>
                </c:pt>
                <c:pt idx="30">
                  <c:v>3.82716049382716</c:v>
                </c:pt>
                <c:pt idx="31">
                  <c:v>3.95061728395062</c:v>
                </c:pt>
                <c:pt idx="32">
                  <c:v>4.07407407407407</c:v>
                </c:pt>
                <c:pt idx="33">
                  <c:v>4.19753086419753</c:v>
                </c:pt>
                <c:pt idx="34">
                  <c:v>4.32098765432099</c:v>
                </c:pt>
                <c:pt idx="35">
                  <c:v>4.44444444444445</c:v>
                </c:pt>
                <c:pt idx="36">
                  <c:v>4.5679012345679</c:v>
                </c:pt>
                <c:pt idx="37">
                  <c:v>4.69135802469136</c:v>
                </c:pt>
                <c:pt idx="38">
                  <c:v>4.81481481481482</c:v>
                </c:pt>
                <c:pt idx="39">
                  <c:v>4.93827160493827</c:v>
                </c:pt>
                <c:pt idx="40">
                  <c:v>5.06172839506173</c:v>
                </c:pt>
                <c:pt idx="41">
                  <c:v>5.18518518518519</c:v>
                </c:pt>
                <c:pt idx="42">
                  <c:v>5.30864197530864</c:v>
                </c:pt>
                <c:pt idx="43">
                  <c:v>5.4320987654321</c:v>
                </c:pt>
                <c:pt idx="44">
                  <c:v>5.55555555555556</c:v>
                </c:pt>
                <c:pt idx="45">
                  <c:v>5.67901234567901</c:v>
                </c:pt>
                <c:pt idx="46">
                  <c:v>5.80246913580247</c:v>
                </c:pt>
                <c:pt idx="47">
                  <c:v>5.92592592592593</c:v>
                </c:pt>
                <c:pt idx="48">
                  <c:v>6.04938271604938</c:v>
                </c:pt>
                <c:pt idx="49">
                  <c:v>6.17283950617284</c:v>
                </c:pt>
                <c:pt idx="50">
                  <c:v>6.2962962962963</c:v>
                </c:pt>
                <c:pt idx="51">
                  <c:v>6.41975308641975</c:v>
                </c:pt>
                <c:pt idx="52">
                  <c:v>6.54320987654321</c:v>
                </c:pt>
                <c:pt idx="53">
                  <c:v>6.66666666666667</c:v>
                </c:pt>
                <c:pt idx="54">
                  <c:v>6.79012345679012</c:v>
                </c:pt>
                <c:pt idx="55">
                  <c:v>6.91358024691358</c:v>
                </c:pt>
                <c:pt idx="56">
                  <c:v>7.03703703703704</c:v>
                </c:pt>
                <c:pt idx="57">
                  <c:v>7.16049382716049</c:v>
                </c:pt>
                <c:pt idx="58">
                  <c:v>7.28395061728395</c:v>
                </c:pt>
                <c:pt idx="59">
                  <c:v>7.40740740740741</c:v>
                </c:pt>
                <c:pt idx="60">
                  <c:v>7.53086419753086</c:v>
                </c:pt>
                <c:pt idx="61">
                  <c:v>7.65432098765432</c:v>
                </c:pt>
                <c:pt idx="62">
                  <c:v>7.77777777777778</c:v>
                </c:pt>
                <c:pt idx="63">
                  <c:v>7.90123456790123</c:v>
                </c:pt>
                <c:pt idx="64">
                  <c:v>8.02469135802469</c:v>
                </c:pt>
                <c:pt idx="65">
                  <c:v>8.14814814814815</c:v>
                </c:pt>
                <c:pt idx="66">
                  <c:v>8.2716049382716</c:v>
                </c:pt>
                <c:pt idx="67">
                  <c:v>8.39506172839506</c:v>
                </c:pt>
                <c:pt idx="68">
                  <c:v>8.51851851851852</c:v>
                </c:pt>
                <c:pt idx="69">
                  <c:v>8.64197530864198</c:v>
                </c:pt>
                <c:pt idx="70">
                  <c:v>8.76543209876543</c:v>
                </c:pt>
                <c:pt idx="71">
                  <c:v>8.88888888888889</c:v>
                </c:pt>
                <c:pt idx="72">
                  <c:v>9.01234567901235</c:v>
                </c:pt>
                <c:pt idx="73">
                  <c:v>9.1358024691358</c:v>
                </c:pt>
                <c:pt idx="74">
                  <c:v>9.25925925925926</c:v>
                </c:pt>
                <c:pt idx="75">
                  <c:v>9.38271604938272</c:v>
                </c:pt>
                <c:pt idx="76">
                  <c:v>9.50617283950617</c:v>
                </c:pt>
                <c:pt idx="77">
                  <c:v>9.62962962962963</c:v>
                </c:pt>
                <c:pt idx="78">
                  <c:v>9.75308641975309</c:v>
                </c:pt>
                <c:pt idx="79">
                  <c:v>9.87654320987654</c:v>
                </c:pt>
                <c:pt idx="80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'3. Negocios +30K GP'!F10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Negocios +30K GP'!$B$11:$B$91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'3. Negocios +30K GP'!$F$11:$F$91</c:f>
              <c:numCache>
                <c:formatCode>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511578"/>
        <c:axId val="11054847"/>
      </c:lineChart>
      <c:catAx>
        <c:axId val="47511578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054847"/>
        <c:crosses val="autoZero"/>
        <c:auto val="1"/>
        <c:lblAlgn val="ctr"/>
        <c:lblOffset val="100"/>
        <c:noMultiLvlLbl val="0"/>
      </c:catAx>
      <c:valAx>
        <c:axId val="11054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5115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'4. Entregas 100%'!C10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Entregas 100%'!$B$11:$B$91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'4. Entregas 100%'!$C$11:$C$91</c:f>
              <c:numCache>
                <c:formatCode>0.0%</c:formatCode>
                <c:ptCount val="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'4. Entregas 100%'!D10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Entregas 100%'!$B$11:$B$91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'4. Entregas 100%'!$D$11:$D$91</c:f>
              <c:numCache>
                <c:formatCode>General</c:formatCode>
                <c:ptCount val="8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593116"/>
        <c:axId val="8345055"/>
      </c:lineChart>
      <c:catAx>
        <c:axId val="29593116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45055"/>
        <c:crosses val="autoZero"/>
        <c:auto val="1"/>
        <c:lblAlgn val="ctr"/>
        <c:lblOffset val="100"/>
        <c:noMultiLvlLbl val="0"/>
      </c:catAx>
      <c:valAx>
        <c:axId val="8345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5931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'5. MV Datacenter'!E10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MV Datacenter'!$B$11:$B$91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'5. MV Datacenter'!$E$11:$E$91</c:f>
              <c:numCache>
                <c:formatCode>\$#,##0</c:formatCode>
                <c:ptCount val="81"/>
                <c:pt idx="0">
                  <c:v>246.913580246914</c:v>
                </c:pt>
                <c:pt idx="1">
                  <c:v>493.827160493827</c:v>
                </c:pt>
                <c:pt idx="2">
                  <c:v>740.740740740741</c:v>
                </c:pt>
                <c:pt idx="3">
                  <c:v>987.654320987654</c:v>
                </c:pt>
                <c:pt idx="4">
                  <c:v>1234.56790123457</c:v>
                </c:pt>
                <c:pt idx="5">
                  <c:v>1481.48148148148</c:v>
                </c:pt>
                <c:pt idx="6">
                  <c:v>1728.3950617284</c:v>
                </c:pt>
                <c:pt idx="7">
                  <c:v>1975.30864197531</c:v>
                </c:pt>
                <c:pt idx="8">
                  <c:v>2222.22222222222</c:v>
                </c:pt>
                <c:pt idx="9">
                  <c:v>2469.13580246914</c:v>
                </c:pt>
                <c:pt idx="10">
                  <c:v>2716.04938271605</c:v>
                </c:pt>
                <c:pt idx="11">
                  <c:v>2962.96296296296</c:v>
                </c:pt>
                <c:pt idx="12">
                  <c:v>3209.87654320988</c:v>
                </c:pt>
                <c:pt idx="13">
                  <c:v>3456.79012345679</c:v>
                </c:pt>
                <c:pt idx="14">
                  <c:v>3703.7037037037</c:v>
                </c:pt>
                <c:pt idx="15">
                  <c:v>3950.61728395062</c:v>
                </c:pt>
                <c:pt idx="16">
                  <c:v>4197.53086419753</c:v>
                </c:pt>
                <c:pt idx="17">
                  <c:v>4444.44444444444</c:v>
                </c:pt>
                <c:pt idx="18">
                  <c:v>4691.35802469136</c:v>
                </c:pt>
                <c:pt idx="19">
                  <c:v>4938.27160493827</c:v>
                </c:pt>
                <c:pt idx="20">
                  <c:v>5185.18518518519</c:v>
                </c:pt>
                <c:pt idx="21">
                  <c:v>5432.0987654321</c:v>
                </c:pt>
                <c:pt idx="22">
                  <c:v>5679.01234567901</c:v>
                </c:pt>
                <c:pt idx="23">
                  <c:v>5925.92592592593</c:v>
                </c:pt>
                <c:pt idx="24">
                  <c:v>6172.83950617284</c:v>
                </c:pt>
                <c:pt idx="25">
                  <c:v>6419.75308641975</c:v>
                </c:pt>
                <c:pt idx="26">
                  <c:v>6666.66666666667</c:v>
                </c:pt>
                <c:pt idx="27">
                  <c:v>6913.58024691358</c:v>
                </c:pt>
                <c:pt idx="28">
                  <c:v>7160.49382716049</c:v>
                </c:pt>
                <c:pt idx="29">
                  <c:v>7407.40740740741</c:v>
                </c:pt>
                <c:pt idx="30">
                  <c:v>7654.32098765432</c:v>
                </c:pt>
                <c:pt idx="31">
                  <c:v>7901.23456790123</c:v>
                </c:pt>
                <c:pt idx="32">
                  <c:v>8148.14814814815</c:v>
                </c:pt>
                <c:pt idx="33">
                  <c:v>8395.06172839506</c:v>
                </c:pt>
                <c:pt idx="34">
                  <c:v>8641.97530864198</c:v>
                </c:pt>
                <c:pt idx="35">
                  <c:v>8888.88888888889</c:v>
                </c:pt>
                <c:pt idx="36">
                  <c:v>9135.8024691358</c:v>
                </c:pt>
                <c:pt idx="37">
                  <c:v>9382.71604938272</c:v>
                </c:pt>
                <c:pt idx="38">
                  <c:v>9629.62962962963</c:v>
                </c:pt>
                <c:pt idx="39">
                  <c:v>9876.54320987654</c:v>
                </c:pt>
                <c:pt idx="40">
                  <c:v>10123.4567901235</c:v>
                </c:pt>
                <c:pt idx="41">
                  <c:v>10370.3703703704</c:v>
                </c:pt>
                <c:pt idx="42">
                  <c:v>10617.2839506173</c:v>
                </c:pt>
                <c:pt idx="43">
                  <c:v>10864.1975308642</c:v>
                </c:pt>
                <c:pt idx="44">
                  <c:v>11111.1111111111</c:v>
                </c:pt>
                <c:pt idx="45">
                  <c:v>11358.024691358</c:v>
                </c:pt>
                <c:pt idx="46">
                  <c:v>11604.9382716049</c:v>
                </c:pt>
                <c:pt idx="47">
                  <c:v>11851.8518518519</c:v>
                </c:pt>
                <c:pt idx="48">
                  <c:v>12098.7654320988</c:v>
                </c:pt>
                <c:pt idx="49">
                  <c:v>12345.6790123457</c:v>
                </c:pt>
                <c:pt idx="50">
                  <c:v>12592.5925925926</c:v>
                </c:pt>
                <c:pt idx="51">
                  <c:v>12839.5061728395</c:v>
                </c:pt>
                <c:pt idx="52">
                  <c:v>13086.4197530864</c:v>
                </c:pt>
                <c:pt idx="53">
                  <c:v>13333.3333333333</c:v>
                </c:pt>
                <c:pt idx="54">
                  <c:v>13580.2469135802</c:v>
                </c:pt>
                <c:pt idx="55">
                  <c:v>13827.1604938272</c:v>
                </c:pt>
                <c:pt idx="56">
                  <c:v>14074.0740740741</c:v>
                </c:pt>
                <c:pt idx="57">
                  <c:v>14320.987654321</c:v>
                </c:pt>
                <c:pt idx="58">
                  <c:v>14567.9012345679</c:v>
                </c:pt>
                <c:pt idx="59">
                  <c:v>14814.8148148148</c:v>
                </c:pt>
                <c:pt idx="60">
                  <c:v>15061.7283950617</c:v>
                </c:pt>
                <c:pt idx="61">
                  <c:v>15308.6419753086</c:v>
                </c:pt>
                <c:pt idx="62">
                  <c:v>15555.5555555556</c:v>
                </c:pt>
                <c:pt idx="63">
                  <c:v>15802.4691358025</c:v>
                </c:pt>
                <c:pt idx="64">
                  <c:v>16049.3827160494</c:v>
                </c:pt>
                <c:pt idx="65">
                  <c:v>16296.2962962963</c:v>
                </c:pt>
                <c:pt idx="66">
                  <c:v>16543.2098765432</c:v>
                </c:pt>
                <c:pt idx="67">
                  <c:v>16790.1234567901</c:v>
                </c:pt>
                <c:pt idx="68">
                  <c:v>17037.037037037</c:v>
                </c:pt>
                <c:pt idx="69">
                  <c:v>17283.950617284</c:v>
                </c:pt>
                <c:pt idx="70">
                  <c:v>17530.8641975309</c:v>
                </c:pt>
                <c:pt idx="71">
                  <c:v>17777.7777777778</c:v>
                </c:pt>
                <c:pt idx="72">
                  <c:v>18024.6913580247</c:v>
                </c:pt>
                <c:pt idx="73">
                  <c:v>18271.6049382716</c:v>
                </c:pt>
                <c:pt idx="74">
                  <c:v>18518.5185185185</c:v>
                </c:pt>
                <c:pt idx="75">
                  <c:v>18765.4320987654</c:v>
                </c:pt>
                <c:pt idx="76">
                  <c:v>19012.3456790123</c:v>
                </c:pt>
                <c:pt idx="77">
                  <c:v>19259.2592592593</c:v>
                </c:pt>
                <c:pt idx="78">
                  <c:v>19506.1728395062</c:v>
                </c:pt>
                <c:pt idx="79">
                  <c:v>19753.0864197531</c:v>
                </c:pt>
                <c:pt idx="80">
                  <c:v>20000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'5. MV Datacenter'!F10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MV Datacenter'!$B$11:$B$91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'5. MV Datacenter'!$F$11:$F$91</c:f>
              <c:numCache>
                <c:formatCode>\$#,##0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765702"/>
        <c:axId val="10574670"/>
      </c:lineChart>
      <c:catAx>
        <c:axId val="37765702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574670"/>
        <c:crosses val="autoZero"/>
        <c:auto val="1"/>
        <c:lblAlgn val="ctr"/>
        <c:lblOffset val="100"/>
        <c:noMultiLvlLbl val="0"/>
      </c:catAx>
      <c:valAx>
        <c:axId val="10574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7657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'6. Cero Expired'!C10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Cero Expired'!$B$11:$B$91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'6. Cero Expired'!$C$11:$C$91</c:f>
              <c:numCache>
                <c:formatCode>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'6. Cero Expired'!D10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Cero Expired'!$B$11:$B$91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'6. Cero Expired'!$D$11:$D$91</c:f>
              <c:numCache>
                <c:formatCode>General</c:formatCode>
                <c:ptCount val="8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660775"/>
        <c:axId val="70384001"/>
      </c:lineChart>
      <c:catAx>
        <c:axId val="27660775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384001"/>
        <c:crosses val="autoZero"/>
        <c:auto val="1"/>
        <c:lblAlgn val="ctr"/>
        <c:lblOffset val="100"/>
        <c:noMultiLvlLbl val="0"/>
      </c:catAx>
      <c:valAx>
        <c:axId val="70384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6607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'7. MV Digital Sol'!E10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MV Digital Sol'!$B$11:$B$56</c:f>
              <c:strCache>
                <c:ptCount val="46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</c:strCache>
            </c:strRef>
          </c:cat>
          <c:val>
            <c:numRef>
              <c:f>'7. MV Digital Sol'!$E$11:$E$56</c:f>
              <c:numCache>
                <c:formatCode>\$#,##0</c:formatCode>
                <c:ptCount val="46"/>
                <c:pt idx="0">
                  <c:v>652.173913043478</c:v>
                </c:pt>
                <c:pt idx="1">
                  <c:v>1304.34782608696</c:v>
                </c:pt>
                <c:pt idx="2">
                  <c:v>1956.52173913043</c:v>
                </c:pt>
                <c:pt idx="3">
                  <c:v>2608.69565217391</c:v>
                </c:pt>
                <c:pt idx="4">
                  <c:v>3260.86956521739</c:v>
                </c:pt>
                <c:pt idx="5">
                  <c:v>3913.04347826087</c:v>
                </c:pt>
                <c:pt idx="6">
                  <c:v>4565.21739130435</c:v>
                </c:pt>
                <c:pt idx="7">
                  <c:v>5217.39130434783</c:v>
                </c:pt>
                <c:pt idx="8">
                  <c:v>5869.5652173913</c:v>
                </c:pt>
                <c:pt idx="9">
                  <c:v>6521.73913043478</c:v>
                </c:pt>
                <c:pt idx="10">
                  <c:v>7173.91304347826</c:v>
                </c:pt>
                <c:pt idx="11">
                  <c:v>7826.08695652174</c:v>
                </c:pt>
                <c:pt idx="12">
                  <c:v>8478.26086956522</c:v>
                </c:pt>
                <c:pt idx="13">
                  <c:v>9130.4347826087</c:v>
                </c:pt>
                <c:pt idx="14">
                  <c:v>9782.60869565217</c:v>
                </c:pt>
                <c:pt idx="15">
                  <c:v>10434.7826086957</c:v>
                </c:pt>
                <c:pt idx="16">
                  <c:v>11086.9565217391</c:v>
                </c:pt>
                <c:pt idx="17">
                  <c:v>11739.1304347826</c:v>
                </c:pt>
                <c:pt idx="18">
                  <c:v>12391.3043478261</c:v>
                </c:pt>
                <c:pt idx="19">
                  <c:v>13043.4782608696</c:v>
                </c:pt>
                <c:pt idx="20">
                  <c:v>13695.652173913</c:v>
                </c:pt>
                <c:pt idx="21">
                  <c:v>14347.8260869565</c:v>
                </c:pt>
                <c:pt idx="22">
                  <c:v>15000</c:v>
                </c:pt>
                <c:pt idx="23">
                  <c:v>15652.1739130435</c:v>
                </c:pt>
                <c:pt idx="24">
                  <c:v>16304.347826087</c:v>
                </c:pt>
                <c:pt idx="25">
                  <c:v>16956.5217391304</c:v>
                </c:pt>
                <c:pt idx="26">
                  <c:v>17608.6956521739</c:v>
                </c:pt>
                <c:pt idx="27">
                  <c:v>18260.8695652174</c:v>
                </c:pt>
                <c:pt idx="28">
                  <c:v>18913.0434782609</c:v>
                </c:pt>
                <c:pt idx="29">
                  <c:v>19565.2173913043</c:v>
                </c:pt>
                <c:pt idx="30">
                  <c:v>20217.3913043478</c:v>
                </c:pt>
                <c:pt idx="31">
                  <c:v>20869.5652173913</c:v>
                </c:pt>
                <c:pt idx="32">
                  <c:v>21521.7391304348</c:v>
                </c:pt>
                <c:pt idx="33">
                  <c:v>22173.9130434783</c:v>
                </c:pt>
                <c:pt idx="34">
                  <c:v>22826.0869565217</c:v>
                </c:pt>
                <c:pt idx="35">
                  <c:v>23478.2608695652</c:v>
                </c:pt>
                <c:pt idx="36">
                  <c:v>24130.4347826087</c:v>
                </c:pt>
                <c:pt idx="37">
                  <c:v>24782.6086956522</c:v>
                </c:pt>
                <c:pt idx="38">
                  <c:v>25434.7826086957</c:v>
                </c:pt>
                <c:pt idx="39">
                  <c:v>26086.9565217391</c:v>
                </c:pt>
                <c:pt idx="40">
                  <c:v>26739.1304347826</c:v>
                </c:pt>
                <c:pt idx="41">
                  <c:v>27391.3043478261</c:v>
                </c:pt>
                <c:pt idx="42">
                  <c:v>28043.4782608696</c:v>
                </c:pt>
                <c:pt idx="43">
                  <c:v>28695.652173913</c:v>
                </c:pt>
                <c:pt idx="44">
                  <c:v>29347.8260869565</c:v>
                </c:pt>
                <c:pt idx="45">
                  <c:v>30000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'7. MV Digital Sol'!F10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MV Digital Sol'!$B$11:$B$56</c:f>
              <c:strCache>
                <c:ptCount val="46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</c:strCache>
            </c:strRef>
          </c:cat>
          <c:val>
            <c:numRef>
              <c:f>'7. MV Digital Sol'!$F$11:$F$56</c:f>
              <c:numCache>
                <c:formatCode>\$#,##0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034608"/>
        <c:axId val="58959669"/>
      </c:lineChart>
      <c:catAx>
        <c:axId val="94034608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959669"/>
        <c:crosses val="autoZero"/>
        <c:auto val="1"/>
        <c:lblAlgn val="ctr"/>
        <c:lblOffset val="100"/>
        <c:noMultiLvlLbl val="0"/>
      </c:catAx>
      <c:valAx>
        <c:axId val="58959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0346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'8. GP 16%'!C10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GP 16%'!$B$11:$B$28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'8. GP 16%'!$C$11:$C$28</c:f>
              <c:numCache>
                <c:formatCode>0.0%</c:formatCode>
                <c:ptCount val="18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0.16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GP 16%'!D10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GP 16%'!$B$11:$B$28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'8. GP 16%'!$D$11:$D$28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031251"/>
        <c:axId val="18490518"/>
      </c:lineChart>
      <c:catAx>
        <c:axId val="8803125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490518"/>
        <c:crosses val="autoZero"/>
        <c:auto val="1"/>
        <c:lblAlgn val="ctr"/>
        <c:lblOffset val="100"/>
        <c:noMultiLvlLbl val="0"/>
      </c:catAx>
      <c:valAx>
        <c:axId val="18490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0312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'9. CSAT'!C10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CSAT'!$B$11:$B$28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'9. CSAT'!$C$11:$C$28</c:f>
              <c:numCache>
                <c:formatCode>0.0</c:formatCode>
                <c:ptCount val="18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'9. CSAT'!D10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CSAT'!$B$11:$B$28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'9. CSAT'!$D$11:$D$28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085169"/>
        <c:axId val="42962334"/>
      </c:lineChart>
      <c:catAx>
        <c:axId val="8308516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962334"/>
        <c:crosses val="autoZero"/>
        <c:auto val="1"/>
        <c:lblAlgn val="ctr"/>
        <c:lblOffset val="100"/>
        <c:noMultiLvlLbl val="0"/>
      </c:catAx>
      <c:valAx>
        <c:axId val="42962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0851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'10. Apalancamiento'!C10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'10. Apalancamiento'!$B$11:$B$28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'10. Apalancamiento'!$C$11:$C$28</c:f>
              <c:numCache>
                <c:formatCode>0.0%</c:formatCode>
                <c:ptCount val="18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0.09</c:v>
                </c:pt>
                <c:pt idx="17">
                  <c:v>0.09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'10. Apalancamiento'!D10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'10. Apalancamiento'!$B$11:$B$28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'10. Apalancamiento'!$D$11:$D$28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237234"/>
        <c:axId val="85542"/>
      </c:lineChart>
      <c:catAx>
        <c:axId val="5023723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542"/>
        <c:crosses val="autoZero"/>
        <c:auto val="1"/>
        <c:lblAlgn val="ctr"/>
        <c:lblOffset val="100"/>
        <c:noMultiLvlLbl val="0"/>
      </c:catAx>
      <c:valAx>
        <c:axId val="85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2372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'11. Recuperar DS'!C10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 Recuperar DS'!$B$11:$B$28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'11. Recuperar DS'!$C$11:$C$28</c:f>
              <c:numCache>
                <c:formatCode>\$#,##0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'11. Recuperar DS'!D10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 Recuperar DS'!$B$11:$B$28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'11. Recuperar DS'!$D$11:$D$28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371311"/>
        <c:axId val="70146442"/>
      </c:lineChart>
      <c:catAx>
        <c:axId val="2037131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146442"/>
        <c:crosses val="autoZero"/>
        <c:auto val="1"/>
        <c:lblAlgn val="ctr"/>
        <c:lblOffset val="100"/>
        <c:noMultiLvlLbl val="0"/>
      </c:catAx>
      <c:valAx>
        <c:axId val="70146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3713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'12. Utilizacion'!C10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Utilizacion'!$B$11:$B$28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'12. Utilizacion'!$C$11:$C$28</c:f>
              <c:numCache>
                <c:formatCode>0.0%</c:formatCode>
                <c:ptCount val="18"/>
                <c:pt idx="0">
                  <c:v>0.48</c:v>
                </c:pt>
                <c:pt idx="1">
                  <c:v>0.48</c:v>
                </c:pt>
                <c:pt idx="2">
                  <c:v>0.48</c:v>
                </c:pt>
                <c:pt idx="3">
                  <c:v>0.48</c:v>
                </c:pt>
                <c:pt idx="4">
                  <c:v>0.48</c:v>
                </c:pt>
                <c:pt idx="5">
                  <c:v>0.48</c:v>
                </c:pt>
                <c:pt idx="6">
                  <c:v>0.48</c:v>
                </c:pt>
                <c:pt idx="7">
                  <c:v>0.48</c:v>
                </c:pt>
                <c:pt idx="8">
                  <c:v>0.48</c:v>
                </c:pt>
                <c:pt idx="9">
                  <c:v>0.48</c:v>
                </c:pt>
                <c:pt idx="10">
                  <c:v>0.48</c:v>
                </c:pt>
                <c:pt idx="11">
                  <c:v>0.48</c:v>
                </c:pt>
                <c:pt idx="12">
                  <c:v>0.48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'12. Utilizacion'!D10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Utilizacion'!$B$11:$B$28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'12. Utilizacion'!$D$11:$D$28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367358"/>
        <c:axId val="75861377"/>
      </c:lineChart>
      <c:catAx>
        <c:axId val="7736735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861377"/>
        <c:crosses val="autoZero"/>
        <c:auto val="1"/>
        <c:lblAlgn val="ctr"/>
        <c:lblOffset val="100"/>
        <c:noMultiLvlLbl val="0"/>
      </c:catAx>
      <c:valAx>
        <c:axId val="75861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3673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Cobertura 2027: GP comprometido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'2027'!B11</c:f>
              <c:strCache>
                <c:ptCount val="1"/>
                <c:pt idx="0">
                  <c:v>GP comprometido (acum.)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'2027'!$A$12:$A$40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'2027'!$B$12:$B$40</c:f>
              <c:numCache>
                <c:formatCode>General</c:formatCode>
                <c:ptCount val="29"/>
              </c:numCache>
            </c:numRef>
          </c:val>
          <c:smooth val="1"/>
        </c:ser>
        <c:ser>
          <c:idx val="1"/>
          <c:order val="1"/>
          <c:tx>
            <c:strRef>
              <c:f>'2027'!C11</c:f>
              <c:strCache>
                <c:ptCount val="1"/>
                <c:pt idx="0">
                  <c:v>GP 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'2027'!$A$12:$A$40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'2027'!$C$12:$C$40</c:f>
              <c:numCache>
                <c:formatCode>\$#,##0</c:formatCode>
                <c:ptCount val="29"/>
                <c:pt idx="0">
                  <c:v>3360000</c:v>
                </c:pt>
                <c:pt idx="1">
                  <c:v>3360000</c:v>
                </c:pt>
                <c:pt idx="2">
                  <c:v>3360000</c:v>
                </c:pt>
                <c:pt idx="3">
                  <c:v>3360000</c:v>
                </c:pt>
                <c:pt idx="4">
                  <c:v>3360000</c:v>
                </c:pt>
                <c:pt idx="5">
                  <c:v>3360000</c:v>
                </c:pt>
                <c:pt idx="6">
                  <c:v>3360000</c:v>
                </c:pt>
                <c:pt idx="7">
                  <c:v>3360000</c:v>
                </c:pt>
                <c:pt idx="8">
                  <c:v>3360000</c:v>
                </c:pt>
                <c:pt idx="9">
                  <c:v>3360000</c:v>
                </c:pt>
                <c:pt idx="10">
                  <c:v>3360000</c:v>
                </c:pt>
                <c:pt idx="11">
                  <c:v>3360000</c:v>
                </c:pt>
                <c:pt idx="12">
                  <c:v>3360000</c:v>
                </c:pt>
                <c:pt idx="13">
                  <c:v>3360000</c:v>
                </c:pt>
                <c:pt idx="14">
                  <c:v>3360000</c:v>
                </c:pt>
                <c:pt idx="15">
                  <c:v>3360000</c:v>
                </c:pt>
                <c:pt idx="16">
                  <c:v>3360000</c:v>
                </c:pt>
                <c:pt idx="17">
                  <c:v>3360000</c:v>
                </c:pt>
                <c:pt idx="18">
                  <c:v>3360000</c:v>
                </c:pt>
                <c:pt idx="19">
                  <c:v>3360000</c:v>
                </c:pt>
                <c:pt idx="20">
                  <c:v>3360000</c:v>
                </c:pt>
                <c:pt idx="21">
                  <c:v>3360000</c:v>
                </c:pt>
                <c:pt idx="22">
                  <c:v>3360000</c:v>
                </c:pt>
                <c:pt idx="23">
                  <c:v>3360000</c:v>
                </c:pt>
                <c:pt idx="24">
                  <c:v>3360000</c:v>
                </c:pt>
                <c:pt idx="25">
                  <c:v>3360000</c:v>
                </c:pt>
                <c:pt idx="26">
                  <c:v>3360000</c:v>
                </c:pt>
                <c:pt idx="27">
                  <c:v>3360000</c:v>
                </c:pt>
                <c:pt idx="28">
                  <c:v>3360000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723319"/>
        <c:axId val="8361812"/>
      </c:lineChart>
      <c:catAx>
        <c:axId val="93723319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61812"/>
        <c:crosses val="autoZero"/>
        <c:auto val="1"/>
        <c:lblAlgn val="ctr"/>
        <c:lblOffset val="100"/>
        <c:noMultiLvlLbl val="0"/>
      </c:catAx>
      <c:valAx>
        <c:axId val="8361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7233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Cobertura 2028: GP comprometido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'2028'!B11</c:f>
              <c:strCache>
                <c:ptCount val="1"/>
                <c:pt idx="0">
                  <c:v>GP comprometido (acum.)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'2028'!$A$12:$A$40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'2028'!$B$12:$B$40</c:f>
              <c:numCache>
                <c:formatCode>General</c:formatCode>
                <c:ptCount val="29"/>
              </c:numCache>
            </c:numRef>
          </c:val>
          <c:smooth val="1"/>
        </c:ser>
        <c:ser>
          <c:idx val="1"/>
          <c:order val="1"/>
          <c:tx>
            <c:strRef>
              <c:f>'2028'!C11</c:f>
              <c:strCache>
                <c:ptCount val="1"/>
                <c:pt idx="0">
                  <c:v>GP 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'2028'!$A$12:$A$40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'2028'!$C$12:$C$40</c:f>
              <c:numCache>
                <c:formatCode>\$#,##0</c:formatCode>
                <c:ptCount val="29"/>
                <c:pt idx="0">
                  <c:v>4685644</c:v>
                </c:pt>
                <c:pt idx="1">
                  <c:v>4685644</c:v>
                </c:pt>
                <c:pt idx="2">
                  <c:v>4685644</c:v>
                </c:pt>
                <c:pt idx="3">
                  <c:v>4685644</c:v>
                </c:pt>
                <c:pt idx="4">
                  <c:v>4685644</c:v>
                </c:pt>
                <c:pt idx="5">
                  <c:v>4685644</c:v>
                </c:pt>
                <c:pt idx="6">
                  <c:v>4685644</c:v>
                </c:pt>
                <c:pt idx="7">
                  <c:v>4685644</c:v>
                </c:pt>
                <c:pt idx="8">
                  <c:v>4685644</c:v>
                </c:pt>
                <c:pt idx="9">
                  <c:v>4685644</c:v>
                </c:pt>
                <c:pt idx="10">
                  <c:v>4685644</c:v>
                </c:pt>
                <c:pt idx="11">
                  <c:v>4685644</c:v>
                </c:pt>
                <c:pt idx="12">
                  <c:v>4685644</c:v>
                </c:pt>
                <c:pt idx="13">
                  <c:v>4685644</c:v>
                </c:pt>
                <c:pt idx="14">
                  <c:v>4685644</c:v>
                </c:pt>
                <c:pt idx="15">
                  <c:v>4685644</c:v>
                </c:pt>
                <c:pt idx="16">
                  <c:v>4685644</c:v>
                </c:pt>
                <c:pt idx="17">
                  <c:v>4685644</c:v>
                </c:pt>
                <c:pt idx="18">
                  <c:v>4685644</c:v>
                </c:pt>
                <c:pt idx="19">
                  <c:v>4685644</c:v>
                </c:pt>
                <c:pt idx="20">
                  <c:v>4685644</c:v>
                </c:pt>
                <c:pt idx="21">
                  <c:v>4685644</c:v>
                </c:pt>
                <c:pt idx="22">
                  <c:v>4685644</c:v>
                </c:pt>
                <c:pt idx="23">
                  <c:v>4685644</c:v>
                </c:pt>
                <c:pt idx="24">
                  <c:v>4685644</c:v>
                </c:pt>
                <c:pt idx="25">
                  <c:v>4685644</c:v>
                </c:pt>
                <c:pt idx="26">
                  <c:v>4685644</c:v>
                </c:pt>
                <c:pt idx="27">
                  <c:v>4685644</c:v>
                </c:pt>
                <c:pt idx="28">
                  <c:v>4685644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560205"/>
        <c:axId val="76154393"/>
      </c:lineChart>
      <c:catAx>
        <c:axId val="61560205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154393"/>
        <c:crosses val="autoZero"/>
        <c:auto val="1"/>
        <c:lblAlgn val="ctr"/>
        <c:lblOffset val="100"/>
        <c:noMultiLvlLbl val="0"/>
      </c:catAx>
      <c:valAx>
        <c:axId val="76154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5602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Cobertura 2029: GP comprometido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'2029'!B11</c:f>
              <c:strCache>
                <c:ptCount val="1"/>
                <c:pt idx="0">
                  <c:v>GP comprometido (acum.)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'2029'!$A$12:$A$40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'2029'!$B$12:$B$40</c:f>
              <c:numCache>
                <c:formatCode>General</c:formatCode>
                <c:ptCount val="29"/>
              </c:numCache>
            </c:numRef>
          </c:val>
          <c:smooth val="1"/>
        </c:ser>
        <c:ser>
          <c:idx val="1"/>
          <c:order val="1"/>
          <c:tx>
            <c:strRef>
              <c:f>'2029'!C11</c:f>
              <c:strCache>
                <c:ptCount val="1"/>
                <c:pt idx="0">
                  <c:v>GP 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'2029'!$A$12:$A$40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'2029'!$C$12:$C$40</c:f>
              <c:numCache>
                <c:formatCode>\$#,##0</c:formatCode>
                <c:ptCount val="29"/>
                <c:pt idx="0">
                  <c:v>5044215</c:v>
                </c:pt>
                <c:pt idx="1">
                  <c:v>5044215</c:v>
                </c:pt>
                <c:pt idx="2">
                  <c:v>5044215</c:v>
                </c:pt>
                <c:pt idx="3">
                  <c:v>5044215</c:v>
                </c:pt>
                <c:pt idx="4">
                  <c:v>5044215</c:v>
                </c:pt>
                <c:pt idx="5">
                  <c:v>5044215</c:v>
                </c:pt>
                <c:pt idx="6">
                  <c:v>5044215</c:v>
                </c:pt>
                <c:pt idx="7">
                  <c:v>5044215</c:v>
                </c:pt>
                <c:pt idx="8">
                  <c:v>5044215</c:v>
                </c:pt>
                <c:pt idx="9">
                  <c:v>5044215</c:v>
                </c:pt>
                <c:pt idx="10">
                  <c:v>5044215</c:v>
                </c:pt>
                <c:pt idx="11">
                  <c:v>5044215</c:v>
                </c:pt>
                <c:pt idx="12">
                  <c:v>5044215</c:v>
                </c:pt>
                <c:pt idx="13">
                  <c:v>5044215</c:v>
                </c:pt>
                <c:pt idx="14">
                  <c:v>5044215</c:v>
                </c:pt>
                <c:pt idx="15">
                  <c:v>5044215</c:v>
                </c:pt>
                <c:pt idx="16">
                  <c:v>5044215</c:v>
                </c:pt>
                <c:pt idx="17">
                  <c:v>5044215</c:v>
                </c:pt>
                <c:pt idx="18">
                  <c:v>5044215</c:v>
                </c:pt>
                <c:pt idx="19">
                  <c:v>5044215</c:v>
                </c:pt>
                <c:pt idx="20">
                  <c:v>5044215</c:v>
                </c:pt>
                <c:pt idx="21">
                  <c:v>5044215</c:v>
                </c:pt>
                <c:pt idx="22">
                  <c:v>5044215</c:v>
                </c:pt>
                <c:pt idx="23">
                  <c:v>5044215</c:v>
                </c:pt>
                <c:pt idx="24">
                  <c:v>5044215</c:v>
                </c:pt>
                <c:pt idx="25">
                  <c:v>5044215</c:v>
                </c:pt>
                <c:pt idx="26">
                  <c:v>5044215</c:v>
                </c:pt>
                <c:pt idx="27">
                  <c:v>5044215</c:v>
                </c:pt>
                <c:pt idx="28">
                  <c:v>5044215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82190"/>
        <c:axId val="34185293"/>
      </c:lineChart>
      <c:catAx>
        <c:axId val="9482190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185293"/>
        <c:crosses val="autoZero"/>
        <c:auto val="1"/>
        <c:lblAlgn val="ctr"/>
        <c:lblOffset val="100"/>
        <c:noMultiLvlLbl val="0"/>
      </c:catAx>
      <c:valAx>
        <c:axId val="34185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821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17</xdr:row>
      <xdr:rowOff>0</xdr:rowOff>
    </xdr:from>
    <xdr:to>
      <xdr:col>16</xdr:col>
      <xdr:colOff>147600</xdr:colOff>
      <xdr:row>32</xdr:row>
      <xdr:rowOff>22320</xdr:rowOff>
    </xdr:to>
    <xdr:graphicFrame>
      <xdr:nvGraphicFramePr>
        <xdr:cNvPr id="1" name="Chart 1"/>
        <xdr:cNvGraphicFramePr/>
      </xdr:nvGraphicFramePr>
      <xdr:xfrm>
        <a:off x="10713600" y="34106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2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3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4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5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6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7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8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9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10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11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12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256320</xdr:colOff>
      <xdr:row>14</xdr:row>
      <xdr:rowOff>60120</xdr:rowOff>
    </xdr:to>
    <xdr:graphicFrame>
      <xdr:nvGraphicFramePr>
        <xdr:cNvPr id="13" name="Chart 1"/>
        <xdr:cNvGraphicFramePr/>
      </xdr:nvGraphicFramePr>
      <xdr:xfrm>
        <a:off x="16893720" y="220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255960</xdr:colOff>
      <xdr:row>17</xdr:row>
      <xdr:rowOff>70560</xdr:rowOff>
    </xdr:to>
    <xdr:graphicFrame>
      <xdr:nvGraphicFramePr>
        <xdr:cNvPr id="14" name="Chart 1"/>
        <xdr:cNvGraphicFramePr/>
      </xdr:nvGraphicFramePr>
      <xdr:xfrm>
        <a:off x="5827320" y="856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255960</xdr:colOff>
      <xdr:row>17</xdr:row>
      <xdr:rowOff>70560</xdr:rowOff>
    </xdr:to>
    <xdr:graphicFrame>
      <xdr:nvGraphicFramePr>
        <xdr:cNvPr id="15" name="Chart 1"/>
        <xdr:cNvGraphicFramePr/>
      </xdr:nvGraphicFramePr>
      <xdr:xfrm>
        <a:off x="5827320" y="856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255960</xdr:colOff>
      <xdr:row>17</xdr:row>
      <xdr:rowOff>70560</xdr:rowOff>
    </xdr:to>
    <xdr:graphicFrame>
      <xdr:nvGraphicFramePr>
        <xdr:cNvPr id="16" name="Chart 1"/>
        <xdr:cNvGraphicFramePr/>
      </xdr:nvGraphicFramePr>
      <xdr:xfrm>
        <a:off x="5827320" y="856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ablero_WIG_4DX_GBM.xlsx" TargetMode="External"/><Relationship Id="rId2" Type="http://schemas.openxmlformats.org/officeDocument/2006/relationships/hyperlink" Target="Tablero_WIG_4DX_GBM.xlsx" TargetMode="External"/><Relationship Id="rId3" Type="http://schemas.openxmlformats.org/officeDocument/2006/relationships/hyperlink" Target="Tablero_WIG_4DX_GBM.xlsx" TargetMode="External"/><Relationship Id="rId4" Type="http://schemas.openxmlformats.org/officeDocument/2006/relationships/hyperlink" Target="Tablero_WIG_4DX_GBM.xlsx" TargetMode="External"/><Relationship Id="rId5" Type="http://schemas.openxmlformats.org/officeDocument/2006/relationships/hyperlink" Target="Tablero_WIG_4DX_GBM.xlsx" TargetMode="External"/><Relationship Id="rId6" Type="http://schemas.openxmlformats.org/officeDocument/2006/relationships/hyperlink" Target="Tablero_WIG_4DX_GBM.xlsx" TargetMode="External"/><Relationship Id="rId7" Type="http://schemas.openxmlformats.org/officeDocument/2006/relationships/hyperlink" Target="Tablero_WIG_4DX_GBM.xlsx" TargetMode="External"/><Relationship Id="rId8" Type="http://schemas.openxmlformats.org/officeDocument/2006/relationships/hyperlink" Target="Tablero_WIG_4DX_GBM.xlsx" TargetMode="External"/><Relationship Id="rId9" Type="http://schemas.openxmlformats.org/officeDocument/2006/relationships/hyperlink" Target="Tablero_WIG_4DX_GBM.xlsx" TargetMode="External"/><Relationship Id="rId10" Type="http://schemas.openxmlformats.org/officeDocument/2006/relationships/hyperlink" Target="Tablero_WIG_4DX_GBM.xlsx" TargetMode="External"/><Relationship Id="rId11" Type="http://schemas.openxmlformats.org/officeDocument/2006/relationships/hyperlink" Target="Tablero_WIG_4DX_GBM.xlsx" TargetMode="External"/><Relationship Id="rId12" Type="http://schemas.openxmlformats.org/officeDocument/2006/relationships/hyperlink" Target="Tablero_WIG_4DX_GBM.xlsx" TargetMode="External"/><Relationship Id="rId13" Type="http://schemas.openxmlformats.org/officeDocument/2006/relationships/hyperlink" Target="Tablero_WIG_4DX_GBM.xlsx" TargetMode="External"/><Relationship Id="rId14" Type="http://schemas.openxmlformats.org/officeDocument/2006/relationships/hyperlink" Target="Tablero_WIG_4DX_GBM.xlsx" TargetMode="External"/><Relationship Id="rId15" Type="http://schemas.openxmlformats.org/officeDocument/2006/relationships/hyperlink" Target="Tablero_WIG_4DX_GBM.xlsx" TargetMode="External"/><Relationship Id="rId1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7" min="5" style="0" width="11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n">
        <v>18656000</v>
      </c>
      <c r="C6" s="7" t="n">
        <v>0.144</v>
      </c>
      <c r="D6" s="6" t="n">
        <v>375000</v>
      </c>
      <c r="E6" s="7" t="n">
        <f aca="false">D6/B6</f>
        <v>0.0201007718696398</v>
      </c>
      <c r="F6" s="8"/>
      <c r="G6" s="9" t="str">
        <f aca="false">IF(F6="","—",IF(F6&gt;=D6*0.95,"En meta",IF(F6&gt;=D6*0.8,"Riesgo","Atrasado")))</f>
        <v>—</v>
      </c>
      <c r="H6" s="9"/>
    </row>
    <row r="7" customFormat="false" ht="15" hidden="false" customHeight="false" outlineLevel="0" collapsed="false">
      <c r="A7" s="5" t="s">
        <v>12</v>
      </c>
      <c r="B7" s="6" t="n">
        <v>21000000</v>
      </c>
      <c r="C7" s="7" t="n">
        <v>0.16</v>
      </c>
      <c r="D7" s="6" t="n">
        <v>1000000</v>
      </c>
      <c r="E7" s="7" t="n">
        <f aca="false">D7/B7</f>
        <v>0.0476190476190476</v>
      </c>
      <c r="F7" s="8"/>
      <c r="G7" s="9" t="str">
        <f aca="false">IF(F7="","—",IF(F7&gt;=D7*0.95,"En meta",IF(F7&gt;=D7*0.8,"Riesgo","Atrasado")))</f>
        <v>—</v>
      </c>
      <c r="H7" s="10" t="s">
        <v>13</v>
      </c>
    </row>
    <row r="8" customFormat="false" ht="15" hidden="false" customHeight="false" outlineLevel="0" collapsed="false">
      <c r="A8" s="5" t="s">
        <v>14</v>
      </c>
      <c r="B8" s="6" t="n">
        <v>28571000</v>
      </c>
      <c r="C8" s="7" t="n">
        <v>0.164</v>
      </c>
      <c r="D8" s="6" t="n">
        <v>2000000</v>
      </c>
      <c r="E8" s="7" t="n">
        <f aca="false">D8/B8</f>
        <v>0.0700010500157502</v>
      </c>
      <c r="F8" s="8"/>
      <c r="G8" s="9" t="str">
        <f aca="false">IF(F8="","—",IF(F8&gt;=D8*0.95,"En meta",IF(F8&gt;=D8*0.8,"Riesgo","Atrasado")))</f>
        <v>—</v>
      </c>
      <c r="H8" s="10" t="s">
        <v>15</v>
      </c>
    </row>
    <row r="9" customFormat="false" ht="15" hidden="false" customHeight="false" outlineLevel="0" collapsed="false">
      <c r="A9" s="5" t="s">
        <v>16</v>
      </c>
      <c r="B9" s="6" t="n">
        <v>30571000</v>
      </c>
      <c r="C9" s="7" t="n">
        <v>0.165</v>
      </c>
      <c r="D9" s="6" t="n">
        <v>2445680</v>
      </c>
      <c r="E9" s="7" t="n">
        <f aca="false">D9/B9</f>
        <v>0.08</v>
      </c>
      <c r="F9" s="8"/>
      <c r="G9" s="9" t="str">
        <f aca="false">IF(F9="","—",IF(F9&gt;=D9*0.95,"En meta",IF(F9&gt;=D9*0.8,"Riesgo","Atrasado")))</f>
        <v>—</v>
      </c>
      <c r="H9" s="10" t="s">
        <v>17</v>
      </c>
    </row>
    <row r="10" customFormat="false" ht="15" hidden="false" customHeight="false" outlineLevel="0" collapsed="false">
      <c r="A10" s="11" t="s">
        <v>18</v>
      </c>
    </row>
    <row r="12" customFormat="false" ht="15" hidden="false" customHeight="false" outlineLevel="0" collapsed="false">
      <c r="A12" s="3" t="s">
        <v>19</v>
      </c>
    </row>
    <row r="13" customFormat="false" ht="23.85" hidden="false" customHeight="false" outlineLevel="0" collapsed="false">
      <c r="A13" s="12" t="s">
        <v>3</v>
      </c>
      <c r="B13" s="12" t="s">
        <v>20</v>
      </c>
      <c r="C13" s="12" t="s">
        <v>21</v>
      </c>
      <c r="D13" s="12" t="s">
        <v>22</v>
      </c>
      <c r="E13" s="12" t="s">
        <v>23</v>
      </c>
    </row>
    <row r="14" customFormat="false" ht="15" hidden="false" customHeight="false" outlineLevel="0" collapsed="false">
      <c r="A14" s="13" t="n">
        <v>2027</v>
      </c>
      <c r="B14" s="6" t="n">
        <f aca="false">'2027'!$B$5</f>
        <v>3360000</v>
      </c>
      <c r="C14" s="6" t="n">
        <f aca="false">'2027'!$B$6</f>
        <v>0</v>
      </c>
      <c r="D14" s="6" t="n">
        <f aca="false">'2027'!$B$7</f>
        <v>3360000</v>
      </c>
      <c r="E14" s="7" t="n">
        <f aca="false">'2027'!$E$6</f>
        <v>0</v>
      </c>
    </row>
    <row r="15" customFormat="false" ht="15" hidden="false" customHeight="false" outlineLevel="0" collapsed="false">
      <c r="A15" s="14" t="n">
        <v>2028</v>
      </c>
      <c r="B15" s="15" t="n">
        <f aca="false">'2028'!$B$5</f>
        <v>4685644</v>
      </c>
      <c r="C15" s="15" t="n">
        <f aca="false">'2028'!$B$6</f>
        <v>0</v>
      </c>
      <c r="D15" s="15" t="n">
        <f aca="false">'2028'!$B$7</f>
        <v>4685644</v>
      </c>
      <c r="E15" s="16" t="n">
        <f aca="false">'2028'!$E$6</f>
        <v>0</v>
      </c>
    </row>
    <row r="16" customFormat="false" ht="15" hidden="false" customHeight="false" outlineLevel="0" collapsed="false">
      <c r="A16" s="13" t="n">
        <v>2029</v>
      </c>
      <c r="B16" s="6" t="n">
        <f aca="false">'2029'!$B$5</f>
        <v>5044215</v>
      </c>
      <c r="C16" s="6" t="n">
        <f aca="false">'2029'!$B$6</f>
        <v>0</v>
      </c>
      <c r="D16" s="6" t="n">
        <f aca="false">'2029'!$B$7</f>
        <v>5044215</v>
      </c>
      <c r="E16" s="7" t="n">
        <f aca="false">'2029'!$E$6</f>
        <v>0</v>
      </c>
    </row>
    <row r="18" customFormat="false" ht="15" hidden="false" customHeight="false" outlineLevel="0" collapsed="false">
      <c r="A18" s="3" t="s">
        <v>24</v>
      </c>
    </row>
    <row r="19" customFormat="false" ht="15" hidden="false" customHeight="false" outlineLevel="0" collapsed="false">
      <c r="A19" s="17" t="s">
        <v>25</v>
      </c>
      <c r="C19" s="18" t="n">
        <v>1000000</v>
      </c>
    </row>
    <row r="21" customFormat="false" ht="15" hidden="false" customHeight="false" outlineLevel="0" collapsed="false">
      <c r="A21" s="4" t="s">
        <v>26</v>
      </c>
      <c r="B21" s="4" t="s">
        <v>27</v>
      </c>
      <c r="C21" s="4" t="s">
        <v>8</v>
      </c>
      <c r="D21" s="4" t="s">
        <v>28</v>
      </c>
      <c r="E21" s="4" t="s">
        <v>29</v>
      </c>
      <c r="F21" s="4" t="s">
        <v>30</v>
      </c>
      <c r="G21" s="4" t="s">
        <v>9</v>
      </c>
    </row>
    <row r="22" customFormat="false" ht="15" hidden="false" customHeight="false" outlineLevel="0" collapsed="false">
      <c r="A22" s="19" t="n">
        <v>46388</v>
      </c>
      <c r="B22" s="6" t="n">
        <f aca="false">$C$19/12</f>
        <v>83333.3333333333</v>
      </c>
      <c r="C22" s="8"/>
      <c r="D22" s="6" t="n">
        <f aca="false">SUM($B$22:B22)</f>
        <v>83333.3333333333</v>
      </c>
      <c r="E22" s="6" t="n">
        <f aca="false">SUM($C$22:C22)</f>
        <v>0</v>
      </c>
      <c r="F22" s="7" t="str">
        <f aca="false">IF(COUNT($C$22:C22)=0,"",E22/D22)</f>
        <v/>
      </c>
      <c r="G22" s="9" t="str">
        <f aca="false">IF(F22="","",IF(F22&gt;=0.95,"En meta",IF(F22&gt;=0.8,"Riesgo","Atrasado")))</f>
        <v/>
      </c>
    </row>
    <row r="23" customFormat="false" ht="15" hidden="false" customHeight="false" outlineLevel="0" collapsed="false">
      <c r="A23" s="20" t="n">
        <v>46419</v>
      </c>
      <c r="B23" s="15" t="n">
        <f aca="false">$C$19/12</f>
        <v>83333.3333333333</v>
      </c>
      <c r="C23" s="8"/>
      <c r="D23" s="15" t="n">
        <f aca="false">SUM($B$22:B23)</f>
        <v>166666.666666667</v>
      </c>
      <c r="E23" s="15" t="n">
        <f aca="false">SUM($C$22:C23)</f>
        <v>0</v>
      </c>
      <c r="F23" s="16" t="str">
        <f aca="false">IF(COUNT($C$22:C23)=0,"",E23/D23)</f>
        <v/>
      </c>
      <c r="G23" s="21" t="str">
        <f aca="false">IF(F23="","",IF(F23&gt;=0.95,"En meta",IF(F23&gt;=0.8,"Riesgo","Atrasado")))</f>
        <v/>
      </c>
    </row>
    <row r="24" customFormat="false" ht="15" hidden="false" customHeight="false" outlineLevel="0" collapsed="false">
      <c r="A24" s="19" t="n">
        <v>46447</v>
      </c>
      <c r="B24" s="6" t="n">
        <f aca="false">$C$19/12</f>
        <v>83333.3333333333</v>
      </c>
      <c r="C24" s="8"/>
      <c r="D24" s="6" t="n">
        <f aca="false">SUM($B$22:B24)</f>
        <v>250000</v>
      </c>
      <c r="E24" s="6" t="n">
        <f aca="false">SUM($C$22:C24)</f>
        <v>0</v>
      </c>
      <c r="F24" s="7" t="str">
        <f aca="false">IF(COUNT($C$22:C24)=0,"",E24/D24)</f>
        <v/>
      </c>
      <c r="G24" s="9" t="str">
        <f aca="false">IF(F24="","",IF(F24&gt;=0.95,"En meta",IF(F24&gt;=0.8,"Riesgo","Atrasado")))</f>
        <v/>
      </c>
    </row>
    <row r="25" customFormat="false" ht="15" hidden="false" customHeight="false" outlineLevel="0" collapsed="false">
      <c r="A25" s="20" t="n">
        <v>46478</v>
      </c>
      <c r="B25" s="15" t="n">
        <f aca="false">$C$19/12</f>
        <v>83333.3333333333</v>
      </c>
      <c r="C25" s="8"/>
      <c r="D25" s="15" t="n">
        <f aca="false">SUM($B$22:B25)</f>
        <v>333333.333333333</v>
      </c>
      <c r="E25" s="15" t="n">
        <f aca="false">SUM($C$22:C25)</f>
        <v>0</v>
      </c>
      <c r="F25" s="16" t="str">
        <f aca="false">IF(COUNT($C$22:C25)=0,"",E25/D25)</f>
        <v/>
      </c>
      <c r="G25" s="21" t="str">
        <f aca="false">IF(F25="","",IF(F25&gt;=0.95,"En meta",IF(F25&gt;=0.8,"Riesgo","Atrasado")))</f>
        <v/>
      </c>
    </row>
    <row r="26" customFormat="false" ht="15" hidden="false" customHeight="false" outlineLevel="0" collapsed="false">
      <c r="A26" s="19" t="n">
        <v>46508</v>
      </c>
      <c r="B26" s="6" t="n">
        <f aca="false">$C$19/12</f>
        <v>83333.3333333333</v>
      </c>
      <c r="C26" s="8"/>
      <c r="D26" s="6" t="n">
        <f aca="false">SUM($B$22:B26)</f>
        <v>416666.666666667</v>
      </c>
      <c r="E26" s="6" t="n">
        <f aca="false">SUM($C$22:C26)</f>
        <v>0</v>
      </c>
      <c r="F26" s="7" t="str">
        <f aca="false">IF(COUNT($C$22:C26)=0,"",E26/D26)</f>
        <v/>
      </c>
      <c r="G26" s="9" t="str">
        <f aca="false">IF(F26="","",IF(F26&gt;=0.95,"En meta",IF(F26&gt;=0.8,"Riesgo","Atrasado")))</f>
        <v/>
      </c>
    </row>
    <row r="27" customFormat="false" ht="15" hidden="false" customHeight="false" outlineLevel="0" collapsed="false">
      <c r="A27" s="20" t="n">
        <v>46539</v>
      </c>
      <c r="B27" s="15" t="n">
        <f aca="false">$C$19/12</f>
        <v>83333.3333333333</v>
      </c>
      <c r="C27" s="8"/>
      <c r="D27" s="15" t="n">
        <f aca="false">SUM($B$22:B27)</f>
        <v>500000</v>
      </c>
      <c r="E27" s="15" t="n">
        <f aca="false">SUM($C$22:C27)</f>
        <v>0</v>
      </c>
      <c r="F27" s="16" t="str">
        <f aca="false">IF(COUNT($C$22:C27)=0,"",E27/D27)</f>
        <v/>
      </c>
      <c r="G27" s="21" t="str">
        <f aca="false">IF(F27="","",IF(F27&gt;=0.95,"En meta",IF(F27&gt;=0.8,"Riesgo","Atrasado")))</f>
        <v/>
      </c>
    </row>
    <row r="28" customFormat="false" ht="15" hidden="false" customHeight="false" outlineLevel="0" collapsed="false">
      <c r="A28" s="19" t="n">
        <v>46569</v>
      </c>
      <c r="B28" s="6" t="n">
        <f aca="false">$C$19/12</f>
        <v>83333.3333333333</v>
      </c>
      <c r="C28" s="8"/>
      <c r="D28" s="6" t="n">
        <f aca="false">SUM($B$22:B28)</f>
        <v>583333.333333333</v>
      </c>
      <c r="E28" s="6" t="n">
        <f aca="false">SUM($C$22:C28)</f>
        <v>0</v>
      </c>
      <c r="F28" s="7" t="str">
        <f aca="false">IF(COUNT($C$22:C28)=0,"",E28/D28)</f>
        <v/>
      </c>
      <c r="G28" s="9" t="str">
        <f aca="false">IF(F28="","",IF(F28&gt;=0.95,"En meta",IF(F28&gt;=0.8,"Riesgo","Atrasado")))</f>
        <v/>
      </c>
    </row>
    <row r="29" customFormat="false" ht="15" hidden="false" customHeight="false" outlineLevel="0" collapsed="false">
      <c r="A29" s="20" t="n">
        <v>46600</v>
      </c>
      <c r="B29" s="15" t="n">
        <f aca="false">$C$19/12</f>
        <v>83333.3333333333</v>
      </c>
      <c r="C29" s="8"/>
      <c r="D29" s="15" t="n">
        <f aca="false">SUM($B$22:B29)</f>
        <v>666666.666666667</v>
      </c>
      <c r="E29" s="15" t="n">
        <f aca="false">SUM($C$22:C29)</f>
        <v>0</v>
      </c>
      <c r="F29" s="16" t="str">
        <f aca="false">IF(COUNT($C$22:C29)=0,"",E29/D29)</f>
        <v/>
      </c>
      <c r="G29" s="21" t="str">
        <f aca="false">IF(F29="","",IF(F29&gt;=0.95,"En meta",IF(F29&gt;=0.8,"Riesgo","Atrasado")))</f>
        <v/>
      </c>
    </row>
    <row r="30" customFormat="false" ht="15" hidden="false" customHeight="false" outlineLevel="0" collapsed="false">
      <c r="A30" s="19" t="n">
        <v>46631</v>
      </c>
      <c r="B30" s="6" t="n">
        <f aca="false">$C$19/12</f>
        <v>83333.3333333333</v>
      </c>
      <c r="C30" s="8"/>
      <c r="D30" s="6" t="n">
        <f aca="false">SUM($B$22:B30)</f>
        <v>750000</v>
      </c>
      <c r="E30" s="6" t="n">
        <f aca="false">SUM($C$22:C30)</f>
        <v>0</v>
      </c>
      <c r="F30" s="7" t="str">
        <f aca="false">IF(COUNT($C$22:C30)=0,"",E30/D30)</f>
        <v/>
      </c>
      <c r="G30" s="9" t="str">
        <f aca="false">IF(F30="","",IF(F30&gt;=0.95,"En meta",IF(F30&gt;=0.8,"Riesgo","Atrasado")))</f>
        <v/>
      </c>
    </row>
    <row r="31" customFormat="false" ht="15" hidden="false" customHeight="false" outlineLevel="0" collapsed="false">
      <c r="A31" s="20" t="n">
        <v>46661</v>
      </c>
      <c r="B31" s="15" t="n">
        <f aca="false">$C$19/12</f>
        <v>83333.3333333333</v>
      </c>
      <c r="C31" s="8"/>
      <c r="D31" s="15" t="n">
        <f aca="false">SUM($B$22:B31)</f>
        <v>833333.333333333</v>
      </c>
      <c r="E31" s="15" t="n">
        <f aca="false">SUM($C$22:C31)</f>
        <v>0</v>
      </c>
      <c r="F31" s="16" t="str">
        <f aca="false">IF(COUNT($C$22:C31)=0,"",E31/D31)</f>
        <v/>
      </c>
      <c r="G31" s="21" t="str">
        <f aca="false">IF(F31="","",IF(F31&gt;=0.95,"En meta",IF(F31&gt;=0.8,"Riesgo","Atrasado")))</f>
        <v/>
      </c>
    </row>
    <row r="32" customFormat="false" ht="15" hidden="false" customHeight="false" outlineLevel="0" collapsed="false">
      <c r="A32" s="19" t="n">
        <v>46692</v>
      </c>
      <c r="B32" s="6" t="n">
        <f aca="false">$C$19/12</f>
        <v>83333.3333333333</v>
      </c>
      <c r="C32" s="8"/>
      <c r="D32" s="6" t="n">
        <f aca="false">SUM($B$22:B32)</f>
        <v>916666.666666667</v>
      </c>
      <c r="E32" s="6" t="n">
        <f aca="false">SUM($C$22:C32)</f>
        <v>0</v>
      </c>
      <c r="F32" s="7" t="str">
        <f aca="false">IF(COUNT($C$22:C32)=0,"",E32/D32)</f>
        <v/>
      </c>
      <c r="G32" s="9" t="str">
        <f aca="false">IF(F32="","",IF(F32&gt;=0.95,"En meta",IF(F32&gt;=0.8,"Riesgo","Atrasado")))</f>
        <v/>
      </c>
    </row>
    <row r="33" customFormat="false" ht="15" hidden="false" customHeight="false" outlineLevel="0" collapsed="false">
      <c r="A33" s="20" t="n">
        <v>46722</v>
      </c>
      <c r="B33" s="15" t="n">
        <f aca="false">$C$19/12</f>
        <v>83333.3333333333</v>
      </c>
      <c r="C33" s="8"/>
      <c r="D33" s="15" t="n">
        <f aca="false">SUM($B$22:B33)</f>
        <v>1000000</v>
      </c>
      <c r="E33" s="15" t="n">
        <f aca="false">SUM($C$22:C33)</f>
        <v>0</v>
      </c>
      <c r="F33" s="16" t="str">
        <f aca="false">IF(COUNT($C$22:C33)=0,"",E33/D33)</f>
        <v/>
      </c>
      <c r="G33" s="21" t="str">
        <f aca="false">IF(F33="","",IF(F33&gt;=0.95,"En meta",IF(F33&gt;=0.8,"Riesgo","Atrasado")))</f>
        <v/>
      </c>
    </row>
    <row r="35" customFormat="false" ht="15" hidden="false" customHeight="false" outlineLevel="0" collapsed="false">
      <c r="A35" s="3" t="s">
        <v>31</v>
      </c>
    </row>
    <row r="36" customFormat="false" ht="15" hidden="false" customHeight="false" outlineLevel="0" collapsed="false">
      <c r="A36" s="4" t="s">
        <v>32</v>
      </c>
      <c r="B36" s="4" t="s">
        <v>33</v>
      </c>
      <c r="C36" s="4" t="s">
        <v>34</v>
      </c>
      <c r="D36" s="4" t="s">
        <v>35</v>
      </c>
      <c r="E36" s="4" t="s">
        <v>36</v>
      </c>
      <c r="F36" s="4" t="s">
        <v>37</v>
      </c>
      <c r="G36" s="4" t="s">
        <v>9</v>
      </c>
      <c r="H36" s="4" t="s">
        <v>10</v>
      </c>
    </row>
    <row r="37" customFormat="false" ht="30" hidden="false" customHeight="true" outlineLevel="0" collapsed="false">
      <c r="A37" s="5" t="n">
        <v>1</v>
      </c>
      <c r="B37" s="22" t="s">
        <v>38</v>
      </c>
      <c r="C37" s="23" t="str">
        <f aca="false">'1. Smart User 500'!$B$4</f>
        <v>Por asignar</v>
      </c>
      <c r="D37" s="24" t="s">
        <v>39</v>
      </c>
      <c r="E37" s="25" t="n">
        <f aca="false">'1. Smart User 500'!$B$5</f>
        <v>500</v>
      </c>
      <c r="F37" s="25" t="str">
        <f aca="false">IFERROR(LOOKUP(2,1/('1. Smart User 500'!$D$11:$D$39&lt;&gt;""),'1. Smart User 500'!$D$11:$D$39),"Sin datos")</f>
        <v>Sin datos</v>
      </c>
      <c r="G37" s="26" t="str">
        <f aca="false">IFERROR(LOOKUP(2,1/('1. Smart User 500'!$D$11:$D$39&lt;&gt;""),'1. Smart User 500'!$H$11:$H$39),"Sin datos")</f>
        <v>Sin datos</v>
      </c>
      <c r="H37" s="27" t="s">
        <v>40</v>
      </c>
    </row>
    <row r="38" customFormat="false" ht="30" hidden="false" customHeight="true" outlineLevel="0" collapsed="false">
      <c r="A38" s="28" t="n">
        <v>2</v>
      </c>
      <c r="B38" s="29" t="s">
        <v>41</v>
      </c>
      <c r="C38" s="30" t="str">
        <f aca="false">'2. MV Advisory'!$B$4</f>
        <v>Por asignar</v>
      </c>
      <c r="D38" s="31" t="s">
        <v>42</v>
      </c>
      <c r="E38" s="32" t="n">
        <f aca="false">'2. MV Advisory'!$B$5</f>
        <v>10000</v>
      </c>
      <c r="F38" s="32" t="str">
        <f aca="false">IFERROR(LOOKUP(2,1/('2. MV Advisory'!$D$11:$D$52&lt;&gt;""),'2. MV Advisory'!$D$11:$D$52),"Sin datos")</f>
        <v>Sin datos</v>
      </c>
      <c r="G38" s="33" t="str">
        <f aca="false">IFERROR(LOOKUP(2,1/('2. MV Advisory'!$D$11:$D$52&lt;&gt;""),'2. MV Advisory'!$H$11:$H$52),"Sin datos")</f>
        <v>Sin datos</v>
      </c>
      <c r="H38" s="34" t="s">
        <v>43</v>
      </c>
    </row>
    <row r="39" customFormat="false" ht="30" hidden="false" customHeight="true" outlineLevel="0" collapsed="false">
      <c r="A39" s="5" t="n">
        <v>3</v>
      </c>
      <c r="B39" s="22" t="s">
        <v>44</v>
      </c>
      <c r="C39" s="23" t="str">
        <f aca="false">'3. Negocios +30K GP'!$B$4</f>
        <v>Por asignar</v>
      </c>
      <c r="D39" s="24" t="s">
        <v>45</v>
      </c>
      <c r="E39" s="25" t="n">
        <f aca="false">'3. Negocios +30K GP'!$B$5</f>
        <v>10</v>
      </c>
      <c r="F39" s="25" t="str">
        <f aca="false">IFERROR(LOOKUP(2,1/('3. Negocios +30K GP'!$D$11:$D$91&lt;&gt;""),'3. Negocios +30K GP'!$D$11:$D$91),"Sin datos")</f>
        <v>Sin datos</v>
      </c>
      <c r="G39" s="26" t="str">
        <f aca="false">IFERROR(LOOKUP(2,1/('3. Negocios +30K GP'!$D$11:$D$91&lt;&gt;""),'3. Negocios +30K GP'!$H$11:$H$91),"Sin datos")</f>
        <v>Sin datos</v>
      </c>
      <c r="H39" s="27" t="s">
        <v>46</v>
      </c>
    </row>
    <row r="40" customFormat="false" ht="30" hidden="false" customHeight="true" outlineLevel="0" collapsed="false">
      <c r="A40" s="28" t="n">
        <v>4</v>
      </c>
      <c r="B40" s="29" t="s">
        <v>47</v>
      </c>
      <c r="C40" s="30" t="str">
        <f aca="false">'4. Entregas 100%'!$B$4</f>
        <v>Por asignar</v>
      </c>
      <c r="D40" s="31" t="s">
        <v>48</v>
      </c>
      <c r="E40" s="35" t="n">
        <f aca="false">'4. Entregas 100%'!$B$5</f>
        <v>1</v>
      </c>
      <c r="F40" s="35" t="str">
        <f aca="false">IFERROR(LOOKUP(2,1/('4. Entregas 100%'!$D$11:$D$91&lt;&gt;""),'4. Entregas 100%'!$D$11:$D$91),"Sin datos")</f>
        <v>Sin datos</v>
      </c>
      <c r="G40" s="33" t="str">
        <f aca="false">IFERROR(LOOKUP(2,1/('4. Entregas 100%'!$D$11:$D$91&lt;&gt;""),'4. Entregas 100%'!$H$11:$H$91),"Sin datos")</f>
        <v>Sin datos</v>
      </c>
      <c r="H40" s="34" t="s">
        <v>49</v>
      </c>
    </row>
    <row r="41" customFormat="false" ht="30" hidden="false" customHeight="true" outlineLevel="0" collapsed="false">
      <c r="A41" s="5" t="n">
        <v>5</v>
      </c>
      <c r="B41" s="22" t="s">
        <v>50</v>
      </c>
      <c r="C41" s="23" t="str">
        <f aca="false">'5. MV Datacenter'!$B$4</f>
        <v>Por asignar</v>
      </c>
      <c r="D41" s="24" t="s">
        <v>51</v>
      </c>
      <c r="E41" s="36" t="n">
        <f aca="false">'5. MV Datacenter'!$B$5</f>
        <v>20000</v>
      </c>
      <c r="F41" s="36" t="str">
        <f aca="false">IFERROR(LOOKUP(2,1/('5. MV Datacenter'!$D$11:$D$91&lt;&gt;""),'5. MV Datacenter'!$D$11:$D$91),"Sin datos")</f>
        <v>Sin datos</v>
      </c>
      <c r="G41" s="26" t="str">
        <f aca="false">IFERROR(LOOKUP(2,1/('5. MV Datacenter'!$D$11:$D$91&lt;&gt;""),'5. MV Datacenter'!$H$11:$H$91),"Sin datos")</f>
        <v>Sin datos</v>
      </c>
      <c r="H41" s="27" t="s">
        <v>52</v>
      </c>
    </row>
    <row r="42" customFormat="false" ht="30" hidden="false" customHeight="true" outlineLevel="0" collapsed="false">
      <c r="A42" s="28" t="n">
        <v>6</v>
      </c>
      <c r="B42" s="29" t="s">
        <v>53</v>
      </c>
      <c r="C42" s="30" t="str">
        <f aca="false">'6. Cero Expired'!$B$4</f>
        <v>Por asignar</v>
      </c>
      <c r="D42" s="31" t="s">
        <v>54</v>
      </c>
      <c r="E42" s="37" t="n">
        <f aca="false">'6. Cero Expired'!$B$5</f>
        <v>0</v>
      </c>
      <c r="F42" s="37" t="str">
        <f aca="false">IFERROR(LOOKUP(2,1/('6. Cero Expired'!$D$11:$D$91&lt;&gt;""),'6. Cero Expired'!$D$11:$D$91),"Sin datos")</f>
        <v>Sin datos</v>
      </c>
      <c r="G42" s="33" t="str">
        <f aca="false">IFERROR(LOOKUP(2,1/('6. Cero Expired'!$D$11:$D$91&lt;&gt;""),'6. Cero Expired'!$H$11:$H$91),"Sin datos")</f>
        <v>Sin datos</v>
      </c>
      <c r="H42" s="34" t="s">
        <v>55</v>
      </c>
    </row>
    <row r="43" customFormat="false" ht="30" hidden="false" customHeight="true" outlineLevel="0" collapsed="false">
      <c r="A43" s="5" t="n">
        <v>7</v>
      </c>
      <c r="B43" s="22" t="s">
        <v>56</v>
      </c>
      <c r="C43" s="23" t="str">
        <f aca="false">'7. MV Digital Sol'!$B$4</f>
        <v>Por asignar</v>
      </c>
      <c r="D43" s="24" t="s">
        <v>57</v>
      </c>
      <c r="E43" s="36" t="n">
        <f aca="false">'7. MV Digital Sol'!$B$5</f>
        <v>30000</v>
      </c>
      <c r="F43" s="36" t="str">
        <f aca="false">IFERROR(LOOKUP(2,1/('7. MV Digital Sol'!$D$11:$D$56&lt;&gt;""),'7. MV Digital Sol'!$D$11:$D$56),"Sin datos")</f>
        <v>Sin datos</v>
      </c>
      <c r="G43" s="26" t="str">
        <f aca="false">IFERROR(LOOKUP(2,1/('7. MV Digital Sol'!$D$11:$D$56&lt;&gt;""),'7. MV Digital Sol'!$H$11:$H$56),"Sin datos")</f>
        <v>Sin datos</v>
      </c>
      <c r="H43" s="27" t="s">
        <v>58</v>
      </c>
    </row>
    <row r="44" customFormat="false" ht="30" hidden="false" customHeight="true" outlineLevel="0" collapsed="false">
      <c r="A44" s="28" t="n">
        <v>8</v>
      </c>
      <c r="B44" s="29" t="s">
        <v>59</v>
      </c>
      <c r="C44" s="30" t="str">
        <f aca="false">'8. GP 16%'!$B$4</f>
        <v>Por asignar</v>
      </c>
      <c r="D44" s="31" t="s">
        <v>60</v>
      </c>
      <c r="E44" s="35" t="n">
        <f aca="false">'8. GP 16%'!$B$5</f>
        <v>0.16</v>
      </c>
      <c r="F44" s="35" t="str">
        <f aca="false">IFERROR(LOOKUP(2,1/('8. GP 16%'!$D$11:$D$28&lt;&gt;""),'8. GP 16%'!$D$11:$D$28),"Sin datos")</f>
        <v>Sin datos</v>
      </c>
      <c r="G44" s="33" t="str">
        <f aca="false">IFERROR(LOOKUP(2,1/('8. GP 16%'!$D$11:$D$28&lt;&gt;""),'8. GP 16%'!$H$11:$H$28),"Sin datos")</f>
        <v>Sin datos</v>
      </c>
      <c r="H44" s="34" t="s">
        <v>61</v>
      </c>
    </row>
    <row r="45" customFormat="false" ht="30" hidden="false" customHeight="true" outlineLevel="0" collapsed="false">
      <c r="A45" s="5" t="n">
        <v>9</v>
      </c>
      <c r="B45" s="22" t="s">
        <v>62</v>
      </c>
      <c r="C45" s="23" t="str">
        <f aca="false">'9. CSAT'!$B$4</f>
        <v>Por asignar</v>
      </c>
      <c r="D45" s="24" t="s">
        <v>63</v>
      </c>
      <c r="E45" s="38" t="n">
        <f aca="false">'9. CSAT'!$B$5</f>
        <v>4.5</v>
      </c>
      <c r="F45" s="38" t="str">
        <f aca="false">IFERROR(LOOKUP(2,1/('9. CSAT'!$D$11:$D$28&lt;&gt;""),'9. CSAT'!$D$11:$D$28),"Sin datos")</f>
        <v>Sin datos</v>
      </c>
      <c r="G45" s="26" t="str">
        <f aca="false">IFERROR(LOOKUP(2,1/('9. CSAT'!$D$11:$D$28&lt;&gt;""),'9. CSAT'!$H$11:$H$28),"Sin datos")</f>
        <v>Sin datos</v>
      </c>
      <c r="H45" s="27" t="s">
        <v>64</v>
      </c>
    </row>
    <row r="46" customFormat="false" ht="30" hidden="false" customHeight="true" outlineLevel="0" collapsed="false">
      <c r="A46" s="28" t="n">
        <v>10</v>
      </c>
      <c r="B46" s="29" t="s">
        <v>65</v>
      </c>
      <c r="C46" s="30" t="str">
        <f aca="false">'10. Apalancamiento'!$B$4</f>
        <v>Por asignar</v>
      </c>
      <c r="D46" s="31" t="s">
        <v>66</v>
      </c>
      <c r="E46" s="35" t="n">
        <f aca="false">'10. Apalancamiento'!$B$5</f>
        <v>0.09</v>
      </c>
      <c r="F46" s="35" t="str">
        <f aca="false">IFERROR(LOOKUP(2,1/('10. Apalancamiento'!$D$11:$D$28&lt;&gt;""),'10. Apalancamiento'!$D$11:$D$28),"Sin datos")</f>
        <v>Sin datos</v>
      </c>
      <c r="G46" s="33" t="str">
        <f aca="false">IFERROR(LOOKUP(2,1/('10. Apalancamiento'!$D$11:$D$28&lt;&gt;""),'10. Apalancamiento'!$H$11:$H$28),"Sin datos")</f>
        <v>Sin datos</v>
      </c>
      <c r="H46" s="34" t="s">
        <v>67</v>
      </c>
    </row>
    <row r="47" customFormat="false" ht="30" hidden="false" customHeight="true" outlineLevel="0" collapsed="false">
      <c r="A47" s="5" t="n">
        <v>11</v>
      </c>
      <c r="B47" s="22" t="s">
        <v>68</v>
      </c>
      <c r="C47" s="23" t="str">
        <f aca="false">'11. Recuperar DS'!$B$4</f>
        <v>Por asignar</v>
      </c>
      <c r="D47" s="24" t="s">
        <v>69</v>
      </c>
      <c r="E47" s="36" t="n">
        <f aca="false">'11. Recuperar DS'!$B$5</f>
        <v>0</v>
      </c>
      <c r="F47" s="36" t="str">
        <f aca="false">IFERROR(LOOKUP(2,1/('11. Recuperar DS'!$D$11:$D$28&lt;&gt;""),'11. Recuperar DS'!$D$11:$D$28),"Sin datos")</f>
        <v>Sin datos</v>
      </c>
      <c r="G47" s="26" t="str">
        <f aca="false">IFERROR(LOOKUP(2,1/('11. Recuperar DS'!$D$11:$D$28&lt;&gt;""),'11. Recuperar DS'!$H$11:$H$28),"Sin datos")</f>
        <v>Sin datos</v>
      </c>
      <c r="H47" s="27" t="s">
        <v>70</v>
      </c>
    </row>
    <row r="48" customFormat="false" ht="30" hidden="false" customHeight="true" outlineLevel="0" collapsed="false">
      <c r="A48" s="28" t="n">
        <v>12</v>
      </c>
      <c r="B48" s="29" t="s">
        <v>71</v>
      </c>
      <c r="C48" s="30" t="str">
        <f aca="false">'12. Utilizacion'!$B$4</f>
        <v>Por asignar</v>
      </c>
      <c r="D48" s="31" t="s">
        <v>72</v>
      </c>
      <c r="E48" s="35" t="n">
        <f aca="false">'12. Utilizacion'!$B$5</f>
        <v>0.48</v>
      </c>
      <c r="F48" s="35" t="str">
        <f aca="false">IFERROR(LOOKUP(2,1/('12. Utilizacion'!$D$11:$D$28&lt;&gt;""),'12. Utilizacion'!$D$11:$D$28),"Sin datos")</f>
        <v>Sin datos</v>
      </c>
      <c r="G48" s="33" t="str">
        <f aca="false">IFERROR(LOOKUP(2,1/('12. Utilizacion'!$D$11:$D$28&lt;&gt;""),'12. Utilizacion'!$H$11:$H$28),"Sin datos")</f>
        <v>Sin datos</v>
      </c>
      <c r="H48" s="34" t="s">
        <v>73</v>
      </c>
    </row>
  </sheetData>
  <mergeCells count="2">
    <mergeCell ref="A1:H1"/>
    <mergeCell ref="A2:H2"/>
  </mergeCells>
  <conditionalFormatting sqref="G6:G9">
    <cfRule type="containsText" priority="2" operator="containsText" aboveAverage="0" equalAverage="0" bottom="0" percent="0" rank="0" text="En meta" dxfId="0">
      <formula>NOT(ISERROR(SEARCH("En meta",G6)))</formula>
    </cfRule>
    <cfRule type="containsText" priority="3" operator="containsText" aboveAverage="0" equalAverage="0" bottom="0" percent="0" rank="0" text="Riesgo" dxfId="1">
      <formula>NOT(ISERROR(SEARCH("Riesgo",G6)))</formula>
    </cfRule>
    <cfRule type="containsText" priority="4" operator="containsText" aboveAverage="0" equalAverage="0" bottom="0" percent="0" rank="0" text="Atrasado" dxfId="2">
      <formula>NOT(ISERROR(SEARCH("Atrasado",G6)))</formula>
    </cfRule>
  </conditionalFormatting>
  <conditionalFormatting sqref="G22:G33">
    <cfRule type="containsText" priority="5" operator="containsText" aboveAverage="0" equalAverage="0" bottom="0" percent="0" rank="0" text="En meta" dxfId="0">
      <formula>NOT(ISERROR(SEARCH("En meta",G22)))</formula>
    </cfRule>
    <cfRule type="containsText" priority="6" operator="containsText" aboveAverage="0" equalAverage="0" bottom="0" percent="0" rank="0" text="Riesgo" dxfId="1">
      <formula>NOT(ISERROR(SEARCH("Riesgo",G22)))</formula>
    </cfRule>
    <cfRule type="containsText" priority="7" operator="containsText" aboveAverage="0" equalAverage="0" bottom="0" percent="0" rank="0" text="Atrasado" dxfId="2">
      <formula>NOT(ISERROR(SEARCH("Atrasado",G22)))</formula>
    </cfRule>
  </conditionalFormatting>
  <conditionalFormatting sqref="G37:G48">
    <cfRule type="containsText" priority="8" operator="containsText" aboveAverage="0" equalAverage="0" bottom="0" percent="0" rank="0" text="En meta" dxfId="0">
      <formula>NOT(ISERROR(SEARCH("En meta",G37)))</formula>
    </cfRule>
    <cfRule type="containsText" priority="9" operator="containsText" aboveAverage="0" equalAverage="0" bottom="0" percent="0" rank="0" text="Riesgo" dxfId="1">
      <formula>NOT(ISERROR(SEARCH("Riesgo",G37)))</formula>
    </cfRule>
    <cfRule type="containsText" priority="10" operator="containsText" aboveAverage="0" equalAverage="0" bottom="0" percent="0" rank="0" text="Atrasado" dxfId="2">
      <formula>NOT(ISERROR(SEARCH("Atrasado",G37)))</formula>
    </cfRule>
  </conditionalFormatting>
  <hyperlinks>
    <hyperlink ref="H7" r:id="rId1" location="'2027'!A1" display="Ver 2027"/>
    <hyperlink ref="H8" r:id="rId2" location="'2028'!A1" display="Ver 2028"/>
    <hyperlink ref="H9" r:id="rId3" location="'2029'!A1" display="Ver 2029"/>
    <hyperlink ref="H37" r:id="rId4" location="'1.%20Smart%20User%20500'!A1" display="1. Smart User 500"/>
    <hyperlink ref="H38" r:id="rId5" location="'2.%20MV%20Advisory'!A1" display="2. MV Advisory"/>
    <hyperlink ref="H39" r:id="rId6" location="'3.%20Negocios%20+30K%20GP'!A1" display="3. Negocios +30K GP"/>
    <hyperlink ref="H40" r:id="rId7" location="'4.%20Entregas%20100%25'!A1" display="4. Entregas 100%"/>
    <hyperlink ref="H41" r:id="rId8" location="'5.%20MV%20Datacenter'!A1" display="5. MV Datacenter"/>
    <hyperlink ref="H42" r:id="rId9" location="'6.%20Cero%20Expired'!A1" display="6. Cero Expired"/>
    <hyperlink ref="H43" r:id="rId10" location="'7.%20MV%20Digital%20Sol'!A1" display="7. MV Digital Sol"/>
    <hyperlink ref="H44" r:id="rId11" location="'8.%20GP%2016%25'!A1" display="8. GP 16%"/>
    <hyperlink ref="H45" r:id="rId12" location="'9.%20CSAT'!A1" display="9. CSAT"/>
    <hyperlink ref="H46" r:id="rId13" location="'10.%20Apalancamiento'!A1" display="10. Apalancamiento"/>
    <hyperlink ref="H47" r:id="rId14" location="'11.%20Recuperar%20DS'!A1" display="11. Recuperar DS"/>
    <hyperlink ref="H48" r:id="rId15" location="'12.%20Utilizacion'!A1" display="12. Utilizac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76</v>
      </c>
    </row>
    <row r="3" customFormat="false" ht="15" hidden="false" customHeight="false" outlineLevel="0" collapsed="false">
      <c r="A3" s="17" t="s">
        <v>77</v>
      </c>
      <c r="B3" s="40" t="s">
        <v>78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39</v>
      </c>
    </row>
    <row r="5" customFormat="false" ht="15" hidden="false" customHeight="false" outlineLevel="0" collapsed="false">
      <c r="A5" s="17" t="s">
        <v>82</v>
      </c>
      <c r="B5" s="42" t="n">
        <v>500</v>
      </c>
      <c r="D5" s="17" t="s">
        <v>83</v>
      </c>
      <c r="E5" s="43" t="n">
        <v>46188</v>
      </c>
      <c r="G5" s="17" t="s">
        <v>84</v>
      </c>
      <c r="H5" s="43" t="n">
        <v>46384</v>
      </c>
    </row>
    <row r="6" customFormat="false" ht="15" hidden="false" customHeight="false" outlineLevel="0" collapsed="false">
      <c r="A6" s="17" t="s">
        <v>85</v>
      </c>
      <c r="B6" s="40" t="s">
        <v>86</v>
      </c>
    </row>
    <row r="8" customFormat="false" ht="42" hidden="false" customHeight="true" outlineLevel="0" collapsed="false">
      <c r="A8" s="17" t="s">
        <v>87</v>
      </c>
      <c r="B8" s="44" t="n">
        <f aca="false">COUNT(A11:A39)</f>
        <v>29</v>
      </c>
      <c r="H8" s="45" t="s">
        <v>88</v>
      </c>
      <c r="I8" s="46" t="s">
        <v>89</v>
      </c>
      <c r="J8" s="46"/>
      <c r="K8" s="46" t="s">
        <v>90</v>
      </c>
      <c r="L8" s="46"/>
      <c r="M8" s="46" t="s">
        <v>91</v>
      </c>
      <c r="N8" s="46"/>
      <c r="O8" s="46" t="s">
        <v>92</v>
      </c>
      <c r="P8" s="46"/>
      <c r="Q8" s="46" t="s">
        <v>93</v>
      </c>
      <c r="R8" s="46"/>
      <c r="S8" s="46" t="s">
        <v>94</v>
      </c>
      <c r="T8" s="46"/>
      <c r="U8" s="46" t="s">
        <v>95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7" t="n">
        <v>20</v>
      </c>
      <c r="J9" s="47"/>
      <c r="K9" s="47" t="n">
        <v>2</v>
      </c>
      <c r="L9" s="47"/>
      <c r="M9" s="47" t="n">
        <v>3</v>
      </c>
      <c r="N9" s="47"/>
      <c r="O9" s="47" t="n">
        <v>30</v>
      </c>
      <c r="P9" s="47"/>
      <c r="Q9" s="47" t="n">
        <v>40</v>
      </c>
      <c r="R9" s="47"/>
      <c r="S9" s="47" t="n">
        <v>2</v>
      </c>
      <c r="T9" s="47"/>
      <c r="U9" s="48" t="n">
        <v>1</v>
      </c>
      <c r="V9" s="48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99</v>
      </c>
      <c r="C10" s="4" t="s">
        <v>100</v>
      </c>
      <c r="D10" s="4" t="s">
        <v>101</v>
      </c>
      <c r="E10" s="4" t="s">
        <v>28</v>
      </c>
      <c r="F10" s="4" t="s">
        <v>29</v>
      </c>
      <c r="G10" s="4" t="s">
        <v>30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50" t="n">
        <v>46188</v>
      </c>
      <c r="C11" s="51" t="n">
        <f aca="false">$B$5/$B$8</f>
        <v>17.2413793103448</v>
      </c>
      <c r="D11" s="52"/>
      <c r="E11" s="51" t="n">
        <f aca="false">SUM($C$11:C11)</f>
        <v>17.2413793103448</v>
      </c>
      <c r="F11" s="51" t="n">
        <f aca="false">SUM($D$11:D11)</f>
        <v>0</v>
      </c>
      <c r="G11" s="53" t="str">
        <f aca="false">IF(COUNT($D$11:D11)=0,"",F11/E11)</f>
        <v/>
      </c>
      <c r="H11" s="13" t="str">
        <f aca="false">IF(G11="","",IF(G11&gt;=0.95,"En meta",IF(G11&gt;=0.8,"Riesgo","Atrasado")))</f>
        <v/>
      </c>
      <c r="I11" s="54"/>
      <c r="J11" s="55" t="str">
        <f aca="false">IF(I11="","",IF($I$9="","",IF($I$9=0,"",I11/$I$9)))</f>
        <v/>
      </c>
      <c r="K11" s="54"/>
      <c r="L11" s="55" t="str">
        <f aca="false">IF(K11="","",IF($K$9="","",IF($K$9=0,"",K11/$K$9)))</f>
        <v/>
      </c>
      <c r="M11" s="54"/>
      <c r="N11" s="55" t="str">
        <f aca="false">IF(M11="","",IF($M$9="","",IF($M$9=0,"",M11/$M$9)))</f>
        <v/>
      </c>
      <c r="O11" s="54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4"/>
      <c r="T11" s="55" t="str">
        <f aca="false">IF(S11="","",IF($S$9="","",IF($S$9=0,"",S11/$S$9)))</f>
        <v/>
      </c>
      <c r="U11" s="56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57" t="n">
        <v>46195</v>
      </c>
      <c r="C12" s="58" t="n">
        <f aca="false">$B$5/$B$8</f>
        <v>17.2413793103448</v>
      </c>
      <c r="D12" s="52"/>
      <c r="E12" s="58" t="n">
        <f aca="false">SUM($C$11:C12)</f>
        <v>34.4827586206897</v>
      </c>
      <c r="F12" s="58" t="n">
        <f aca="false">SUM($D$11:D12)</f>
        <v>0</v>
      </c>
      <c r="G12" s="59" t="str">
        <f aca="false">IF(COUNT($D$11:D12)=0,"",F12/E12)</f>
        <v/>
      </c>
      <c r="H12" s="14" t="str">
        <f aca="false">IF(G12="","",IF(G12&gt;=0.95,"En meta",IF(G12&gt;=0.8,"Riesgo","Atrasado")))</f>
        <v/>
      </c>
      <c r="I12" s="54"/>
      <c r="J12" s="60" t="str">
        <f aca="false">IF(I12="","",IF($I$9="","",IF($I$9=0,"",I12/$I$9)))</f>
        <v/>
      </c>
      <c r="K12" s="54"/>
      <c r="L12" s="60" t="str">
        <f aca="false">IF(K12="","",IF($K$9="","",IF($K$9=0,"",K12/$K$9)))</f>
        <v/>
      </c>
      <c r="M12" s="54"/>
      <c r="N12" s="60" t="str">
        <f aca="false">IF(M12="","",IF($M$9="","",IF($M$9=0,"",M12/$M$9)))</f>
        <v/>
      </c>
      <c r="O12" s="54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4"/>
      <c r="T12" s="60" t="str">
        <f aca="false">IF(S12="","",IF($S$9="","",IF($S$9=0,"",S12/$S$9)))</f>
        <v/>
      </c>
      <c r="U12" s="56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50" t="n">
        <v>46202</v>
      </c>
      <c r="C13" s="51" t="n">
        <f aca="false">$B$5/$B$8</f>
        <v>17.2413793103448</v>
      </c>
      <c r="D13" s="52"/>
      <c r="E13" s="51" t="n">
        <f aca="false">SUM($C$11:C13)</f>
        <v>51.7241379310345</v>
      </c>
      <c r="F13" s="51" t="n">
        <f aca="false">SUM($D$11:D13)</f>
        <v>0</v>
      </c>
      <c r="G13" s="53" t="str">
        <f aca="false">IF(COUNT($D$11:D13)=0,"",F13/E13)</f>
        <v/>
      </c>
      <c r="H13" s="13" t="str">
        <f aca="false">IF(G13="","",IF(G13&gt;=0.95,"En meta",IF(G13&gt;=0.8,"Riesgo","Atrasado")))</f>
        <v/>
      </c>
      <c r="I13" s="54"/>
      <c r="J13" s="55" t="str">
        <f aca="false">IF(I13="","",IF($I$9="","",IF($I$9=0,"",I13/$I$9)))</f>
        <v/>
      </c>
      <c r="K13" s="54"/>
      <c r="L13" s="55" t="str">
        <f aca="false">IF(K13="","",IF($K$9="","",IF($K$9=0,"",K13/$K$9)))</f>
        <v/>
      </c>
      <c r="M13" s="54"/>
      <c r="N13" s="55" t="str">
        <f aca="false">IF(M13="","",IF($M$9="","",IF($M$9=0,"",M13/$M$9)))</f>
        <v/>
      </c>
      <c r="O13" s="54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4"/>
      <c r="T13" s="55" t="str">
        <f aca="false">IF(S13="","",IF($S$9="","",IF($S$9=0,"",S13/$S$9)))</f>
        <v/>
      </c>
      <c r="U13" s="56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57" t="n">
        <v>46209</v>
      </c>
      <c r="C14" s="58" t="n">
        <f aca="false">$B$5/$B$8</f>
        <v>17.2413793103448</v>
      </c>
      <c r="D14" s="52"/>
      <c r="E14" s="58" t="n">
        <f aca="false">SUM($C$11:C14)</f>
        <v>68.9655172413793</v>
      </c>
      <c r="F14" s="58" t="n">
        <f aca="false">SUM($D$11:D14)</f>
        <v>0</v>
      </c>
      <c r="G14" s="59" t="str">
        <f aca="false">IF(COUNT($D$11:D14)=0,"",F14/E14)</f>
        <v/>
      </c>
      <c r="H14" s="14" t="str">
        <f aca="false">IF(G14="","",IF(G14&gt;=0.95,"En meta",IF(G14&gt;=0.8,"Riesgo","Atrasado")))</f>
        <v/>
      </c>
      <c r="I14" s="54"/>
      <c r="J14" s="60" t="str">
        <f aca="false">IF(I14="","",IF($I$9="","",IF($I$9=0,"",I14/$I$9)))</f>
        <v/>
      </c>
      <c r="K14" s="54"/>
      <c r="L14" s="60" t="str">
        <f aca="false">IF(K14="","",IF($K$9="","",IF($K$9=0,"",K14/$K$9)))</f>
        <v/>
      </c>
      <c r="M14" s="54"/>
      <c r="N14" s="60" t="str">
        <f aca="false">IF(M14="","",IF($M$9="","",IF($M$9=0,"",M14/$M$9)))</f>
        <v/>
      </c>
      <c r="O14" s="54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4"/>
      <c r="T14" s="60" t="str">
        <f aca="false">IF(S14="","",IF($S$9="","",IF($S$9=0,"",S14/$S$9)))</f>
        <v/>
      </c>
      <c r="U14" s="56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50" t="n">
        <v>46216</v>
      </c>
      <c r="C15" s="51" t="n">
        <f aca="false">$B$5/$B$8</f>
        <v>17.2413793103448</v>
      </c>
      <c r="D15" s="52"/>
      <c r="E15" s="51" t="n">
        <f aca="false">SUM($C$11:C15)</f>
        <v>86.2068965517241</v>
      </c>
      <c r="F15" s="51" t="n">
        <f aca="false">SUM($D$11:D15)</f>
        <v>0</v>
      </c>
      <c r="G15" s="53" t="str">
        <f aca="false">IF(COUNT($D$11:D15)=0,"",F15/E15)</f>
        <v/>
      </c>
      <c r="H15" s="13" t="str">
        <f aca="false">IF(G15="","",IF(G15&gt;=0.95,"En meta",IF(G15&gt;=0.8,"Riesgo","Atrasado")))</f>
        <v/>
      </c>
      <c r="I15" s="54"/>
      <c r="J15" s="55" t="str">
        <f aca="false">IF(I15="","",IF($I$9="","",IF($I$9=0,"",I15/$I$9)))</f>
        <v/>
      </c>
      <c r="K15" s="54"/>
      <c r="L15" s="55" t="str">
        <f aca="false">IF(K15="","",IF($K$9="","",IF($K$9=0,"",K15/$K$9)))</f>
        <v/>
      </c>
      <c r="M15" s="54"/>
      <c r="N15" s="55" t="str">
        <f aca="false">IF(M15="","",IF($M$9="","",IF($M$9=0,"",M15/$M$9)))</f>
        <v/>
      </c>
      <c r="O15" s="54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4"/>
      <c r="T15" s="55" t="str">
        <f aca="false">IF(S15="","",IF($S$9="","",IF($S$9=0,"",S15/$S$9)))</f>
        <v/>
      </c>
      <c r="U15" s="56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57" t="n">
        <v>46223</v>
      </c>
      <c r="C16" s="58" t="n">
        <f aca="false">$B$5/$B$8</f>
        <v>17.2413793103448</v>
      </c>
      <c r="D16" s="52"/>
      <c r="E16" s="58" t="n">
        <f aca="false">SUM($C$11:C16)</f>
        <v>103.448275862069</v>
      </c>
      <c r="F16" s="58" t="n">
        <f aca="false">SUM($D$11:D16)</f>
        <v>0</v>
      </c>
      <c r="G16" s="59" t="str">
        <f aca="false">IF(COUNT($D$11:D16)=0,"",F16/E16)</f>
        <v/>
      </c>
      <c r="H16" s="14" t="str">
        <f aca="false">IF(G16="","",IF(G16&gt;=0.95,"En meta",IF(G16&gt;=0.8,"Riesgo","Atrasado")))</f>
        <v/>
      </c>
      <c r="I16" s="54"/>
      <c r="J16" s="60" t="str">
        <f aca="false">IF(I16="","",IF($I$9="","",IF($I$9=0,"",I16/$I$9)))</f>
        <v/>
      </c>
      <c r="K16" s="54"/>
      <c r="L16" s="60" t="str">
        <f aca="false">IF(K16="","",IF($K$9="","",IF($K$9=0,"",K16/$K$9)))</f>
        <v/>
      </c>
      <c r="M16" s="54"/>
      <c r="N16" s="60" t="str">
        <f aca="false">IF(M16="","",IF($M$9="","",IF($M$9=0,"",M16/$M$9)))</f>
        <v/>
      </c>
      <c r="O16" s="54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4"/>
      <c r="T16" s="60" t="str">
        <f aca="false">IF(S16="","",IF($S$9="","",IF($S$9=0,"",S16/$S$9)))</f>
        <v/>
      </c>
      <c r="U16" s="56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50" t="n">
        <v>46230</v>
      </c>
      <c r="C17" s="51" t="n">
        <f aca="false">$B$5/$B$8</f>
        <v>17.2413793103448</v>
      </c>
      <c r="D17" s="52"/>
      <c r="E17" s="51" t="n">
        <f aca="false">SUM($C$11:C17)</f>
        <v>120.689655172414</v>
      </c>
      <c r="F17" s="51" t="n">
        <f aca="false">SUM($D$11:D17)</f>
        <v>0</v>
      </c>
      <c r="G17" s="53" t="str">
        <f aca="false">IF(COUNT($D$11:D17)=0,"",F17/E17)</f>
        <v/>
      </c>
      <c r="H17" s="13" t="str">
        <f aca="false">IF(G17="","",IF(G17&gt;=0.95,"En meta",IF(G17&gt;=0.8,"Riesgo","Atrasado")))</f>
        <v/>
      </c>
      <c r="I17" s="54"/>
      <c r="J17" s="55" t="str">
        <f aca="false">IF(I17="","",IF($I$9="","",IF($I$9=0,"",I17/$I$9)))</f>
        <v/>
      </c>
      <c r="K17" s="54"/>
      <c r="L17" s="55" t="str">
        <f aca="false">IF(K17="","",IF($K$9="","",IF($K$9=0,"",K17/$K$9)))</f>
        <v/>
      </c>
      <c r="M17" s="54"/>
      <c r="N17" s="55" t="str">
        <f aca="false">IF(M17="","",IF($M$9="","",IF($M$9=0,"",M17/$M$9)))</f>
        <v/>
      </c>
      <c r="O17" s="54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4"/>
      <c r="T17" s="55" t="str">
        <f aca="false">IF(S17="","",IF($S$9="","",IF($S$9=0,"",S17/$S$9)))</f>
        <v/>
      </c>
      <c r="U17" s="56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57" t="n">
        <v>46237</v>
      </c>
      <c r="C18" s="58" t="n">
        <f aca="false">$B$5/$B$8</f>
        <v>17.2413793103448</v>
      </c>
      <c r="D18" s="52"/>
      <c r="E18" s="58" t="n">
        <f aca="false">SUM($C$11:C18)</f>
        <v>137.931034482759</v>
      </c>
      <c r="F18" s="58" t="n">
        <f aca="false">SUM($D$11:D18)</f>
        <v>0</v>
      </c>
      <c r="G18" s="59" t="str">
        <f aca="false">IF(COUNT($D$11:D18)=0,"",F18/E18)</f>
        <v/>
      </c>
      <c r="H18" s="14" t="str">
        <f aca="false">IF(G18="","",IF(G18&gt;=0.95,"En meta",IF(G18&gt;=0.8,"Riesgo","Atrasado")))</f>
        <v/>
      </c>
      <c r="I18" s="54"/>
      <c r="J18" s="60" t="str">
        <f aca="false">IF(I18="","",IF($I$9="","",IF($I$9=0,"",I18/$I$9)))</f>
        <v/>
      </c>
      <c r="K18" s="54"/>
      <c r="L18" s="60" t="str">
        <f aca="false">IF(K18="","",IF($K$9="","",IF($K$9=0,"",K18/$K$9)))</f>
        <v/>
      </c>
      <c r="M18" s="54"/>
      <c r="N18" s="60" t="str">
        <f aca="false">IF(M18="","",IF($M$9="","",IF($M$9=0,"",M18/$M$9)))</f>
        <v/>
      </c>
      <c r="O18" s="54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4"/>
      <c r="T18" s="60" t="str">
        <f aca="false">IF(S18="","",IF($S$9="","",IF($S$9=0,"",S18/$S$9)))</f>
        <v/>
      </c>
      <c r="U18" s="56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50" t="n">
        <v>46244</v>
      </c>
      <c r="C19" s="51" t="n">
        <f aca="false">$B$5/$B$8</f>
        <v>17.2413793103448</v>
      </c>
      <c r="D19" s="52"/>
      <c r="E19" s="51" t="n">
        <f aca="false">SUM($C$11:C19)</f>
        <v>155.172413793103</v>
      </c>
      <c r="F19" s="51" t="n">
        <f aca="false">SUM($D$11:D19)</f>
        <v>0</v>
      </c>
      <c r="G19" s="53" t="str">
        <f aca="false">IF(COUNT($D$11:D19)=0,"",F19/E19)</f>
        <v/>
      </c>
      <c r="H19" s="13" t="str">
        <f aca="false">IF(G19="","",IF(G19&gt;=0.95,"En meta",IF(G19&gt;=0.8,"Riesgo","Atrasado")))</f>
        <v/>
      </c>
      <c r="I19" s="54"/>
      <c r="J19" s="55" t="str">
        <f aca="false">IF(I19="","",IF($I$9="","",IF($I$9=0,"",I19/$I$9)))</f>
        <v/>
      </c>
      <c r="K19" s="54"/>
      <c r="L19" s="55" t="str">
        <f aca="false">IF(K19="","",IF($K$9="","",IF($K$9=0,"",K19/$K$9)))</f>
        <v/>
      </c>
      <c r="M19" s="54"/>
      <c r="N19" s="55" t="str">
        <f aca="false">IF(M19="","",IF($M$9="","",IF($M$9=0,"",M19/$M$9)))</f>
        <v/>
      </c>
      <c r="O19" s="54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4"/>
      <c r="T19" s="55" t="str">
        <f aca="false">IF(S19="","",IF($S$9="","",IF($S$9=0,"",S19/$S$9)))</f>
        <v/>
      </c>
      <c r="U19" s="56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57" t="n">
        <v>46251</v>
      </c>
      <c r="C20" s="58" t="n">
        <f aca="false">$B$5/$B$8</f>
        <v>17.2413793103448</v>
      </c>
      <c r="D20" s="52"/>
      <c r="E20" s="58" t="n">
        <f aca="false">SUM($C$11:C20)</f>
        <v>172.413793103448</v>
      </c>
      <c r="F20" s="58" t="n">
        <f aca="false">SUM($D$11:D20)</f>
        <v>0</v>
      </c>
      <c r="G20" s="59" t="str">
        <f aca="false">IF(COUNT($D$11:D20)=0,"",F20/E20)</f>
        <v/>
      </c>
      <c r="H20" s="14" t="str">
        <f aca="false">IF(G20="","",IF(G20&gt;=0.95,"En meta",IF(G20&gt;=0.8,"Riesgo","Atrasado")))</f>
        <v/>
      </c>
      <c r="I20" s="54"/>
      <c r="J20" s="60" t="str">
        <f aca="false">IF(I20="","",IF($I$9="","",IF($I$9=0,"",I20/$I$9)))</f>
        <v/>
      </c>
      <c r="K20" s="54"/>
      <c r="L20" s="60" t="str">
        <f aca="false">IF(K20="","",IF($K$9="","",IF($K$9=0,"",K20/$K$9)))</f>
        <v/>
      </c>
      <c r="M20" s="54"/>
      <c r="N20" s="60" t="str">
        <f aca="false">IF(M20="","",IF($M$9="","",IF($M$9=0,"",M20/$M$9)))</f>
        <v/>
      </c>
      <c r="O20" s="54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4"/>
      <c r="T20" s="60" t="str">
        <f aca="false">IF(S20="","",IF($S$9="","",IF($S$9=0,"",S20/$S$9)))</f>
        <v/>
      </c>
      <c r="U20" s="56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50" t="n">
        <v>46258</v>
      </c>
      <c r="C21" s="51" t="n">
        <f aca="false">$B$5/$B$8</f>
        <v>17.2413793103448</v>
      </c>
      <c r="D21" s="52"/>
      <c r="E21" s="51" t="n">
        <f aca="false">SUM($C$11:C21)</f>
        <v>189.655172413793</v>
      </c>
      <c r="F21" s="51" t="n">
        <f aca="false">SUM($D$11:D21)</f>
        <v>0</v>
      </c>
      <c r="G21" s="53" t="str">
        <f aca="false">IF(COUNT($D$11:D21)=0,"",F21/E21)</f>
        <v/>
      </c>
      <c r="H21" s="13" t="str">
        <f aca="false">IF(G21="","",IF(G21&gt;=0.95,"En meta",IF(G21&gt;=0.8,"Riesgo","Atrasado")))</f>
        <v/>
      </c>
      <c r="I21" s="54"/>
      <c r="J21" s="55" t="str">
        <f aca="false">IF(I21="","",IF($I$9="","",IF($I$9=0,"",I21/$I$9)))</f>
        <v/>
      </c>
      <c r="K21" s="54"/>
      <c r="L21" s="55" t="str">
        <f aca="false">IF(K21="","",IF($K$9="","",IF($K$9=0,"",K21/$K$9)))</f>
        <v/>
      </c>
      <c r="M21" s="54"/>
      <c r="N21" s="55" t="str">
        <f aca="false">IF(M21="","",IF($M$9="","",IF($M$9=0,"",M21/$M$9)))</f>
        <v/>
      </c>
      <c r="O21" s="54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4"/>
      <c r="T21" s="55" t="str">
        <f aca="false">IF(S21="","",IF($S$9="","",IF($S$9=0,"",S21/$S$9)))</f>
        <v/>
      </c>
      <c r="U21" s="56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57" t="n">
        <v>46265</v>
      </c>
      <c r="C22" s="58" t="n">
        <f aca="false">$B$5/$B$8</f>
        <v>17.2413793103448</v>
      </c>
      <c r="D22" s="52"/>
      <c r="E22" s="58" t="n">
        <f aca="false">SUM($C$11:C22)</f>
        <v>206.896551724138</v>
      </c>
      <c r="F22" s="58" t="n">
        <f aca="false">SUM($D$11:D22)</f>
        <v>0</v>
      </c>
      <c r="G22" s="59" t="str">
        <f aca="false">IF(COUNT($D$11:D22)=0,"",F22/E22)</f>
        <v/>
      </c>
      <c r="H22" s="14" t="str">
        <f aca="false">IF(G22="","",IF(G22&gt;=0.95,"En meta",IF(G22&gt;=0.8,"Riesgo","Atrasado")))</f>
        <v/>
      </c>
      <c r="I22" s="54"/>
      <c r="J22" s="60" t="str">
        <f aca="false">IF(I22="","",IF($I$9="","",IF($I$9=0,"",I22/$I$9)))</f>
        <v/>
      </c>
      <c r="K22" s="54"/>
      <c r="L22" s="60" t="str">
        <f aca="false">IF(K22="","",IF($K$9="","",IF($K$9=0,"",K22/$K$9)))</f>
        <v/>
      </c>
      <c r="M22" s="54"/>
      <c r="N22" s="60" t="str">
        <f aca="false">IF(M22="","",IF($M$9="","",IF($M$9=0,"",M22/$M$9)))</f>
        <v/>
      </c>
      <c r="O22" s="54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4"/>
      <c r="T22" s="60" t="str">
        <f aca="false">IF(S22="","",IF($S$9="","",IF($S$9=0,"",S22/$S$9)))</f>
        <v/>
      </c>
      <c r="U22" s="56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50" t="n">
        <v>46272</v>
      </c>
      <c r="C23" s="51" t="n">
        <f aca="false">$B$5/$B$8</f>
        <v>17.2413793103448</v>
      </c>
      <c r="D23" s="52"/>
      <c r="E23" s="51" t="n">
        <f aca="false">SUM($C$11:C23)</f>
        <v>224.137931034483</v>
      </c>
      <c r="F23" s="51" t="n">
        <f aca="false">SUM($D$11:D23)</f>
        <v>0</v>
      </c>
      <c r="G23" s="53" t="str">
        <f aca="false">IF(COUNT($D$11:D23)=0,"",F23/E23)</f>
        <v/>
      </c>
      <c r="H23" s="13" t="str">
        <f aca="false">IF(G23="","",IF(G23&gt;=0.95,"En meta",IF(G23&gt;=0.8,"Riesgo","Atrasado")))</f>
        <v/>
      </c>
      <c r="I23" s="54"/>
      <c r="J23" s="55" t="str">
        <f aca="false">IF(I23="","",IF($I$9="","",IF($I$9=0,"",I23/$I$9)))</f>
        <v/>
      </c>
      <c r="K23" s="54"/>
      <c r="L23" s="55" t="str">
        <f aca="false">IF(K23="","",IF($K$9="","",IF($K$9=0,"",K23/$K$9)))</f>
        <v/>
      </c>
      <c r="M23" s="54"/>
      <c r="N23" s="55" t="str">
        <f aca="false">IF(M23="","",IF($M$9="","",IF($M$9=0,"",M23/$M$9)))</f>
        <v/>
      </c>
      <c r="O23" s="54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4"/>
      <c r="T23" s="55" t="str">
        <f aca="false">IF(S23="","",IF($S$9="","",IF($S$9=0,"",S23/$S$9)))</f>
        <v/>
      </c>
      <c r="U23" s="56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57" t="n">
        <v>46279</v>
      </c>
      <c r="C24" s="58" t="n">
        <f aca="false">$B$5/$B$8</f>
        <v>17.2413793103448</v>
      </c>
      <c r="D24" s="52"/>
      <c r="E24" s="58" t="n">
        <f aca="false">SUM($C$11:C24)</f>
        <v>241.379310344828</v>
      </c>
      <c r="F24" s="58" t="n">
        <f aca="false">SUM($D$11:D24)</f>
        <v>0</v>
      </c>
      <c r="G24" s="59" t="str">
        <f aca="false">IF(COUNT($D$11:D24)=0,"",F24/E24)</f>
        <v/>
      </c>
      <c r="H24" s="14" t="str">
        <f aca="false">IF(G24="","",IF(G24&gt;=0.95,"En meta",IF(G24&gt;=0.8,"Riesgo","Atrasado")))</f>
        <v/>
      </c>
      <c r="I24" s="54"/>
      <c r="J24" s="60" t="str">
        <f aca="false">IF(I24="","",IF($I$9="","",IF($I$9=0,"",I24/$I$9)))</f>
        <v/>
      </c>
      <c r="K24" s="54"/>
      <c r="L24" s="60" t="str">
        <f aca="false">IF(K24="","",IF($K$9="","",IF($K$9=0,"",K24/$K$9)))</f>
        <v/>
      </c>
      <c r="M24" s="54"/>
      <c r="N24" s="60" t="str">
        <f aca="false">IF(M24="","",IF($M$9="","",IF($M$9=0,"",M24/$M$9)))</f>
        <v/>
      </c>
      <c r="O24" s="54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4"/>
      <c r="T24" s="60" t="str">
        <f aca="false">IF(S24="","",IF($S$9="","",IF($S$9=0,"",S24/$S$9)))</f>
        <v/>
      </c>
      <c r="U24" s="56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50" t="n">
        <v>46286</v>
      </c>
      <c r="C25" s="51" t="n">
        <f aca="false">$B$5/$B$8</f>
        <v>17.2413793103448</v>
      </c>
      <c r="D25" s="52"/>
      <c r="E25" s="51" t="n">
        <f aca="false">SUM($C$11:C25)</f>
        <v>258.620689655172</v>
      </c>
      <c r="F25" s="51" t="n">
        <f aca="false">SUM($D$11:D25)</f>
        <v>0</v>
      </c>
      <c r="G25" s="53" t="str">
        <f aca="false">IF(COUNT($D$11:D25)=0,"",F25/E25)</f>
        <v/>
      </c>
      <c r="H25" s="13" t="str">
        <f aca="false">IF(G25="","",IF(G25&gt;=0.95,"En meta",IF(G25&gt;=0.8,"Riesgo","Atrasado")))</f>
        <v/>
      </c>
      <c r="I25" s="54"/>
      <c r="J25" s="55" t="str">
        <f aca="false">IF(I25="","",IF($I$9="","",IF($I$9=0,"",I25/$I$9)))</f>
        <v/>
      </c>
      <c r="K25" s="54"/>
      <c r="L25" s="55" t="str">
        <f aca="false">IF(K25="","",IF($K$9="","",IF($K$9=0,"",K25/$K$9)))</f>
        <v/>
      </c>
      <c r="M25" s="54"/>
      <c r="N25" s="55" t="str">
        <f aca="false">IF(M25="","",IF($M$9="","",IF($M$9=0,"",M25/$M$9)))</f>
        <v/>
      </c>
      <c r="O25" s="54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4"/>
      <c r="T25" s="55" t="str">
        <f aca="false">IF(S25="","",IF($S$9="","",IF($S$9=0,"",S25/$S$9)))</f>
        <v/>
      </c>
      <c r="U25" s="56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57" t="n">
        <v>46293</v>
      </c>
      <c r="C26" s="58" t="n">
        <f aca="false">$B$5/$B$8</f>
        <v>17.2413793103448</v>
      </c>
      <c r="D26" s="52"/>
      <c r="E26" s="58" t="n">
        <f aca="false">SUM($C$11:C26)</f>
        <v>275.862068965517</v>
      </c>
      <c r="F26" s="58" t="n">
        <f aca="false">SUM($D$11:D26)</f>
        <v>0</v>
      </c>
      <c r="G26" s="59" t="str">
        <f aca="false">IF(COUNT($D$11:D26)=0,"",F26/E26)</f>
        <v/>
      </c>
      <c r="H26" s="14" t="str">
        <f aca="false">IF(G26="","",IF(G26&gt;=0.95,"En meta",IF(G26&gt;=0.8,"Riesgo","Atrasado")))</f>
        <v/>
      </c>
      <c r="I26" s="54"/>
      <c r="J26" s="60" t="str">
        <f aca="false">IF(I26="","",IF($I$9="","",IF($I$9=0,"",I26/$I$9)))</f>
        <v/>
      </c>
      <c r="K26" s="54"/>
      <c r="L26" s="60" t="str">
        <f aca="false">IF(K26="","",IF($K$9="","",IF($K$9=0,"",K26/$K$9)))</f>
        <v/>
      </c>
      <c r="M26" s="54"/>
      <c r="N26" s="60" t="str">
        <f aca="false">IF(M26="","",IF($M$9="","",IF($M$9=0,"",M26/$M$9)))</f>
        <v/>
      </c>
      <c r="O26" s="54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4"/>
      <c r="T26" s="60" t="str">
        <f aca="false">IF(S26="","",IF($S$9="","",IF($S$9=0,"",S26/$S$9)))</f>
        <v/>
      </c>
      <c r="U26" s="56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50" t="n">
        <v>46300</v>
      </c>
      <c r="C27" s="51" t="n">
        <f aca="false">$B$5/$B$8</f>
        <v>17.2413793103448</v>
      </c>
      <c r="D27" s="52"/>
      <c r="E27" s="51" t="n">
        <f aca="false">SUM($C$11:C27)</f>
        <v>293.103448275862</v>
      </c>
      <c r="F27" s="51" t="n">
        <f aca="false">SUM($D$11:D27)</f>
        <v>0</v>
      </c>
      <c r="G27" s="53" t="str">
        <f aca="false">IF(COUNT($D$11:D27)=0,"",F27/E27)</f>
        <v/>
      </c>
      <c r="H27" s="13" t="str">
        <f aca="false">IF(G27="","",IF(G27&gt;=0.95,"En meta",IF(G27&gt;=0.8,"Riesgo","Atrasado")))</f>
        <v/>
      </c>
      <c r="I27" s="54"/>
      <c r="J27" s="55" t="str">
        <f aca="false">IF(I27="","",IF($I$9="","",IF($I$9=0,"",I27/$I$9)))</f>
        <v/>
      </c>
      <c r="K27" s="54"/>
      <c r="L27" s="55" t="str">
        <f aca="false">IF(K27="","",IF($K$9="","",IF($K$9=0,"",K27/$K$9)))</f>
        <v/>
      </c>
      <c r="M27" s="54"/>
      <c r="N27" s="55" t="str">
        <f aca="false">IF(M27="","",IF($M$9="","",IF($M$9=0,"",M27/$M$9)))</f>
        <v/>
      </c>
      <c r="O27" s="54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4"/>
      <c r="T27" s="55" t="str">
        <f aca="false">IF(S27="","",IF($S$9="","",IF($S$9=0,"",S27/$S$9)))</f>
        <v/>
      </c>
      <c r="U27" s="56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57" t="n">
        <v>46307</v>
      </c>
      <c r="C28" s="58" t="n">
        <f aca="false">$B$5/$B$8</f>
        <v>17.2413793103448</v>
      </c>
      <c r="D28" s="52"/>
      <c r="E28" s="58" t="n">
        <f aca="false">SUM($C$11:C28)</f>
        <v>310.344827586207</v>
      </c>
      <c r="F28" s="58" t="n">
        <f aca="false">SUM($D$11:D28)</f>
        <v>0</v>
      </c>
      <c r="G28" s="59" t="str">
        <f aca="false">IF(COUNT($D$11:D28)=0,"",F28/E28)</f>
        <v/>
      </c>
      <c r="H28" s="14" t="str">
        <f aca="false">IF(G28="","",IF(G28&gt;=0.95,"En meta",IF(G28&gt;=0.8,"Riesgo","Atrasado")))</f>
        <v/>
      </c>
      <c r="I28" s="54"/>
      <c r="J28" s="60" t="str">
        <f aca="false">IF(I28="","",IF($I$9="","",IF($I$9=0,"",I28/$I$9)))</f>
        <v/>
      </c>
      <c r="K28" s="54"/>
      <c r="L28" s="60" t="str">
        <f aca="false">IF(K28="","",IF($K$9="","",IF($K$9=0,"",K28/$K$9)))</f>
        <v/>
      </c>
      <c r="M28" s="54"/>
      <c r="N28" s="60" t="str">
        <f aca="false">IF(M28="","",IF($M$9="","",IF($M$9=0,"",M28/$M$9)))</f>
        <v/>
      </c>
      <c r="O28" s="54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4"/>
      <c r="T28" s="60" t="str">
        <f aca="false">IF(S28="","",IF($S$9="","",IF($S$9=0,"",S28/$S$9)))</f>
        <v/>
      </c>
      <c r="U28" s="56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  <row r="29" customFormat="false" ht="15" hidden="false" customHeight="false" outlineLevel="0" collapsed="false">
      <c r="A29" s="5" t="n">
        <v>19</v>
      </c>
      <c r="B29" s="50" t="n">
        <v>46314</v>
      </c>
      <c r="C29" s="51" t="n">
        <f aca="false">$B$5/$B$8</f>
        <v>17.2413793103448</v>
      </c>
      <c r="D29" s="52"/>
      <c r="E29" s="51" t="n">
        <f aca="false">SUM($C$11:C29)</f>
        <v>327.586206896552</v>
      </c>
      <c r="F29" s="51" t="n">
        <f aca="false">SUM($D$11:D29)</f>
        <v>0</v>
      </c>
      <c r="G29" s="53" t="str">
        <f aca="false">IF(COUNT($D$11:D29)=0,"",F29/E29)</f>
        <v/>
      </c>
      <c r="H29" s="13" t="str">
        <f aca="false">IF(G29="","",IF(G29&gt;=0.95,"En meta",IF(G29&gt;=0.8,"Riesgo","Atrasado")))</f>
        <v/>
      </c>
      <c r="I29" s="54"/>
      <c r="J29" s="55" t="str">
        <f aca="false">IF(I29="","",IF($I$9="","",IF($I$9=0,"",I29/$I$9)))</f>
        <v/>
      </c>
      <c r="K29" s="54"/>
      <c r="L29" s="55" t="str">
        <f aca="false">IF(K29="","",IF($K$9="","",IF($K$9=0,"",K29/$K$9)))</f>
        <v/>
      </c>
      <c r="M29" s="54"/>
      <c r="N29" s="55" t="str">
        <f aca="false">IF(M29="","",IF($M$9="","",IF($M$9=0,"",M29/$M$9)))</f>
        <v/>
      </c>
      <c r="O29" s="54"/>
      <c r="P29" s="55" t="str">
        <f aca="false">IF(O29="","",IF($O$9="","",IF($O$9=0,"",O29/$O$9)))</f>
        <v/>
      </c>
      <c r="Q29" s="54"/>
      <c r="R29" s="55" t="str">
        <f aca="false">IF(Q29="","",IF($Q$9="","",IF($Q$9=0,"",Q29/$Q$9)))</f>
        <v/>
      </c>
      <c r="S29" s="54"/>
      <c r="T29" s="55" t="str">
        <f aca="false">IF(S29="","",IF($S$9="","",IF($S$9=0,"",S29/$S$9)))</f>
        <v/>
      </c>
      <c r="U29" s="56"/>
      <c r="V29" s="55" t="str">
        <f aca="false">IF(U29="","",IF($U$9="","",IF($U$9=0,"",U29/$U$9)))</f>
        <v/>
      </c>
      <c r="W29" s="54"/>
      <c r="X29" s="55" t="str">
        <f aca="false">IF(W29="","",IF($W$9="","",IF($W$9=0,"",W29/$W$9)))</f>
        <v/>
      </c>
    </row>
    <row r="30" customFormat="false" ht="15" hidden="false" customHeight="false" outlineLevel="0" collapsed="false">
      <c r="A30" s="28" t="n">
        <v>20</v>
      </c>
      <c r="B30" s="57" t="n">
        <v>46321</v>
      </c>
      <c r="C30" s="58" t="n">
        <f aca="false">$B$5/$B$8</f>
        <v>17.2413793103448</v>
      </c>
      <c r="D30" s="52"/>
      <c r="E30" s="58" t="n">
        <f aca="false">SUM($C$11:C30)</f>
        <v>344.827586206897</v>
      </c>
      <c r="F30" s="58" t="n">
        <f aca="false">SUM($D$11:D30)</f>
        <v>0</v>
      </c>
      <c r="G30" s="59" t="str">
        <f aca="false">IF(COUNT($D$11:D30)=0,"",F30/E30)</f>
        <v/>
      </c>
      <c r="H30" s="14" t="str">
        <f aca="false">IF(G30="","",IF(G30&gt;=0.95,"En meta",IF(G30&gt;=0.8,"Riesgo","Atrasado")))</f>
        <v/>
      </c>
      <c r="I30" s="54"/>
      <c r="J30" s="60" t="str">
        <f aca="false">IF(I30="","",IF($I$9="","",IF($I$9=0,"",I30/$I$9)))</f>
        <v/>
      </c>
      <c r="K30" s="54"/>
      <c r="L30" s="60" t="str">
        <f aca="false">IF(K30="","",IF($K$9="","",IF($K$9=0,"",K30/$K$9)))</f>
        <v/>
      </c>
      <c r="M30" s="54"/>
      <c r="N30" s="60" t="str">
        <f aca="false">IF(M30="","",IF($M$9="","",IF($M$9=0,"",M30/$M$9)))</f>
        <v/>
      </c>
      <c r="O30" s="54"/>
      <c r="P30" s="60" t="str">
        <f aca="false">IF(O30="","",IF($O$9="","",IF($O$9=0,"",O30/$O$9)))</f>
        <v/>
      </c>
      <c r="Q30" s="54"/>
      <c r="R30" s="60" t="str">
        <f aca="false">IF(Q30="","",IF($Q$9="","",IF($Q$9=0,"",Q30/$Q$9)))</f>
        <v/>
      </c>
      <c r="S30" s="54"/>
      <c r="T30" s="60" t="str">
        <f aca="false">IF(S30="","",IF($S$9="","",IF($S$9=0,"",S30/$S$9)))</f>
        <v/>
      </c>
      <c r="U30" s="56"/>
      <c r="V30" s="60" t="str">
        <f aca="false">IF(U30="","",IF($U$9="","",IF($U$9=0,"",U30/$U$9)))</f>
        <v/>
      </c>
      <c r="W30" s="54"/>
      <c r="X30" s="60" t="str">
        <f aca="false">IF(W30="","",IF($W$9="","",IF($W$9=0,"",W30/$W$9)))</f>
        <v/>
      </c>
    </row>
    <row r="31" customFormat="false" ht="15" hidden="false" customHeight="false" outlineLevel="0" collapsed="false">
      <c r="A31" s="5" t="n">
        <v>21</v>
      </c>
      <c r="B31" s="50" t="n">
        <v>46328</v>
      </c>
      <c r="C31" s="51" t="n">
        <f aca="false">$B$5/$B$8</f>
        <v>17.2413793103448</v>
      </c>
      <c r="D31" s="52"/>
      <c r="E31" s="51" t="n">
        <f aca="false">SUM($C$11:C31)</f>
        <v>362.068965517241</v>
      </c>
      <c r="F31" s="51" t="n">
        <f aca="false">SUM($D$11:D31)</f>
        <v>0</v>
      </c>
      <c r="G31" s="53" t="str">
        <f aca="false">IF(COUNT($D$11:D31)=0,"",F31/E31)</f>
        <v/>
      </c>
      <c r="H31" s="13" t="str">
        <f aca="false">IF(G31="","",IF(G31&gt;=0.95,"En meta",IF(G31&gt;=0.8,"Riesgo","Atrasado")))</f>
        <v/>
      </c>
      <c r="I31" s="54"/>
      <c r="J31" s="55" t="str">
        <f aca="false">IF(I31="","",IF($I$9="","",IF($I$9=0,"",I31/$I$9)))</f>
        <v/>
      </c>
      <c r="K31" s="54"/>
      <c r="L31" s="55" t="str">
        <f aca="false">IF(K31="","",IF($K$9="","",IF($K$9=0,"",K31/$K$9)))</f>
        <v/>
      </c>
      <c r="M31" s="54"/>
      <c r="N31" s="55" t="str">
        <f aca="false">IF(M31="","",IF($M$9="","",IF($M$9=0,"",M31/$M$9)))</f>
        <v/>
      </c>
      <c r="O31" s="54"/>
      <c r="P31" s="55" t="str">
        <f aca="false">IF(O31="","",IF($O$9="","",IF($O$9=0,"",O31/$O$9)))</f>
        <v/>
      </c>
      <c r="Q31" s="54"/>
      <c r="R31" s="55" t="str">
        <f aca="false">IF(Q31="","",IF($Q$9="","",IF($Q$9=0,"",Q31/$Q$9)))</f>
        <v/>
      </c>
      <c r="S31" s="54"/>
      <c r="T31" s="55" t="str">
        <f aca="false">IF(S31="","",IF($S$9="","",IF($S$9=0,"",S31/$S$9)))</f>
        <v/>
      </c>
      <c r="U31" s="56"/>
      <c r="V31" s="55" t="str">
        <f aca="false">IF(U31="","",IF($U$9="","",IF($U$9=0,"",U31/$U$9)))</f>
        <v/>
      </c>
      <c r="W31" s="54"/>
      <c r="X31" s="55" t="str">
        <f aca="false">IF(W31="","",IF($W$9="","",IF($W$9=0,"",W31/$W$9)))</f>
        <v/>
      </c>
    </row>
    <row r="32" customFormat="false" ht="15" hidden="false" customHeight="false" outlineLevel="0" collapsed="false">
      <c r="A32" s="28" t="n">
        <v>22</v>
      </c>
      <c r="B32" s="57" t="n">
        <v>46335</v>
      </c>
      <c r="C32" s="58" t="n">
        <f aca="false">$B$5/$B$8</f>
        <v>17.2413793103448</v>
      </c>
      <c r="D32" s="52"/>
      <c r="E32" s="58" t="n">
        <f aca="false">SUM($C$11:C32)</f>
        <v>379.310344827586</v>
      </c>
      <c r="F32" s="58" t="n">
        <f aca="false">SUM($D$11:D32)</f>
        <v>0</v>
      </c>
      <c r="G32" s="59" t="str">
        <f aca="false">IF(COUNT($D$11:D32)=0,"",F32/E32)</f>
        <v/>
      </c>
      <c r="H32" s="14" t="str">
        <f aca="false">IF(G32="","",IF(G32&gt;=0.95,"En meta",IF(G32&gt;=0.8,"Riesgo","Atrasado")))</f>
        <v/>
      </c>
      <c r="I32" s="54"/>
      <c r="J32" s="60" t="str">
        <f aca="false">IF(I32="","",IF($I$9="","",IF($I$9=0,"",I32/$I$9)))</f>
        <v/>
      </c>
      <c r="K32" s="54"/>
      <c r="L32" s="60" t="str">
        <f aca="false">IF(K32="","",IF($K$9="","",IF($K$9=0,"",K32/$K$9)))</f>
        <v/>
      </c>
      <c r="M32" s="54"/>
      <c r="N32" s="60" t="str">
        <f aca="false">IF(M32="","",IF($M$9="","",IF($M$9=0,"",M32/$M$9)))</f>
        <v/>
      </c>
      <c r="O32" s="54"/>
      <c r="P32" s="60" t="str">
        <f aca="false">IF(O32="","",IF($O$9="","",IF($O$9=0,"",O32/$O$9)))</f>
        <v/>
      </c>
      <c r="Q32" s="54"/>
      <c r="R32" s="60" t="str">
        <f aca="false">IF(Q32="","",IF($Q$9="","",IF($Q$9=0,"",Q32/$Q$9)))</f>
        <v/>
      </c>
      <c r="S32" s="54"/>
      <c r="T32" s="60" t="str">
        <f aca="false">IF(S32="","",IF($S$9="","",IF($S$9=0,"",S32/$S$9)))</f>
        <v/>
      </c>
      <c r="U32" s="56"/>
      <c r="V32" s="60" t="str">
        <f aca="false">IF(U32="","",IF($U$9="","",IF($U$9=0,"",U32/$U$9)))</f>
        <v/>
      </c>
      <c r="W32" s="54"/>
      <c r="X32" s="60" t="str">
        <f aca="false">IF(W32="","",IF($W$9="","",IF($W$9=0,"",W32/$W$9)))</f>
        <v/>
      </c>
    </row>
    <row r="33" customFormat="false" ht="15" hidden="false" customHeight="false" outlineLevel="0" collapsed="false">
      <c r="A33" s="5" t="n">
        <v>23</v>
      </c>
      <c r="B33" s="50" t="n">
        <v>46342</v>
      </c>
      <c r="C33" s="51" t="n">
        <f aca="false">$B$5/$B$8</f>
        <v>17.2413793103448</v>
      </c>
      <c r="D33" s="52"/>
      <c r="E33" s="51" t="n">
        <f aca="false">SUM($C$11:C33)</f>
        <v>396.551724137931</v>
      </c>
      <c r="F33" s="51" t="n">
        <f aca="false">SUM($D$11:D33)</f>
        <v>0</v>
      </c>
      <c r="G33" s="53" t="str">
        <f aca="false">IF(COUNT($D$11:D33)=0,"",F33/E33)</f>
        <v/>
      </c>
      <c r="H33" s="13" t="str">
        <f aca="false">IF(G33="","",IF(G33&gt;=0.95,"En meta",IF(G33&gt;=0.8,"Riesgo","Atrasado")))</f>
        <v/>
      </c>
      <c r="I33" s="54"/>
      <c r="J33" s="55" t="str">
        <f aca="false">IF(I33="","",IF($I$9="","",IF($I$9=0,"",I33/$I$9)))</f>
        <v/>
      </c>
      <c r="K33" s="54"/>
      <c r="L33" s="55" t="str">
        <f aca="false">IF(K33="","",IF($K$9="","",IF($K$9=0,"",K33/$K$9)))</f>
        <v/>
      </c>
      <c r="M33" s="54"/>
      <c r="N33" s="55" t="str">
        <f aca="false">IF(M33="","",IF($M$9="","",IF($M$9=0,"",M33/$M$9)))</f>
        <v/>
      </c>
      <c r="O33" s="54"/>
      <c r="P33" s="55" t="str">
        <f aca="false">IF(O33="","",IF($O$9="","",IF($O$9=0,"",O33/$O$9)))</f>
        <v/>
      </c>
      <c r="Q33" s="54"/>
      <c r="R33" s="55" t="str">
        <f aca="false">IF(Q33="","",IF($Q$9="","",IF($Q$9=0,"",Q33/$Q$9)))</f>
        <v/>
      </c>
      <c r="S33" s="54"/>
      <c r="T33" s="55" t="str">
        <f aca="false">IF(S33="","",IF($S$9="","",IF($S$9=0,"",S33/$S$9)))</f>
        <v/>
      </c>
      <c r="U33" s="56"/>
      <c r="V33" s="55" t="str">
        <f aca="false">IF(U33="","",IF($U$9="","",IF($U$9=0,"",U33/$U$9)))</f>
        <v/>
      </c>
      <c r="W33" s="54"/>
      <c r="X33" s="55" t="str">
        <f aca="false">IF(W33="","",IF($W$9="","",IF($W$9=0,"",W33/$W$9)))</f>
        <v/>
      </c>
    </row>
    <row r="34" customFormat="false" ht="15" hidden="false" customHeight="false" outlineLevel="0" collapsed="false">
      <c r="A34" s="28" t="n">
        <v>24</v>
      </c>
      <c r="B34" s="57" t="n">
        <v>46349</v>
      </c>
      <c r="C34" s="58" t="n">
        <f aca="false">$B$5/$B$8</f>
        <v>17.2413793103448</v>
      </c>
      <c r="D34" s="52"/>
      <c r="E34" s="58" t="n">
        <f aca="false">SUM($C$11:C34)</f>
        <v>413.793103448276</v>
      </c>
      <c r="F34" s="58" t="n">
        <f aca="false">SUM($D$11:D34)</f>
        <v>0</v>
      </c>
      <c r="G34" s="59" t="str">
        <f aca="false">IF(COUNT($D$11:D34)=0,"",F34/E34)</f>
        <v/>
      </c>
      <c r="H34" s="14" t="str">
        <f aca="false">IF(G34="","",IF(G34&gt;=0.95,"En meta",IF(G34&gt;=0.8,"Riesgo","Atrasado")))</f>
        <v/>
      </c>
      <c r="I34" s="54"/>
      <c r="J34" s="60" t="str">
        <f aca="false">IF(I34="","",IF($I$9="","",IF($I$9=0,"",I34/$I$9)))</f>
        <v/>
      </c>
      <c r="K34" s="54"/>
      <c r="L34" s="60" t="str">
        <f aca="false">IF(K34="","",IF($K$9="","",IF($K$9=0,"",K34/$K$9)))</f>
        <v/>
      </c>
      <c r="M34" s="54"/>
      <c r="N34" s="60" t="str">
        <f aca="false">IF(M34="","",IF($M$9="","",IF($M$9=0,"",M34/$M$9)))</f>
        <v/>
      </c>
      <c r="O34" s="54"/>
      <c r="P34" s="60" t="str">
        <f aca="false">IF(O34="","",IF($O$9="","",IF($O$9=0,"",O34/$O$9)))</f>
        <v/>
      </c>
      <c r="Q34" s="54"/>
      <c r="R34" s="60" t="str">
        <f aca="false">IF(Q34="","",IF($Q$9="","",IF($Q$9=0,"",Q34/$Q$9)))</f>
        <v/>
      </c>
      <c r="S34" s="54"/>
      <c r="T34" s="60" t="str">
        <f aca="false">IF(S34="","",IF($S$9="","",IF($S$9=0,"",S34/$S$9)))</f>
        <v/>
      </c>
      <c r="U34" s="56"/>
      <c r="V34" s="60" t="str">
        <f aca="false">IF(U34="","",IF($U$9="","",IF($U$9=0,"",U34/$U$9)))</f>
        <v/>
      </c>
      <c r="W34" s="54"/>
      <c r="X34" s="60" t="str">
        <f aca="false">IF(W34="","",IF($W$9="","",IF($W$9=0,"",W34/$W$9)))</f>
        <v/>
      </c>
    </row>
    <row r="35" customFormat="false" ht="15" hidden="false" customHeight="false" outlineLevel="0" collapsed="false">
      <c r="A35" s="5" t="n">
        <v>25</v>
      </c>
      <c r="B35" s="50" t="n">
        <v>46356</v>
      </c>
      <c r="C35" s="51" t="n">
        <f aca="false">$B$5/$B$8</f>
        <v>17.2413793103448</v>
      </c>
      <c r="D35" s="52"/>
      <c r="E35" s="51" t="n">
        <f aca="false">SUM($C$11:C35)</f>
        <v>431.034482758621</v>
      </c>
      <c r="F35" s="51" t="n">
        <f aca="false">SUM($D$11:D35)</f>
        <v>0</v>
      </c>
      <c r="G35" s="53" t="str">
        <f aca="false">IF(COUNT($D$11:D35)=0,"",F35/E35)</f>
        <v/>
      </c>
      <c r="H35" s="13" t="str">
        <f aca="false">IF(G35="","",IF(G35&gt;=0.95,"En meta",IF(G35&gt;=0.8,"Riesgo","Atrasado")))</f>
        <v/>
      </c>
      <c r="I35" s="54"/>
      <c r="J35" s="55" t="str">
        <f aca="false">IF(I35="","",IF($I$9="","",IF($I$9=0,"",I35/$I$9)))</f>
        <v/>
      </c>
      <c r="K35" s="54"/>
      <c r="L35" s="55" t="str">
        <f aca="false">IF(K35="","",IF($K$9="","",IF($K$9=0,"",K35/$K$9)))</f>
        <v/>
      </c>
      <c r="M35" s="54"/>
      <c r="N35" s="55" t="str">
        <f aca="false">IF(M35="","",IF($M$9="","",IF($M$9=0,"",M35/$M$9)))</f>
        <v/>
      </c>
      <c r="O35" s="54"/>
      <c r="P35" s="55" t="str">
        <f aca="false">IF(O35="","",IF($O$9="","",IF($O$9=0,"",O35/$O$9)))</f>
        <v/>
      </c>
      <c r="Q35" s="54"/>
      <c r="R35" s="55" t="str">
        <f aca="false">IF(Q35="","",IF($Q$9="","",IF($Q$9=0,"",Q35/$Q$9)))</f>
        <v/>
      </c>
      <c r="S35" s="54"/>
      <c r="T35" s="55" t="str">
        <f aca="false">IF(S35="","",IF($S$9="","",IF($S$9=0,"",S35/$S$9)))</f>
        <v/>
      </c>
      <c r="U35" s="56"/>
      <c r="V35" s="55" t="str">
        <f aca="false">IF(U35="","",IF($U$9="","",IF($U$9=0,"",U35/$U$9)))</f>
        <v/>
      </c>
      <c r="W35" s="54"/>
      <c r="X35" s="55" t="str">
        <f aca="false">IF(W35="","",IF($W$9="","",IF($W$9=0,"",W35/$W$9)))</f>
        <v/>
      </c>
    </row>
    <row r="36" customFormat="false" ht="15" hidden="false" customHeight="false" outlineLevel="0" collapsed="false">
      <c r="A36" s="28" t="n">
        <v>26</v>
      </c>
      <c r="B36" s="57" t="n">
        <v>46363</v>
      </c>
      <c r="C36" s="58" t="n">
        <f aca="false">$B$5/$B$8</f>
        <v>17.2413793103448</v>
      </c>
      <c r="D36" s="52"/>
      <c r="E36" s="58" t="n">
        <f aca="false">SUM($C$11:C36)</f>
        <v>448.275862068966</v>
      </c>
      <c r="F36" s="58" t="n">
        <f aca="false">SUM($D$11:D36)</f>
        <v>0</v>
      </c>
      <c r="G36" s="59" t="str">
        <f aca="false">IF(COUNT($D$11:D36)=0,"",F36/E36)</f>
        <v/>
      </c>
      <c r="H36" s="14" t="str">
        <f aca="false">IF(G36="","",IF(G36&gt;=0.95,"En meta",IF(G36&gt;=0.8,"Riesgo","Atrasado")))</f>
        <v/>
      </c>
      <c r="I36" s="54"/>
      <c r="J36" s="60" t="str">
        <f aca="false">IF(I36="","",IF($I$9="","",IF($I$9=0,"",I36/$I$9)))</f>
        <v/>
      </c>
      <c r="K36" s="54"/>
      <c r="L36" s="60" t="str">
        <f aca="false">IF(K36="","",IF($K$9="","",IF($K$9=0,"",K36/$K$9)))</f>
        <v/>
      </c>
      <c r="M36" s="54"/>
      <c r="N36" s="60" t="str">
        <f aca="false">IF(M36="","",IF($M$9="","",IF($M$9=0,"",M36/$M$9)))</f>
        <v/>
      </c>
      <c r="O36" s="54"/>
      <c r="P36" s="60" t="str">
        <f aca="false">IF(O36="","",IF($O$9="","",IF($O$9=0,"",O36/$O$9)))</f>
        <v/>
      </c>
      <c r="Q36" s="54"/>
      <c r="R36" s="60" t="str">
        <f aca="false">IF(Q36="","",IF($Q$9="","",IF($Q$9=0,"",Q36/$Q$9)))</f>
        <v/>
      </c>
      <c r="S36" s="54"/>
      <c r="T36" s="60" t="str">
        <f aca="false">IF(S36="","",IF($S$9="","",IF($S$9=0,"",S36/$S$9)))</f>
        <v/>
      </c>
      <c r="U36" s="56"/>
      <c r="V36" s="60" t="str">
        <f aca="false">IF(U36="","",IF($U$9="","",IF($U$9=0,"",U36/$U$9)))</f>
        <v/>
      </c>
      <c r="W36" s="54"/>
      <c r="X36" s="60" t="str">
        <f aca="false">IF(W36="","",IF($W$9="","",IF($W$9=0,"",W36/$W$9)))</f>
        <v/>
      </c>
    </row>
    <row r="37" customFormat="false" ht="15" hidden="false" customHeight="false" outlineLevel="0" collapsed="false">
      <c r="A37" s="5" t="n">
        <v>27</v>
      </c>
      <c r="B37" s="50" t="n">
        <v>46370</v>
      </c>
      <c r="C37" s="51" t="n">
        <f aca="false">$B$5/$B$8</f>
        <v>17.2413793103448</v>
      </c>
      <c r="D37" s="52"/>
      <c r="E37" s="51" t="n">
        <f aca="false">SUM($C$11:C37)</f>
        <v>465.51724137931</v>
      </c>
      <c r="F37" s="51" t="n">
        <f aca="false">SUM($D$11:D37)</f>
        <v>0</v>
      </c>
      <c r="G37" s="53" t="str">
        <f aca="false">IF(COUNT($D$11:D37)=0,"",F37/E37)</f>
        <v/>
      </c>
      <c r="H37" s="13" t="str">
        <f aca="false">IF(G37="","",IF(G37&gt;=0.95,"En meta",IF(G37&gt;=0.8,"Riesgo","Atrasado")))</f>
        <v/>
      </c>
      <c r="I37" s="54"/>
      <c r="J37" s="55" t="str">
        <f aca="false">IF(I37="","",IF($I$9="","",IF($I$9=0,"",I37/$I$9)))</f>
        <v/>
      </c>
      <c r="K37" s="54"/>
      <c r="L37" s="55" t="str">
        <f aca="false">IF(K37="","",IF($K$9="","",IF($K$9=0,"",K37/$K$9)))</f>
        <v/>
      </c>
      <c r="M37" s="54"/>
      <c r="N37" s="55" t="str">
        <f aca="false">IF(M37="","",IF($M$9="","",IF($M$9=0,"",M37/$M$9)))</f>
        <v/>
      </c>
      <c r="O37" s="54"/>
      <c r="P37" s="55" t="str">
        <f aca="false">IF(O37="","",IF($O$9="","",IF($O$9=0,"",O37/$O$9)))</f>
        <v/>
      </c>
      <c r="Q37" s="54"/>
      <c r="R37" s="55" t="str">
        <f aca="false">IF(Q37="","",IF($Q$9="","",IF($Q$9=0,"",Q37/$Q$9)))</f>
        <v/>
      </c>
      <c r="S37" s="54"/>
      <c r="T37" s="55" t="str">
        <f aca="false">IF(S37="","",IF($S$9="","",IF($S$9=0,"",S37/$S$9)))</f>
        <v/>
      </c>
      <c r="U37" s="56"/>
      <c r="V37" s="55" t="str">
        <f aca="false">IF(U37="","",IF($U$9="","",IF($U$9=0,"",U37/$U$9)))</f>
        <v/>
      </c>
      <c r="W37" s="54"/>
      <c r="X37" s="55" t="str">
        <f aca="false">IF(W37="","",IF($W$9="","",IF($W$9=0,"",W37/$W$9)))</f>
        <v/>
      </c>
    </row>
    <row r="38" customFormat="false" ht="15" hidden="false" customHeight="false" outlineLevel="0" collapsed="false">
      <c r="A38" s="28" t="n">
        <v>28</v>
      </c>
      <c r="B38" s="57" t="n">
        <v>46377</v>
      </c>
      <c r="C38" s="58" t="n">
        <f aca="false">$B$5/$B$8</f>
        <v>17.2413793103448</v>
      </c>
      <c r="D38" s="52"/>
      <c r="E38" s="58" t="n">
        <f aca="false">SUM($C$11:C38)</f>
        <v>482.758620689655</v>
      </c>
      <c r="F38" s="58" t="n">
        <f aca="false">SUM($D$11:D38)</f>
        <v>0</v>
      </c>
      <c r="G38" s="59" t="str">
        <f aca="false">IF(COUNT($D$11:D38)=0,"",F38/E38)</f>
        <v/>
      </c>
      <c r="H38" s="14" t="str">
        <f aca="false">IF(G38="","",IF(G38&gt;=0.95,"En meta",IF(G38&gt;=0.8,"Riesgo","Atrasado")))</f>
        <v/>
      </c>
      <c r="I38" s="54"/>
      <c r="J38" s="60" t="str">
        <f aca="false">IF(I38="","",IF($I$9="","",IF($I$9=0,"",I38/$I$9)))</f>
        <v/>
      </c>
      <c r="K38" s="54"/>
      <c r="L38" s="60" t="str">
        <f aca="false">IF(K38="","",IF($K$9="","",IF($K$9=0,"",K38/$K$9)))</f>
        <v/>
      </c>
      <c r="M38" s="54"/>
      <c r="N38" s="60" t="str">
        <f aca="false">IF(M38="","",IF($M$9="","",IF($M$9=0,"",M38/$M$9)))</f>
        <v/>
      </c>
      <c r="O38" s="54"/>
      <c r="P38" s="60" t="str">
        <f aca="false">IF(O38="","",IF($O$9="","",IF($O$9=0,"",O38/$O$9)))</f>
        <v/>
      </c>
      <c r="Q38" s="54"/>
      <c r="R38" s="60" t="str">
        <f aca="false">IF(Q38="","",IF($Q$9="","",IF($Q$9=0,"",Q38/$Q$9)))</f>
        <v/>
      </c>
      <c r="S38" s="54"/>
      <c r="T38" s="60" t="str">
        <f aca="false">IF(S38="","",IF($S$9="","",IF($S$9=0,"",S38/$S$9)))</f>
        <v/>
      </c>
      <c r="U38" s="56"/>
      <c r="V38" s="60" t="str">
        <f aca="false">IF(U38="","",IF($U$9="","",IF($U$9=0,"",U38/$U$9)))</f>
        <v/>
      </c>
      <c r="W38" s="54"/>
      <c r="X38" s="60" t="str">
        <f aca="false">IF(W38="","",IF($W$9="","",IF($W$9=0,"",W38/$W$9)))</f>
        <v/>
      </c>
    </row>
    <row r="39" customFormat="false" ht="15" hidden="false" customHeight="false" outlineLevel="0" collapsed="false">
      <c r="A39" s="5" t="n">
        <v>29</v>
      </c>
      <c r="B39" s="50" t="n">
        <v>46384</v>
      </c>
      <c r="C39" s="51" t="n">
        <f aca="false">$B$5/$B$8</f>
        <v>17.2413793103448</v>
      </c>
      <c r="D39" s="52"/>
      <c r="E39" s="51" t="n">
        <f aca="false">SUM($C$11:C39)</f>
        <v>500</v>
      </c>
      <c r="F39" s="51" t="n">
        <f aca="false">SUM($D$11:D39)</f>
        <v>0</v>
      </c>
      <c r="G39" s="53" t="str">
        <f aca="false">IF(COUNT($D$11:D39)=0,"",F39/E39)</f>
        <v/>
      </c>
      <c r="H39" s="13" t="str">
        <f aca="false">IF(G39="","",IF(G39&gt;=0.95,"En meta",IF(G39&gt;=0.8,"Riesgo","Atrasado")))</f>
        <v/>
      </c>
      <c r="I39" s="54"/>
      <c r="J39" s="55" t="str">
        <f aca="false">IF(I39="","",IF($I$9="","",IF($I$9=0,"",I39/$I$9)))</f>
        <v/>
      </c>
      <c r="K39" s="54"/>
      <c r="L39" s="55" t="str">
        <f aca="false">IF(K39="","",IF($K$9="","",IF($K$9=0,"",K39/$K$9)))</f>
        <v/>
      </c>
      <c r="M39" s="54"/>
      <c r="N39" s="55" t="str">
        <f aca="false">IF(M39="","",IF($M$9="","",IF($M$9=0,"",M39/$M$9)))</f>
        <v/>
      </c>
      <c r="O39" s="54"/>
      <c r="P39" s="55" t="str">
        <f aca="false">IF(O39="","",IF($O$9="","",IF($O$9=0,"",O39/$O$9)))</f>
        <v/>
      </c>
      <c r="Q39" s="54"/>
      <c r="R39" s="55" t="str">
        <f aca="false">IF(Q39="","",IF($Q$9="","",IF($Q$9=0,"",Q39/$Q$9)))</f>
        <v/>
      </c>
      <c r="S39" s="54"/>
      <c r="T39" s="55" t="str">
        <f aca="false">IF(S39="","",IF($S$9="","",IF($S$9=0,"",S39/$S$9)))</f>
        <v/>
      </c>
      <c r="U39" s="56"/>
      <c r="V39" s="55" t="str">
        <f aca="false">IF(U39="","",IF($U$9="","",IF($U$9=0,"",U39/$U$9)))</f>
        <v/>
      </c>
      <c r="W39" s="54"/>
      <c r="X39" s="55" t="str">
        <f aca="false">IF(W39="","",IF($W$9="","",IF($W$9=0,"",W39/$W$9)))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39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103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104</v>
      </c>
    </row>
    <row r="3" customFormat="false" ht="15" hidden="false" customHeight="false" outlineLevel="0" collapsed="false">
      <c r="A3" s="17" t="s">
        <v>77</v>
      </c>
      <c r="B3" s="40" t="s">
        <v>105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42</v>
      </c>
    </row>
    <row r="5" customFormat="false" ht="15" hidden="false" customHeight="false" outlineLevel="0" collapsed="false">
      <c r="A5" s="17" t="s">
        <v>82</v>
      </c>
      <c r="B5" s="18" t="n">
        <v>10000</v>
      </c>
      <c r="D5" s="17" t="s">
        <v>83</v>
      </c>
      <c r="E5" s="43" t="n">
        <v>46188</v>
      </c>
      <c r="G5" s="17" t="s">
        <v>84</v>
      </c>
      <c r="H5" s="43" t="n">
        <v>46475</v>
      </c>
    </row>
    <row r="6" customFormat="false" ht="15" hidden="false" customHeight="false" outlineLevel="0" collapsed="false">
      <c r="A6" s="17" t="s">
        <v>85</v>
      </c>
      <c r="B6" s="40" t="s">
        <v>86</v>
      </c>
    </row>
    <row r="8" customFormat="false" ht="42" hidden="false" customHeight="true" outlineLevel="0" collapsed="false">
      <c r="A8" s="17" t="s">
        <v>87</v>
      </c>
      <c r="B8" s="44" t="n">
        <f aca="false">COUNT(A11:A52)</f>
        <v>42</v>
      </c>
      <c r="H8" s="45" t="s">
        <v>88</v>
      </c>
      <c r="I8" s="46" t="s">
        <v>106</v>
      </c>
      <c r="J8" s="46"/>
      <c r="K8" s="46" t="s">
        <v>107</v>
      </c>
      <c r="L8" s="46"/>
      <c r="M8" s="46" t="s">
        <v>108</v>
      </c>
      <c r="N8" s="46"/>
      <c r="O8" s="46" t="s">
        <v>109</v>
      </c>
      <c r="P8" s="46"/>
      <c r="Q8" s="46" t="s">
        <v>110</v>
      </c>
      <c r="R8" s="46"/>
      <c r="S8" s="46" t="s">
        <v>111</v>
      </c>
      <c r="T8" s="46"/>
      <c r="U8" s="46" t="s">
        <v>112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7" t="n">
        <v>3</v>
      </c>
      <c r="J9" s="47"/>
      <c r="K9" s="47" t="n">
        <v>40</v>
      </c>
      <c r="L9" s="47"/>
      <c r="M9" s="47" t="n">
        <v>4</v>
      </c>
      <c r="N9" s="47"/>
      <c r="O9" s="47" t="n">
        <v>2</v>
      </c>
      <c r="P9" s="47"/>
      <c r="Q9" s="48" t="n">
        <v>0.2</v>
      </c>
      <c r="R9" s="48"/>
      <c r="S9" s="47" t="n">
        <v>6</v>
      </c>
      <c r="T9" s="47"/>
      <c r="U9" s="47" t="n">
        <v>1</v>
      </c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99</v>
      </c>
      <c r="C10" s="4" t="s">
        <v>100</v>
      </c>
      <c r="D10" s="4" t="s">
        <v>101</v>
      </c>
      <c r="E10" s="4" t="s">
        <v>28</v>
      </c>
      <c r="F10" s="4" t="s">
        <v>29</v>
      </c>
      <c r="G10" s="4" t="s">
        <v>30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50" t="n">
        <v>46188</v>
      </c>
      <c r="C11" s="61" t="n">
        <f aca="false">$B$5/$B$8</f>
        <v>238.095238095238</v>
      </c>
      <c r="D11" s="52"/>
      <c r="E11" s="61" t="n">
        <f aca="false">SUM($C$11:C11)</f>
        <v>238.095238095238</v>
      </c>
      <c r="F11" s="61" t="n">
        <f aca="false">SUM($D$11:D11)</f>
        <v>0</v>
      </c>
      <c r="G11" s="53" t="str">
        <f aca="false">IF(COUNT($D$11:D11)=0,"",F11/E11)</f>
        <v/>
      </c>
      <c r="H11" s="13" t="str">
        <f aca="false">IF(G11="","",IF(G11&gt;=0.95,"En meta",IF(G11&gt;=0.8,"Riesgo","Atrasado")))</f>
        <v/>
      </c>
      <c r="I11" s="54"/>
      <c r="J11" s="55" t="str">
        <f aca="false">IF(I11="","",IF($I$9="","",IF($I$9=0,"",I11/$I$9)))</f>
        <v/>
      </c>
      <c r="K11" s="54"/>
      <c r="L11" s="55" t="str">
        <f aca="false">IF(K11="","",IF($K$9="","",IF($K$9=0,"",K11/$K$9)))</f>
        <v/>
      </c>
      <c r="M11" s="54"/>
      <c r="N11" s="55" t="str">
        <f aca="false">IF(M11="","",IF($M$9="","",IF($M$9=0,"",M11/$M$9)))</f>
        <v/>
      </c>
      <c r="O11" s="54"/>
      <c r="P11" s="55" t="str">
        <f aca="false">IF(O11="","",IF($O$9="","",IF($O$9=0,"",O11/$O$9)))</f>
        <v/>
      </c>
      <c r="Q11" s="56"/>
      <c r="R11" s="55" t="str">
        <f aca="false">IF(Q11="","",IF($Q$9="","",IF($Q$9=0,"",Q11/$Q$9)))</f>
        <v/>
      </c>
      <c r="S11" s="54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57" t="n">
        <v>46195</v>
      </c>
      <c r="C12" s="62" t="n">
        <f aca="false">$B$5/$B$8</f>
        <v>238.095238095238</v>
      </c>
      <c r="D12" s="52"/>
      <c r="E12" s="62" t="n">
        <f aca="false">SUM($C$11:C12)</f>
        <v>476.190476190476</v>
      </c>
      <c r="F12" s="62" t="n">
        <f aca="false">SUM($D$11:D12)</f>
        <v>0</v>
      </c>
      <c r="G12" s="59" t="str">
        <f aca="false">IF(COUNT($D$11:D12)=0,"",F12/E12)</f>
        <v/>
      </c>
      <c r="H12" s="14" t="str">
        <f aca="false">IF(G12="","",IF(G12&gt;=0.95,"En meta",IF(G12&gt;=0.8,"Riesgo","Atrasado")))</f>
        <v/>
      </c>
      <c r="I12" s="54"/>
      <c r="J12" s="60" t="str">
        <f aca="false">IF(I12="","",IF($I$9="","",IF($I$9=0,"",I12/$I$9)))</f>
        <v/>
      </c>
      <c r="K12" s="54"/>
      <c r="L12" s="60" t="str">
        <f aca="false">IF(K12="","",IF($K$9="","",IF($K$9=0,"",K12/$K$9)))</f>
        <v/>
      </c>
      <c r="M12" s="54"/>
      <c r="N12" s="60" t="str">
        <f aca="false">IF(M12="","",IF($M$9="","",IF($M$9=0,"",M12/$M$9)))</f>
        <v/>
      </c>
      <c r="O12" s="54"/>
      <c r="P12" s="60" t="str">
        <f aca="false">IF(O12="","",IF($O$9="","",IF($O$9=0,"",O12/$O$9)))</f>
        <v/>
      </c>
      <c r="Q12" s="56"/>
      <c r="R12" s="60" t="str">
        <f aca="false">IF(Q12="","",IF($Q$9="","",IF($Q$9=0,"",Q12/$Q$9)))</f>
        <v/>
      </c>
      <c r="S12" s="54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50" t="n">
        <v>46202</v>
      </c>
      <c r="C13" s="61" t="n">
        <f aca="false">$B$5/$B$8</f>
        <v>238.095238095238</v>
      </c>
      <c r="D13" s="52"/>
      <c r="E13" s="61" t="n">
        <f aca="false">SUM($C$11:C13)</f>
        <v>714.285714285714</v>
      </c>
      <c r="F13" s="61" t="n">
        <f aca="false">SUM($D$11:D13)</f>
        <v>0</v>
      </c>
      <c r="G13" s="53" t="str">
        <f aca="false">IF(COUNT($D$11:D13)=0,"",F13/E13)</f>
        <v/>
      </c>
      <c r="H13" s="13" t="str">
        <f aca="false">IF(G13="","",IF(G13&gt;=0.95,"En meta",IF(G13&gt;=0.8,"Riesgo","Atrasado")))</f>
        <v/>
      </c>
      <c r="I13" s="54"/>
      <c r="J13" s="55" t="str">
        <f aca="false">IF(I13="","",IF($I$9="","",IF($I$9=0,"",I13/$I$9)))</f>
        <v/>
      </c>
      <c r="K13" s="54"/>
      <c r="L13" s="55" t="str">
        <f aca="false">IF(K13="","",IF($K$9="","",IF($K$9=0,"",K13/$K$9)))</f>
        <v/>
      </c>
      <c r="M13" s="54"/>
      <c r="N13" s="55" t="str">
        <f aca="false">IF(M13="","",IF($M$9="","",IF($M$9=0,"",M13/$M$9)))</f>
        <v/>
      </c>
      <c r="O13" s="54"/>
      <c r="P13" s="55" t="str">
        <f aca="false">IF(O13="","",IF($O$9="","",IF($O$9=0,"",O13/$O$9)))</f>
        <v/>
      </c>
      <c r="Q13" s="56"/>
      <c r="R13" s="55" t="str">
        <f aca="false">IF(Q13="","",IF($Q$9="","",IF($Q$9=0,"",Q13/$Q$9)))</f>
        <v/>
      </c>
      <c r="S13" s="54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57" t="n">
        <v>46209</v>
      </c>
      <c r="C14" s="62" t="n">
        <f aca="false">$B$5/$B$8</f>
        <v>238.095238095238</v>
      </c>
      <c r="D14" s="52"/>
      <c r="E14" s="62" t="n">
        <f aca="false">SUM($C$11:C14)</f>
        <v>952.380952380952</v>
      </c>
      <c r="F14" s="62" t="n">
        <f aca="false">SUM($D$11:D14)</f>
        <v>0</v>
      </c>
      <c r="G14" s="59" t="str">
        <f aca="false">IF(COUNT($D$11:D14)=0,"",F14/E14)</f>
        <v/>
      </c>
      <c r="H14" s="14" t="str">
        <f aca="false">IF(G14="","",IF(G14&gt;=0.95,"En meta",IF(G14&gt;=0.8,"Riesgo","Atrasado")))</f>
        <v/>
      </c>
      <c r="I14" s="54"/>
      <c r="J14" s="60" t="str">
        <f aca="false">IF(I14="","",IF($I$9="","",IF($I$9=0,"",I14/$I$9)))</f>
        <v/>
      </c>
      <c r="K14" s="54"/>
      <c r="L14" s="60" t="str">
        <f aca="false">IF(K14="","",IF($K$9="","",IF($K$9=0,"",K14/$K$9)))</f>
        <v/>
      </c>
      <c r="M14" s="54"/>
      <c r="N14" s="60" t="str">
        <f aca="false">IF(M14="","",IF($M$9="","",IF($M$9=0,"",M14/$M$9)))</f>
        <v/>
      </c>
      <c r="O14" s="54"/>
      <c r="P14" s="60" t="str">
        <f aca="false">IF(O14="","",IF($O$9="","",IF($O$9=0,"",O14/$O$9)))</f>
        <v/>
      </c>
      <c r="Q14" s="56"/>
      <c r="R14" s="60" t="str">
        <f aca="false">IF(Q14="","",IF($Q$9="","",IF($Q$9=0,"",Q14/$Q$9)))</f>
        <v/>
      </c>
      <c r="S14" s="54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50" t="n">
        <v>46216</v>
      </c>
      <c r="C15" s="61" t="n">
        <f aca="false">$B$5/$B$8</f>
        <v>238.095238095238</v>
      </c>
      <c r="D15" s="52"/>
      <c r="E15" s="61" t="n">
        <f aca="false">SUM($C$11:C15)</f>
        <v>1190.47619047619</v>
      </c>
      <c r="F15" s="61" t="n">
        <f aca="false">SUM($D$11:D15)</f>
        <v>0</v>
      </c>
      <c r="G15" s="53" t="str">
        <f aca="false">IF(COUNT($D$11:D15)=0,"",F15/E15)</f>
        <v/>
      </c>
      <c r="H15" s="13" t="str">
        <f aca="false">IF(G15="","",IF(G15&gt;=0.95,"En meta",IF(G15&gt;=0.8,"Riesgo","Atrasado")))</f>
        <v/>
      </c>
      <c r="I15" s="54"/>
      <c r="J15" s="55" t="str">
        <f aca="false">IF(I15="","",IF($I$9="","",IF($I$9=0,"",I15/$I$9)))</f>
        <v/>
      </c>
      <c r="K15" s="54"/>
      <c r="L15" s="55" t="str">
        <f aca="false">IF(K15="","",IF($K$9="","",IF($K$9=0,"",K15/$K$9)))</f>
        <v/>
      </c>
      <c r="M15" s="54"/>
      <c r="N15" s="55" t="str">
        <f aca="false">IF(M15="","",IF($M$9="","",IF($M$9=0,"",M15/$M$9)))</f>
        <v/>
      </c>
      <c r="O15" s="54"/>
      <c r="P15" s="55" t="str">
        <f aca="false">IF(O15="","",IF($O$9="","",IF($O$9=0,"",O15/$O$9)))</f>
        <v/>
      </c>
      <c r="Q15" s="56"/>
      <c r="R15" s="55" t="str">
        <f aca="false">IF(Q15="","",IF($Q$9="","",IF($Q$9=0,"",Q15/$Q$9)))</f>
        <v/>
      </c>
      <c r="S15" s="54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57" t="n">
        <v>46223</v>
      </c>
      <c r="C16" s="62" t="n">
        <f aca="false">$B$5/$B$8</f>
        <v>238.095238095238</v>
      </c>
      <c r="D16" s="52"/>
      <c r="E16" s="62" t="n">
        <f aca="false">SUM($C$11:C16)</f>
        <v>1428.57142857143</v>
      </c>
      <c r="F16" s="62" t="n">
        <f aca="false">SUM($D$11:D16)</f>
        <v>0</v>
      </c>
      <c r="G16" s="59" t="str">
        <f aca="false">IF(COUNT($D$11:D16)=0,"",F16/E16)</f>
        <v/>
      </c>
      <c r="H16" s="14" t="str">
        <f aca="false">IF(G16="","",IF(G16&gt;=0.95,"En meta",IF(G16&gt;=0.8,"Riesgo","Atrasado")))</f>
        <v/>
      </c>
      <c r="I16" s="54"/>
      <c r="J16" s="60" t="str">
        <f aca="false">IF(I16="","",IF($I$9="","",IF($I$9=0,"",I16/$I$9)))</f>
        <v/>
      </c>
      <c r="K16" s="54"/>
      <c r="L16" s="60" t="str">
        <f aca="false">IF(K16="","",IF($K$9="","",IF($K$9=0,"",K16/$K$9)))</f>
        <v/>
      </c>
      <c r="M16" s="54"/>
      <c r="N16" s="60" t="str">
        <f aca="false">IF(M16="","",IF($M$9="","",IF($M$9=0,"",M16/$M$9)))</f>
        <v/>
      </c>
      <c r="O16" s="54"/>
      <c r="P16" s="60" t="str">
        <f aca="false">IF(O16="","",IF($O$9="","",IF($O$9=0,"",O16/$O$9)))</f>
        <v/>
      </c>
      <c r="Q16" s="56"/>
      <c r="R16" s="60" t="str">
        <f aca="false">IF(Q16="","",IF($Q$9="","",IF($Q$9=0,"",Q16/$Q$9)))</f>
        <v/>
      </c>
      <c r="S16" s="54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50" t="n">
        <v>46230</v>
      </c>
      <c r="C17" s="61" t="n">
        <f aca="false">$B$5/$B$8</f>
        <v>238.095238095238</v>
      </c>
      <c r="D17" s="52"/>
      <c r="E17" s="61" t="n">
        <f aca="false">SUM($C$11:C17)</f>
        <v>1666.66666666667</v>
      </c>
      <c r="F17" s="61" t="n">
        <f aca="false">SUM($D$11:D17)</f>
        <v>0</v>
      </c>
      <c r="G17" s="53" t="str">
        <f aca="false">IF(COUNT($D$11:D17)=0,"",F17/E17)</f>
        <v/>
      </c>
      <c r="H17" s="13" t="str">
        <f aca="false">IF(G17="","",IF(G17&gt;=0.95,"En meta",IF(G17&gt;=0.8,"Riesgo","Atrasado")))</f>
        <v/>
      </c>
      <c r="I17" s="54"/>
      <c r="J17" s="55" t="str">
        <f aca="false">IF(I17="","",IF($I$9="","",IF($I$9=0,"",I17/$I$9)))</f>
        <v/>
      </c>
      <c r="K17" s="54"/>
      <c r="L17" s="55" t="str">
        <f aca="false">IF(K17="","",IF($K$9="","",IF($K$9=0,"",K17/$K$9)))</f>
        <v/>
      </c>
      <c r="M17" s="54"/>
      <c r="N17" s="55" t="str">
        <f aca="false">IF(M17="","",IF($M$9="","",IF($M$9=0,"",M17/$M$9)))</f>
        <v/>
      </c>
      <c r="O17" s="54"/>
      <c r="P17" s="55" t="str">
        <f aca="false">IF(O17="","",IF($O$9="","",IF($O$9=0,"",O17/$O$9)))</f>
        <v/>
      </c>
      <c r="Q17" s="56"/>
      <c r="R17" s="55" t="str">
        <f aca="false">IF(Q17="","",IF($Q$9="","",IF($Q$9=0,"",Q17/$Q$9)))</f>
        <v/>
      </c>
      <c r="S17" s="54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57" t="n">
        <v>46237</v>
      </c>
      <c r="C18" s="62" t="n">
        <f aca="false">$B$5/$B$8</f>
        <v>238.095238095238</v>
      </c>
      <c r="D18" s="52"/>
      <c r="E18" s="62" t="n">
        <f aca="false">SUM($C$11:C18)</f>
        <v>1904.7619047619</v>
      </c>
      <c r="F18" s="62" t="n">
        <f aca="false">SUM($D$11:D18)</f>
        <v>0</v>
      </c>
      <c r="G18" s="59" t="str">
        <f aca="false">IF(COUNT($D$11:D18)=0,"",F18/E18)</f>
        <v/>
      </c>
      <c r="H18" s="14" t="str">
        <f aca="false">IF(G18="","",IF(G18&gt;=0.95,"En meta",IF(G18&gt;=0.8,"Riesgo","Atrasado")))</f>
        <v/>
      </c>
      <c r="I18" s="54"/>
      <c r="J18" s="60" t="str">
        <f aca="false">IF(I18="","",IF($I$9="","",IF($I$9=0,"",I18/$I$9)))</f>
        <v/>
      </c>
      <c r="K18" s="54"/>
      <c r="L18" s="60" t="str">
        <f aca="false">IF(K18="","",IF($K$9="","",IF($K$9=0,"",K18/$K$9)))</f>
        <v/>
      </c>
      <c r="M18" s="54"/>
      <c r="N18" s="60" t="str">
        <f aca="false">IF(M18="","",IF($M$9="","",IF($M$9=0,"",M18/$M$9)))</f>
        <v/>
      </c>
      <c r="O18" s="54"/>
      <c r="P18" s="60" t="str">
        <f aca="false">IF(O18="","",IF($O$9="","",IF($O$9=0,"",O18/$O$9)))</f>
        <v/>
      </c>
      <c r="Q18" s="56"/>
      <c r="R18" s="60" t="str">
        <f aca="false">IF(Q18="","",IF($Q$9="","",IF($Q$9=0,"",Q18/$Q$9)))</f>
        <v/>
      </c>
      <c r="S18" s="54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50" t="n">
        <v>46244</v>
      </c>
      <c r="C19" s="61" t="n">
        <f aca="false">$B$5/$B$8</f>
        <v>238.095238095238</v>
      </c>
      <c r="D19" s="52"/>
      <c r="E19" s="61" t="n">
        <f aca="false">SUM($C$11:C19)</f>
        <v>2142.85714285714</v>
      </c>
      <c r="F19" s="61" t="n">
        <f aca="false">SUM($D$11:D19)</f>
        <v>0</v>
      </c>
      <c r="G19" s="53" t="str">
        <f aca="false">IF(COUNT($D$11:D19)=0,"",F19/E19)</f>
        <v/>
      </c>
      <c r="H19" s="13" t="str">
        <f aca="false">IF(G19="","",IF(G19&gt;=0.95,"En meta",IF(G19&gt;=0.8,"Riesgo","Atrasado")))</f>
        <v/>
      </c>
      <c r="I19" s="54"/>
      <c r="J19" s="55" t="str">
        <f aca="false">IF(I19="","",IF($I$9="","",IF($I$9=0,"",I19/$I$9)))</f>
        <v/>
      </c>
      <c r="K19" s="54"/>
      <c r="L19" s="55" t="str">
        <f aca="false">IF(K19="","",IF($K$9="","",IF($K$9=0,"",K19/$K$9)))</f>
        <v/>
      </c>
      <c r="M19" s="54"/>
      <c r="N19" s="55" t="str">
        <f aca="false">IF(M19="","",IF($M$9="","",IF($M$9=0,"",M19/$M$9)))</f>
        <v/>
      </c>
      <c r="O19" s="54"/>
      <c r="P19" s="55" t="str">
        <f aca="false">IF(O19="","",IF($O$9="","",IF($O$9=0,"",O19/$O$9)))</f>
        <v/>
      </c>
      <c r="Q19" s="56"/>
      <c r="R19" s="55" t="str">
        <f aca="false">IF(Q19="","",IF($Q$9="","",IF($Q$9=0,"",Q19/$Q$9)))</f>
        <v/>
      </c>
      <c r="S19" s="54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57" t="n">
        <v>46251</v>
      </c>
      <c r="C20" s="62" t="n">
        <f aca="false">$B$5/$B$8</f>
        <v>238.095238095238</v>
      </c>
      <c r="D20" s="52"/>
      <c r="E20" s="62" t="n">
        <f aca="false">SUM($C$11:C20)</f>
        <v>2380.95238095238</v>
      </c>
      <c r="F20" s="62" t="n">
        <f aca="false">SUM($D$11:D20)</f>
        <v>0</v>
      </c>
      <c r="G20" s="59" t="str">
        <f aca="false">IF(COUNT($D$11:D20)=0,"",F20/E20)</f>
        <v/>
      </c>
      <c r="H20" s="14" t="str">
        <f aca="false">IF(G20="","",IF(G20&gt;=0.95,"En meta",IF(G20&gt;=0.8,"Riesgo","Atrasado")))</f>
        <v/>
      </c>
      <c r="I20" s="54"/>
      <c r="J20" s="60" t="str">
        <f aca="false">IF(I20="","",IF($I$9="","",IF($I$9=0,"",I20/$I$9)))</f>
        <v/>
      </c>
      <c r="K20" s="54"/>
      <c r="L20" s="60" t="str">
        <f aca="false">IF(K20="","",IF($K$9="","",IF($K$9=0,"",K20/$K$9)))</f>
        <v/>
      </c>
      <c r="M20" s="54"/>
      <c r="N20" s="60" t="str">
        <f aca="false">IF(M20="","",IF($M$9="","",IF($M$9=0,"",M20/$M$9)))</f>
        <v/>
      </c>
      <c r="O20" s="54"/>
      <c r="P20" s="60" t="str">
        <f aca="false">IF(O20="","",IF($O$9="","",IF($O$9=0,"",O20/$O$9)))</f>
        <v/>
      </c>
      <c r="Q20" s="56"/>
      <c r="R20" s="60" t="str">
        <f aca="false">IF(Q20="","",IF($Q$9="","",IF($Q$9=0,"",Q20/$Q$9)))</f>
        <v/>
      </c>
      <c r="S20" s="54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50" t="n">
        <v>46258</v>
      </c>
      <c r="C21" s="61" t="n">
        <f aca="false">$B$5/$B$8</f>
        <v>238.095238095238</v>
      </c>
      <c r="D21" s="52"/>
      <c r="E21" s="61" t="n">
        <f aca="false">SUM($C$11:C21)</f>
        <v>2619.04761904762</v>
      </c>
      <c r="F21" s="61" t="n">
        <f aca="false">SUM($D$11:D21)</f>
        <v>0</v>
      </c>
      <c r="G21" s="53" t="str">
        <f aca="false">IF(COUNT($D$11:D21)=0,"",F21/E21)</f>
        <v/>
      </c>
      <c r="H21" s="13" t="str">
        <f aca="false">IF(G21="","",IF(G21&gt;=0.95,"En meta",IF(G21&gt;=0.8,"Riesgo","Atrasado")))</f>
        <v/>
      </c>
      <c r="I21" s="54"/>
      <c r="J21" s="55" t="str">
        <f aca="false">IF(I21="","",IF($I$9="","",IF($I$9=0,"",I21/$I$9)))</f>
        <v/>
      </c>
      <c r="K21" s="54"/>
      <c r="L21" s="55" t="str">
        <f aca="false">IF(K21="","",IF($K$9="","",IF($K$9=0,"",K21/$K$9)))</f>
        <v/>
      </c>
      <c r="M21" s="54"/>
      <c r="N21" s="55" t="str">
        <f aca="false">IF(M21="","",IF($M$9="","",IF($M$9=0,"",M21/$M$9)))</f>
        <v/>
      </c>
      <c r="O21" s="54"/>
      <c r="P21" s="55" t="str">
        <f aca="false">IF(O21="","",IF($O$9="","",IF($O$9=0,"",O21/$O$9)))</f>
        <v/>
      </c>
      <c r="Q21" s="56"/>
      <c r="R21" s="55" t="str">
        <f aca="false">IF(Q21="","",IF($Q$9="","",IF($Q$9=0,"",Q21/$Q$9)))</f>
        <v/>
      </c>
      <c r="S21" s="54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57" t="n">
        <v>46265</v>
      </c>
      <c r="C22" s="62" t="n">
        <f aca="false">$B$5/$B$8</f>
        <v>238.095238095238</v>
      </c>
      <c r="D22" s="52"/>
      <c r="E22" s="62" t="n">
        <f aca="false">SUM($C$11:C22)</f>
        <v>2857.14285714286</v>
      </c>
      <c r="F22" s="62" t="n">
        <f aca="false">SUM($D$11:D22)</f>
        <v>0</v>
      </c>
      <c r="G22" s="59" t="str">
        <f aca="false">IF(COUNT($D$11:D22)=0,"",F22/E22)</f>
        <v/>
      </c>
      <c r="H22" s="14" t="str">
        <f aca="false">IF(G22="","",IF(G22&gt;=0.95,"En meta",IF(G22&gt;=0.8,"Riesgo","Atrasado")))</f>
        <v/>
      </c>
      <c r="I22" s="54"/>
      <c r="J22" s="60" t="str">
        <f aca="false">IF(I22="","",IF($I$9="","",IF($I$9=0,"",I22/$I$9)))</f>
        <v/>
      </c>
      <c r="K22" s="54"/>
      <c r="L22" s="60" t="str">
        <f aca="false">IF(K22="","",IF($K$9="","",IF($K$9=0,"",K22/$K$9)))</f>
        <v/>
      </c>
      <c r="M22" s="54"/>
      <c r="N22" s="60" t="str">
        <f aca="false">IF(M22="","",IF($M$9="","",IF($M$9=0,"",M22/$M$9)))</f>
        <v/>
      </c>
      <c r="O22" s="54"/>
      <c r="P22" s="60" t="str">
        <f aca="false">IF(O22="","",IF($O$9="","",IF($O$9=0,"",O22/$O$9)))</f>
        <v/>
      </c>
      <c r="Q22" s="56"/>
      <c r="R22" s="60" t="str">
        <f aca="false">IF(Q22="","",IF($Q$9="","",IF($Q$9=0,"",Q22/$Q$9)))</f>
        <v/>
      </c>
      <c r="S22" s="54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50" t="n">
        <v>46272</v>
      </c>
      <c r="C23" s="61" t="n">
        <f aca="false">$B$5/$B$8</f>
        <v>238.095238095238</v>
      </c>
      <c r="D23" s="52"/>
      <c r="E23" s="61" t="n">
        <f aca="false">SUM($C$11:C23)</f>
        <v>3095.2380952381</v>
      </c>
      <c r="F23" s="61" t="n">
        <f aca="false">SUM($D$11:D23)</f>
        <v>0</v>
      </c>
      <c r="G23" s="53" t="str">
        <f aca="false">IF(COUNT($D$11:D23)=0,"",F23/E23)</f>
        <v/>
      </c>
      <c r="H23" s="13" t="str">
        <f aca="false">IF(G23="","",IF(G23&gt;=0.95,"En meta",IF(G23&gt;=0.8,"Riesgo","Atrasado")))</f>
        <v/>
      </c>
      <c r="I23" s="54"/>
      <c r="J23" s="55" t="str">
        <f aca="false">IF(I23="","",IF($I$9="","",IF($I$9=0,"",I23/$I$9)))</f>
        <v/>
      </c>
      <c r="K23" s="54"/>
      <c r="L23" s="55" t="str">
        <f aca="false">IF(K23="","",IF($K$9="","",IF($K$9=0,"",K23/$K$9)))</f>
        <v/>
      </c>
      <c r="M23" s="54"/>
      <c r="N23" s="55" t="str">
        <f aca="false">IF(M23="","",IF($M$9="","",IF($M$9=0,"",M23/$M$9)))</f>
        <v/>
      </c>
      <c r="O23" s="54"/>
      <c r="P23" s="55" t="str">
        <f aca="false">IF(O23="","",IF($O$9="","",IF($O$9=0,"",O23/$O$9)))</f>
        <v/>
      </c>
      <c r="Q23" s="56"/>
      <c r="R23" s="55" t="str">
        <f aca="false">IF(Q23="","",IF($Q$9="","",IF($Q$9=0,"",Q23/$Q$9)))</f>
        <v/>
      </c>
      <c r="S23" s="54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57" t="n">
        <v>46279</v>
      </c>
      <c r="C24" s="62" t="n">
        <f aca="false">$B$5/$B$8</f>
        <v>238.095238095238</v>
      </c>
      <c r="D24" s="52"/>
      <c r="E24" s="62" t="n">
        <f aca="false">SUM($C$11:C24)</f>
        <v>3333.33333333333</v>
      </c>
      <c r="F24" s="62" t="n">
        <f aca="false">SUM($D$11:D24)</f>
        <v>0</v>
      </c>
      <c r="G24" s="59" t="str">
        <f aca="false">IF(COUNT($D$11:D24)=0,"",F24/E24)</f>
        <v/>
      </c>
      <c r="H24" s="14" t="str">
        <f aca="false">IF(G24="","",IF(G24&gt;=0.95,"En meta",IF(G24&gt;=0.8,"Riesgo","Atrasado")))</f>
        <v/>
      </c>
      <c r="I24" s="54"/>
      <c r="J24" s="60" t="str">
        <f aca="false">IF(I24="","",IF($I$9="","",IF($I$9=0,"",I24/$I$9)))</f>
        <v/>
      </c>
      <c r="K24" s="54"/>
      <c r="L24" s="60" t="str">
        <f aca="false">IF(K24="","",IF($K$9="","",IF($K$9=0,"",K24/$K$9)))</f>
        <v/>
      </c>
      <c r="M24" s="54"/>
      <c r="N24" s="60" t="str">
        <f aca="false">IF(M24="","",IF($M$9="","",IF($M$9=0,"",M24/$M$9)))</f>
        <v/>
      </c>
      <c r="O24" s="54"/>
      <c r="P24" s="60" t="str">
        <f aca="false">IF(O24="","",IF($O$9="","",IF($O$9=0,"",O24/$O$9)))</f>
        <v/>
      </c>
      <c r="Q24" s="56"/>
      <c r="R24" s="60" t="str">
        <f aca="false">IF(Q24="","",IF($Q$9="","",IF($Q$9=0,"",Q24/$Q$9)))</f>
        <v/>
      </c>
      <c r="S24" s="54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50" t="n">
        <v>46286</v>
      </c>
      <c r="C25" s="61" t="n">
        <f aca="false">$B$5/$B$8</f>
        <v>238.095238095238</v>
      </c>
      <c r="D25" s="52"/>
      <c r="E25" s="61" t="n">
        <f aca="false">SUM($C$11:C25)</f>
        <v>3571.42857142857</v>
      </c>
      <c r="F25" s="61" t="n">
        <f aca="false">SUM($D$11:D25)</f>
        <v>0</v>
      </c>
      <c r="G25" s="53" t="str">
        <f aca="false">IF(COUNT($D$11:D25)=0,"",F25/E25)</f>
        <v/>
      </c>
      <c r="H25" s="13" t="str">
        <f aca="false">IF(G25="","",IF(G25&gt;=0.95,"En meta",IF(G25&gt;=0.8,"Riesgo","Atrasado")))</f>
        <v/>
      </c>
      <c r="I25" s="54"/>
      <c r="J25" s="55" t="str">
        <f aca="false">IF(I25="","",IF($I$9="","",IF($I$9=0,"",I25/$I$9)))</f>
        <v/>
      </c>
      <c r="K25" s="54"/>
      <c r="L25" s="55" t="str">
        <f aca="false">IF(K25="","",IF($K$9="","",IF($K$9=0,"",K25/$K$9)))</f>
        <v/>
      </c>
      <c r="M25" s="54"/>
      <c r="N25" s="55" t="str">
        <f aca="false">IF(M25="","",IF($M$9="","",IF($M$9=0,"",M25/$M$9)))</f>
        <v/>
      </c>
      <c r="O25" s="54"/>
      <c r="P25" s="55" t="str">
        <f aca="false">IF(O25="","",IF($O$9="","",IF($O$9=0,"",O25/$O$9)))</f>
        <v/>
      </c>
      <c r="Q25" s="56"/>
      <c r="R25" s="55" t="str">
        <f aca="false">IF(Q25="","",IF($Q$9="","",IF($Q$9=0,"",Q25/$Q$9)))</f>
        <v/>
      </c>
      <c r="S25" s="54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57" t="n">
        <v>46293</v>
      </c>
      <c r="C26" s="62" t="n">
        <f aca="false">$B$5/$B$8</f>
        <v>238.095238095238</v>
      </c>
      <c r="D26" s="52"/>
      <c r="E26" s="62" t="n">
        <f aca="false">SUM($C$11:C26)</f>
        <v>3809.52380952381</v>
      </c>
      <c r="F26" s="62" t="n">
        <f aca="false">SUM($D$11:D26)</f>
        <v>0</v>
      </c>
      <c r="G26" s="59" t="str">
        <f aca="false">IF(COUNT($D$11:D26)=0,"",F26/E26)</f>
        <v/>
      </c>
      <c r="H26" s="14" t="str">
        <f aca="false">IF(G26="","",IF(G26&gt;=0.95,"En meta",IF(G26&gt;=0.8,"Riesgo","Atrasado")))</f>
        <v/>
      </c>
      <c r="I26" s="54"/>
      <c r="J26" s="60" t="str">
        <f aca="false">IF(I26="","",IF($I$9="","",IF($I$9=0,"",I26/$I$9)))</f>
        <v/>
      </c>
      <c r="K26" s="54"/>
      <c r="L26" s="60" t="str">
        <f aca="false">IF(K26="","",IF($K$9="","",IF($K$9=0,"",K26/$K$9)))</f>
        <v/>
      </c>
      <c r="M26" s="54"/>
      <c r="N26" s="60" t="str">
        <f aca="false">IF(M26="","",IF($M$9="","",IF($M$9=0,"",M26/$M$9)))</f>
        <v/>
      </c>
      <c r="O26" s="54"/>
      <c r="P26" s="60" t="str">
        <f aca="false">IF(O26="","",IF($O$9="","",IF($O$9=0,"",O26/$O$9)))</f>
        <v/>
      </c>
      <c r="Q26" s="56"/>
      <c r="R26" s="60" t="str">
        <f aca="false">IF(Q26="","",IF($Q$9="","",IF($Q$9=0,"",Q26/$Q$9)))</f>
        <v/>
      </c>
      <c r="S26" s="54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50" t="n">
        <v>46300</v>
      </c>
      <c r="C27" s="61" t="n">
        <f aca="false">$B$5/$B$8</f>
        <v>238.095238095238</v>
      </c>
      <c r="D27" s="52"/>
      <c r="E27" s="61" t="n">
        <f aca="false">SUM($C$11:C27)</f>
        <v>4047.61904761905</v>
      </c>
      <c r="F27" s="61" t="n">
        <f aca="false">SUM($D$11:D27)</f>
        <v>0</v>
      </c>
      <c r="G27" s="53" t="str">
        <f aca="false">IF(COUNT($D$11:D27)=0,"",F27/E27)</f>
        <v/>
      </c>
      <c r="H27" s="13" t="str">
        <f aca="false">IF(G27="","",IF(G27&gt;=0.95,"En meta",IF(G27&gt;=0.8,"Riesgo","Atrasado")))</f>
        <v/>
      </c>
      <c r="I27" s="54"/>
      <c r="J27" s="55" t="str">
        <f aca="false">IF(I27="","",IF($I$9="","",IF($I$9=0,"",I27/$I$9)))</f>
        <v/>
      </c>
      <c r="K27" s="54"/>
      <c r="L27" s="55" t="str">
        <f aca="false">IF(K27="","",IF($K$9="","",IF($K$9=0,"",K27/$K$9)))</f>
        <v/>
      </c>
      <c r="M27" s="54"/>
      <c r="N27" s="55" t="str">
        <f aca="false">IF(M27="","",IF($M$9="","",IF($M$9=0,"",M27/$M$9)))</f>
        <v/>
      </c>
      <c r="O27" s="54"/>
      <c r="P27" s="55" t="str">
        <f aca="false">IF(O27="","",IF($O$9="","",IF($O$9=0,"",O27/$O$9)))</f>
        <v/>
      </c>
      <c r="Q27" s="56"/>
      <c r="R27" s="55" t="str">
        <f aca="false">IF(Q27="","",IF($Q$9="","",IF($Q$9=0,"",Q27/$Q$9)))</f>
        <v/>
      </c>
      <c r="S27" s="54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57" t="n">
        <v>46307</v>
      </c>
      <c r="C28" s="62" t="n">
        <f aca="false">$B$5/$B$8</f>
        <v>238.095238095238</v>
      </c>
      <c r="D28" s="52"/>
      <c r="E28" s="62" t="n">
        <f aca="false">SUM($C$11:C28)</f>
        <v>4285.71428571429</v>
      </c>
      <c r="F28" s="62" t="n">
        <f aca="false">SUM($D$11:D28)</f>
        <v>0</v>
      </c>
      <c r="G28" s="59" t="str">
        <f aca="false">IF(COUNT($D$11:D28)=0,"",F28/E28)</f>
        <v/>
      </c>
      <c r="H28" s="14" t="str">
        <f aca="false">IF(G28="","",IF(G28&gt;=0.95,"En meta",IF(G28&gt;=0.8,"Riesgo","Atrasado")))</f>
        <v/>
      </c>
      <c r="I28" s="54"/>
      <c r="J28" s="60" t="str">
        <f aca="false">IF(I28="","",IF($I$9="","",IF($I$9=0,"",I28/$I$9)))</f>
        <v/>
      </c>
      <c r="K28" s="54"/>
      <c r="L28" s="60" t="str">
        <f aca="false">IF(K28="","",IF($K$9="","",IF($K$9=0,"",K28/$K$9)))</f>
        <v/>
      </c>
      <c r="M28" s="54"/>
      <c r="N28" s="60" t="str">
        <f aca="false">IF(M28="","",IF($M$9="","",IF($M$9=0,"",M28/$M$9)))</f>
        <v/>
      </c>
      <c r="O28" s="54"/>
      <c r="P28" s="60" t="str">
        <f aca="false">IF(O28="","",IF($O$9="","",IF($O$9=0,"",O28/$O$9)))</f>
        <v/>
      </c>
      <c r="Q28" s="56"/>
      <c r="R28" s="60" t="str">
        <f aca="false">IF(Q28="","",IF($Q$9="","",IF($Q$9=0,"",Q28/$Q$9)))</f>
        <v/>
      </c>
      <c r="S28" s="54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  <row r="29" customFormat="false" ht="15" hidden="false" customHeight="false" outlineLevel="0" collapsed="false">
      <c r="A29" s="5" t="n">
        <v>19</v>
      </c>
      <c r="B29" s="50" t="n">
        <v>46314</v>
      </c>
      <c r="C29" s="61" t="n">
        <f aca="false">$B$5/$B$8</f>
        <v>238.095238095238</v>
      </c>
      <c r="D29" s="52"/>
      <c r="E29" s="61" t="n">
        <f aca="false">SUM($C$11:C29)</f>
        <v>4523.80952380952</v>
      </c>
      <c r="F29" s="61" t="n">
        <f aca="false">SUM($D$11:D29)</f>
        <v>0</v>
      </c>
      <c r="G29" s="53" t="str">
        <f aca="false">IF(COUNT($D$11:D29)=0,"",F29/E29)</f>
        <v/>
      </c>
      <c r="H29" s="13" t="str">
        <f aca="false">IF(G29="","",IF(G29&gt;=0.95,"En meta",IF(G29&gt;=0.8,"Riesgo","Atrasado")))</f>
        <v/>
      </c>
      <c r="I29" s="54"/>
      <c r="J29" s="55" t="str">
        <f aca="false">IF(I29="","",IF($I$9="","",IF($I$9=0,"",I29/$I$9)))</f>
        <v/>
      </c>
      <c r="K29" s="54"/>
      <c r="L29" s="55" t="str">
        <f aca="false">IF(K29="","",IF($K$9="","",IF($K$9=0,"",K29/$K$9)))</f>
        <v/>
      </c>
      <c r="M29" s="54"/>
      <c r="N29" s="55" t="str">
        <f aca="false">IF(M29="","",IF($M$9="","",IF($M$9=0,"",M29/$M$9)))</f>
        <v/>
      </c>
      <c r="O29" s="54"/>
      <c r="P29" s="55" t="str">
        <f aca="false">IF(O29="","",IF($O$9="","",IF($O$9=0,"",O29/$O$9)))</f>
        <v/>
      </c>
      <c r="Q29" s="56"/>
      <c r="R29" s="55" t="str">
        <f aca="false">IF(Q29="","",IF($Q$9="","",IF($Q$9=0,"",Q29/$Q$9)))</f>
        <v/>
      </c>
      <c r="S29" s="54"/>
      <c r="T29" s="55" t="str">
        <f aca="false">IF(S29="","",IF($S$9="","",IF($S$9=0,"",S29/$S$9)))</f>
        <v/>
      </c>
      <c r="U29" s="54"/>
      <c r="V29" s="55" t="str">
        <f aca="false">IF(U29="","",IF($U$9="","",IF($U$9=0,"",U29/$U$9)))</f>
        <v/>
      </c>
      <c r="W29" s="54"/>
      <c r="X29" s="55" t="str">
        <f aca="false">IF(W29="","",IF($W$9="","",IF($W$9=0,"",W29/$W$9)))</f>
        <v/>
      </c>
    </row>
    <row r="30" customFormat="false" ht="15" hidden="false" customHeight="false" outlineLevel="0" collapsed="false">
      <c r="A30" s="28" t="n">
        <v>20</v>
      </c>
      <c r="B30" s="57" t="n">
        <v>46321</v>
      </c>
      <c r="C30" s="62" t="n">
        <f aca="false">$B$5/$B$8</f>
        <v>238.095238095238</v>
      </c>
      <c r="D30" s="52"/>
      <c r="E30" s="62" t="n">
        <f aca="false">SUM($C$11:C30)</f>
        <v>4761.90476190476</v>
      </c>
      <c r="F30" s="62" t="n">
        <f aca="false">SUM($D$11:D30)</f>
        <v>0</v>
      </c>
      <c r="G30" s="59" t="str">
        <f aca="false">IF(COUNT($D$11:D30)=0,"",F30/E30)</f>
        <v/>
      </c>
      <c r="H30" s="14" t="str">
        <f aca="false">IF(G30="","",IF(G30&gt;=0.95,"En meta",IF(G30&gt;=0.8,"Riesgo","Atrasado")))</f>
        <v/>
      </c>
      <c r="I30" s="54"/>
      <c r="J30" s="60" t="str">
        <f aca="false">IF(I30="","",IF($I$9="","",IF($I$9=0,"",I30/$I$9)))</f>
        <v/>
      </c>
      <c r="K30" s="54"/>
      <c r="L30" s="60" t="str">
        <f aca="false">IF(K30="","",IF($K$9="","",IF($K$9=0,"",K30/$K$9)))</f>
        <v/>
      </c>
      <c r="M30" s="54"/>
      <c r="N30" s="60" t="str">
        <f aca="false">IF(M30="","",IF($M$9="","",IF($M$9=0,"",M30/$M$9)))</f>
        <v/>
      </c>
      <c r="O30" s="54"/>
      <c r="P30" s="60" t="str">
        <f aca="false">IF(O30="","",IF($O$9="","",IF($O$9=0,"",O30/$O$9)))</f>
        <v/>
      </c>
      <c r="Q30" s="56"/>
      <c r="R30" s="60" t="str">
        <f aca="false">IF(Q30="","",IF($Q$9="","",IF($Q$9=0,"",Q30/$Q$9)))</f>
        <v/>
      </c>
      <c r="S30" s="54"/>
      <c r="T30" s="60" t="str">
        <f aca="false">IF(S30="","",IF($S$9="","",IF($S$9=0,"",S30/$S$9)))</f>
        <v/>
      </c>
      <c r="U30" s="54"/>
      <c r="V30" s="60" t="str">
        <f aca="false">IF(U30="","",IF($U$9="","",IF($U$9=0,"",U30/$U$9)))</f>
        <v/>
      </c>
      <c r="W30" s="54"/>
      <c r="X30" s="60" t="str">
        <f aca="false">IF(W30="","",IF($W$9="","",IF($W$9=0,"",W30/$W$9)))</f>
        <v/>
      </c>
    </row>
    <row r="31" customFormat="false" ht="15" hidden="false" customHeight="false" outlineLevel="0" collapsed="false">
      <c r="A31" s="5" t="n">
        <v>21</v>
      </c>
      <c r="B31" s="50" t="n">
        <v>46328</v>
      </c>
      <c r="C31" s="61" t="n">
        <f aca="false">$B$5/$B$8</f>
        <v>238.095238095238</v>
      </c>
      <c r="D31" s="52"/>
      <c r="E31" s="61" t="n">
        <f aca="false">SUM($C$11:C31)</f>
        <v>5000</v>
      </c>
      <c r="F31" s="61" t="n">
        <f aca="false">SUM($D$11:D31)</f>
        <v>0</v>
      </c>
      <c r="G31" s="53" t="str">
        <f aca="false">IF(COUNT($D$11:D31)=0,"",F31/E31)</f>
        <v/>
      </c>
      <c r="H31" s="13" t="str">
        <f aca="false">IF(G31="","",IF(G31&gt;=0.95,"En meta",IF(G31&gt;=0.8,"Riesgo","Atrasado")))</f>
        <v/>
      </c>
      <c r="I31" s="54"/>
      <c r="J31" s="55" t="str">
        <f aca="false">IF(I31="","",IF($I$9="","",IF($I$9=0,"",I31/$I$9)))</f>
        <v/>
      </c>
      <c r="K31" s="54"/>
      <c r="L31" s="55" t="str">
        <f aca="false">IF(K31="","",IF($K$9="","",IF($K$9=0,"",K31/$K$9)))</f>
        <v/>
      </c>
      <c r="M31" s="54"/>
      <c r="N31" s="55" t="str">
        <f aca="false">IF(M31="","",IF($M$9="","",IF($M$9=0,"",M31/$M$9)))</f>
        <v/>
      </c>
      <c r="O31" s="54"/>
      <c r="P31" s="55" t="str">
        <f aca="false">IF(O31="","",IF($O$9="","",IF($O$9=0,"",O31/$O$9)))</f>
        <v/>
      </c>
      <c r="Q31" s="56"/>
      <c r="R31" s="55" t="str">
        <f aca="false">IF(Q31="","",IF($Q$9="","",IF($Q$9=0,"",Q31/$Q$9)))</f>
        <v/>
      </c>
      <c r="S31" s="54"/>
      <c r="T31" s="55" t="str">
        <f aca="false">IF(S31="","",IF($S$9="","",IF($S$9=0,"",S31/$S$9)))</f>
        <v/>
      </c>
      <c r="U31" s="54"/>
      <c r="V31" s="55" t="str">
        <f aca="false">IF(U31="","",IF($U$9="","",IF($U$9=0,"",U31/$U$9)))</f>
        <v/>
      </c>
      <c r="W31" s="54"/>
      <c r="X31" s="55" t="str">
        <f aca="false">IF(W31="","",IF($W$9="","",IF($W$9=0,"",W31/$W$9)))</f>
        <v/>
      </c>
    </row>
    <row r="32" customFormat="false" ht="15" hidden="false" customHeight="false" outlineLevel="0" collapsed="false">
      <c r="A32" s="28" t="n">
        <v>22</v>
      </c>
      <c r="B32" s="57" t="n">
        <v>46335</v>
      </c>
      <c r="C32" s="62" t="n">
        <f aca="false">$B$5/$B$8</f>
        <v>238.095238095238</v>
      </c>
      <c r="D32" s="52"/>
      <c r="E32" s="62" t="n">
        <f aca="false">SUM($C$11:C32)</f>
        <v>5238.09523809524</v>
      </c>
      <c r="F32" s="62" t="n">
        <f aca="false">SUM($D$11:D32)</f>
        <v>0</v>
      </c>
      <c r="G32" s="59" t="str">
        <f aca="false">IF(COUNT($D$11:D32)=0,"",F32/E32)</f>
        <v/>
      </c>
      <c r="H32" s="14" t="str">
        <f aca="false">IF(G32="","",IF(G32&gt;=0.95,"En meta",IF(G32&gt;=0.8,"Riesgo","Atrasado")))</f>
        <v/>
      </c>
      <c r="I32" s="54"/>
      <c r="J32" s="60" t="str">
        <f aca="false">IF(I32="","",IF($I$9="","",IF($I$9=0,"",I32/$I$9)))</f>
        <v/>
      </c>
      <c r="K32" s="54"/>
      <c r="L32" s="60" t="str">
        <f aca="false">IF(K32="","",IF($K$9="","",IF($K$9=0,"",K32/$K$9)))</f>
        <v/>
      </c>
      <c r="M32" s="54"/>
      <c r="N32" s="60" t="str">
        <f aca="false">IF(M32="","",IF($M$9="","",IF($M$9=0,"",M32/$M$9)))</f>
        <v/>
      </c>
      <c r="O32" s="54"/>
      <c r="P32" s="60" t="str">
        <f aca="false">IF(O32="","",IF($O$9="","",IF($O$9=0,"",O32/$O$9)))</f>
        <v/>
      </c>
      <c r="Q32" s="56"/>
      <c r="R32" s="60" t="str">
        <f aca="false">IF(Q32="","",IF($Q$9="","",IF($Q$9=0,"",Q32/$Q$9)))</f>
        <v/>
      </c>
      <c r="S32" s="54"/>
      <c r="T32" s="60" t="str">
        <f aca="false">IF(S32="","",IF($S$9="","",IF($S$9=0,"",S32/$S$9)))</f>
        <v/>
      </c>
      <c r="U32" s="54"/>
      <c r="V32" s="60" t="str">
        <f aca="false">IF(U32="","",IF($U$9="","",IF($U$9=0,"",U32/$U$9)))</f>
        <v/>
      </c>
      <c r="W32" s="54"/>
      <c r="X32" s="60" t="str">
        <f aca="false">IF(W32="","",IF($W$9="","",IF($W$9=0,"",W32/$W$9)))</f>
        <v/>
      </c>
    </row>
    <row r="33" customFormat="false" ht="15" hidden="false" customHeight="false" outlineLevel="0" collapsed="false">
      <c r="A33" s="5" t="n">
        <v>23</v>
      </c>
      <c r="B33" s="50" t="n">
        <v>46342</v>
      </c>
      <c r="C33" s="61" t="n">
        <f aca="false">$B$5/$B$8</f>
        <v>238.095238095238</v>
      </c>
      <c r="D33" s="52"/>
      <c r="E33" s="61" t="n">
        <f aca="false">SUM($C$11:C33)</f>
        <v>5476.19047619048</v>
      </c>
      <c r="F33" s="61" t="n">
        <f aca="false">SUM($D$11:D33)</f>
        <v>0</v>
      </c>
      <c r="G33" s="53" t="str">
        <f aca="false">IF(COUNT($D$11:D33)=0,"",F33/E33)</f>
        <v/>
      </c>
      <c r="H33" s="13" t="str">
        <f aca="false">IF(G33="","",IF(G33&gt;=0.95,"En meta",IF(G33&gt;=0.8,"Riesgo","Atrasado")))</f>
        <v/>
      </c>
      <c r="I33" s="54"/>
      <c r="J33" s="55" t="str">
        <f aca="false">IF(I33="","",IF($I$9="","",IF($I$9=0,"",I33/$I$9)))</f>
        <v/>
      </c>
      <c r="K33" s="54"/>
      <c r="L33" s="55" t="str">
        <f aca="false">IF(K33="","",IF($K$9="","",IF($K$9=0,"",K33/$K$9)))</f>
        <v/>
      </c>
      <c r="M33" s="54"/>
      <c r="N33" s="55" t="str">
        <f aca="false">IF(M33="","",IF($M$9="","",IF($M$9=0,"",M33/$M$9)))</f>
        <v/>
      </c>
      <c r="O33" s="54"/>
      <c r="P33" s="55" t="str">
        <f aca="false">IF(O33="","",IF($O$9="","",IF($O$9=0,"",O33/$O$9)))</f>
        <v/>
      </c>
      <c r="Q33" s="56"/>
      <c r="R33" s="55" t="str">
        <f aca="false">IF(Q33="","",IF($Q$9="","",IF($Q$9=0,"",Q33/$Q$9)))</f>
        <v/>
      </c>
      <c r="S33" s="54"/>
      <c r="T33" s="55" t="str">
        <f aca="false">IF(S33="","",IF($S$9="","",IF($S$9=0,"",S33/$S$9)))</f>
        <v/>
      </c>
      <c r="U33" s="54"/>
      <c r="V33" s="55" t="str">
        <f aca="false">IF(U33="","",IF($U$9="","",IF($U$9=0,"",U33/$U$9)))</f>
        <v/>
      </c>
      <c r="W33" s="54"/>
      <c r="X33" s="55" t="str">
        <f aca="false">IF(W33="","",IF($W$9="","",IF($W$9=0,"",W33/$W$9)))</f>
        <v/>
      </c>
    </row>
    <row r="34" customFormat="false" ht="15" hidden="false" customHeight="false" outlineLevel="0" collapsed="false">
      <c r="A34" s="28" t="n">
        <v>24</v>
      </c>
      <c r="B34" s="57" t="n">
        <v>46349</v>
      </c>
      <c r="C34" s="62" t="n">
        <f aca="false">$B$5/$B$8</f>
        <v>238.095238095238</v>
      </c>
      <c r="D34" s="52"/>
      <c r="E34" s="62" t="n">
        <f aca="false">SUM($C$11:C34)</f>
        <v>5714.28571428572</v>
      </c>
      <c r="F34" s="62" t="n">
        <f aca="false">SUM($D$11:D34)</f>
        <v>0</v>
      </c>
      <c r="G34" s="59" t="str">
        <f aca="false">IF(COUNT($D$11:D34)=0,"",F34/E34)</f>
        <v/>
      </c>
      <c r="H34" s="14" t="str">
        <f aca="false">IF(G34="","",IF(G34&gt;=0.95,"En meta",IF(G34&gt;=0.8,"Riesgo","Atrasado")))</f>
        <v/>
      </c>
      <c r="I34" s="54"/>
      <c r="J34" s="60" t="str">
        <f aca="false">IF(I34="","",IF($I$9="","",IF($I$9=0,"",I34/$I$9)))</f>
        <v/>
      </c>
      <c r="K34" s="54"/>
      <c r="L34" s="60" t="str">
        <f aca="false">IF(K34="","",IF($K$9="","",IF($K$9=0,"",K34/$K$9)))</f>
        <v/>
      </c>
      <c r="M34" s="54"/>
      <c r="N34" s="60" t="str">
        <f aca="false">IF(M34="","",IF($M$9="","",IF($M$9=0,"",M34/$M$9)))</f>
        <v/>
      </c>
      <c r="O34" s="54"/>
      <c r="P34" s="60" t="str">
        <f aca="false">IF(O34="","",IF($O$9="","",IF($O$9=0,"",O34/$O$9)))</f>
        <v/>
      </c>
      <c r="Q34" s="56"/>
      <c r="R34" s="60" t="str">
        <f aca="false">IF(Q34="","",IF($Q$9="","",IF($Q$9=0,"",Q34/$Q$9)))</f>
        <v/>
      </c>
      <c r="S34" s="54"/>
      <c r="T34" s="60" t="str">
        <f aca="false">IF(S34="","",IF($S$9="","",IF($S$9=0,"",S34/$S$9)))</f>
        <v/>
      </c>
      <c r="U34" s="54"/>
      <c r="V34" s="60" t="str">
        <f aca="false">IF(U34="","",IF($U$9="","",IF($U$9=0,"",U34/$U$9)))</f>
        <v/>
      </c>
      <c r="W34" s="54"/>
      <c r="X34" s="60" t="str">
        <f aca="false">IF(W34="","",IF($W$9="","",IF($W$9=0,"",W34/$W$9)))</f>
        <v/>
      </c>
    </row>
    <row r="35" customFormat="false" ht="15" hidden="false" customHeight="false" outlineLevel="0" collapsed="false">
      <c r="A35" s="5" t="n">
        <v>25</v>
      </c>
      <c r="B35" s="50" t="n">
        <v>46356</v>
      </c>
      <c r="C35" s="61" t="n">
        <f aca="false">$B$5/$B$8</f>
        <v>238.095238095238</v>
      </c>
      <c r="D35" s="52"/>
      <c r="E35" s="61" t="n">
        <f aca="false">SUM($C$11:C35)</f>
        <v>5952.38095238095</v>
      </c>
      <c r="F35" s="61" t="n">
        <f aca="false">SUM($D$11:D35)</f>
        <v>0</v>
      </c>
      <c r="G35" s="53" t="str">
        <f aca="false">IF(COUNT($D$11:D35)=0,"",F35/E35)</f>
        <v/>
      </c>
      <c r="H35" s="13" t="str">
        <f aca="false">IF(G35="","",IF(G35&gt;=0.95,"En meta",IF(G35&gt;=0.8,"Riesgo","Atrasado")))</f>
        <v/>
      </c>
      <c r="I35" s="54"/>
      <c r="J35" s="55" t="str">
        <f aca="false">IF(I35="","",IF($I$9="","",IF($I$9=0,"",I35/$I$9)))</f>
        <v/>
      </c>
      <c r="K35" s="54"/>
      <c r="L35" s="55" t="str">
        <f aca="false">IF(K35="","",IF($K$9="","",IF($K$9=0,"",K35/$K$9)))</f>
        <v/>
      </c>
      <c r="M35" s="54"/>
      <c r="N35" s="55" t="str">
        <f aca="false">IF(M35="","",IF($M$9="","",IF($M$9=0,"",M35/$M$9)))</f>
        <v/>
      </c>
      <c r="O35" s="54"/>
      <c r="P35" s="55" t="str">
        <f aca="false">IF(O35="","",IF($O$9="","",IF($O$9=0,"",O35/$O$9)))</f>
        <v/>
      </c>
      <c r="Q35" s="56"/>
      <c r="R35" s="55" t="str">
        <f aca="false">IF(Q35="","",IF($Q$9="","",IF($Q$9=0,"",Q35/$Q$9)))</f>
        <v/>
      </c>
      <c r="S35" s="54"/>
      <c r="T35" s="55" t="str">
        <f aca="false">IF(S35="","",IF($S$9="","",IF($S$9=0,"",S35/$S$9)))</f>
        <v/>
      </c>
      <c r="U35" s="54"/>
      <c r="V35" s="55" t="str">
        <f aca="false">IF(U35="","",IF($U$9="","",IF($U$9=0,"",U35/$U$9)))</f>
        <v/>
      </c>
      <c r="W35" s="54"/>
      <c r="X35" s="55" t="str">
        <f aca="false">IF(W35="","",IF($W$9="","",IF($W$9=0,"",W35/$W$9)))</f>
        <v/>
      </c>
    </row>
    <row r="36" customFormat="false" ht="15" hidden="false" customHeight="false" outlineLevel="0" collapsed="false">
      <c r="A36" s="28" t="n">
        <v>26</v>
      </c>
      <c r="B36" s="57" t="n">
        <v>46363</v>
      </c>
      <c r="C36" s="62" t="n">
        <f aca="false">$B$5/$B$8</f>
        <v>238.095238095238</v>
      </c>
      <c r="D36" s="52"/>
      <c r="E36" s="62" t="n">
        <f aca="false">SUM($C$11:C36)</f>
        <v>6190.47619047619</v>
      </c>
      <c r="F36" s="62" t="n">
        <f aca="false">SUM($D$11:D36)</f>
        <v>0</v>
      </c>
      <c r="G36" s="59" t="str">
        <f aca="false">IF(COUNT($D$11:D36)=0,"",F36/E36)</f>
        <v/>
      </c>
      <c r="H36" s="14" t="str">
        <f aca="false">IF(G36="","",IF(G36&gt;=0.95,"En meta",IF(G36&gt;=0.8,"Riesgo","Atrasado")))</f>
        <v/>
      </c>
      <c r="I36" s="54"/>
      <c r="J36" s="60" t="str">
        <f aca="false">IF(I36="","",IF($I$9="","",IF($I$9=0,"",I36/$I$9)))</f>
        <v/>
      </c>
      <c r="K36" s="54"/>
      <c r="L36" s="60" t="str">
        <f aca="false">IF(K36="","",IF($K$9="","",IF($K$9=0,"",K36/$K$9)))</f>
        <v/>
      </c>
      <c r="M36" s="54"/>
      <c r="N36" s="60" t="str">
        <f aca="false">IF(M36="","",IF($M$9="","",IF($M$9=0,"",M36/$M$9)))</f>
        <v/>
      </c>
      <c r="O36" s="54"/>
      <c r="P36" s="60" t="str">
        <f aca="false">IF(O36="","",IF($O$9="","",IF($O$9=0,"",O36/$O$9)))</f>
        <v/>
      </c>
      <c r="Q36" s="56"/>
      <c r="R36" s="60" t="str">
        <f aca="false">IF(Q36="","",IF($Q$9="","",IF($Q$9=0,"",Q36/$Q$9)))</f>
        <v/>
      </c>
      <c r="S36" s="54"/>
      <c r="T36" s="60" t="str">
        <f aca="false">IF(S36="","",IF($S$9="","",IF($S$9=0,"",S36/$S$9)))</f>
        <v/>
      </c>
      <c r="U36" s="54"/>
      <c r="V36" s="60" t="str">
        <f aca="false">IF(U36="","",IF($U$9="","",IF($U$9=0,"",U36/$U$9)))</f>
        <v/>
      </c>
      <c r="W36" s="54"/>
      <c r="X36" s="60" t="str">
        <f aca="false">IF(W36="","",IF($W$9="","",IF($W$9=0,"",W36/$W$9)))</f>
        <v/>
      </c>
    </row>
    <row r="37" customFormat="false" ht="15" hidden="false" customHeight="false" outlineLevel="0" collapsed="false">
      <c r="A37" s="5" t="n">
        <v>27</v>
      </c>
      <c r="B37" s="50" t="n">
        <v>46370</v>
      </c>
      <c r="C37" s="61" t="n">
        <f aca="false">$B$5/$B$8</f>
        <v>238.095238095238</v>
      </c>
      <c r="D37" s="52"/>
      <c r="E37" s="61" t="n">
        <f aca="false">SUM($C$11:C37)</f>
        <v>6428.57142857143</v>
      </c>
      <c r="F37" s="61" t="n">
        <f aca="false">SUM($D$11:D37)</f>
        <v>0</v>
      </c>
      <c r="G37" s="53" t="str">
        <f aca="false">IF(COUNT($D$11:D37)=0,"",F37/E37)</f>
        <v/>
      </c>
      <c r="H37" s="13" t="str">
        <f aca="false">IF(G37="","",IF(G37&gt;=0.95,"En meta",IF(G37&gt;=0.8,"Riesgo","Atrasado")))</f>
        <v/>
      </c>
      <c r="I37" s="54"/>
      <c r="J37" s="55" t="str">
        <f aca="false">IF(I37="","",IF($I$9="","",IF($I$9=0,"",I37/$I$9)))</f>
        <v/>
      </c>
      <c r="K37" s="54"/>
      <c r="L37" s="55" t="str">
        <f aca="false">IF(K37="","",IF($K$9="","",IF($K$9=0,"",K37/$K$9)))</f>
        <v/>
      </c>
      <c r="M37" s="54"/>
      <c r="N37" s="55" t="str">
        <f aca="false">IF(M37="","",IF($M$9="","",IF($M$9=0,"",M37/$M$9)))</f>
        <v/>
      </c>
      <c r="O37" s="54"/>
      <c r="P37" s="55" t="str">
        <f aca="false">IF(O37="","",IF($O$9="","",IF($O$9=0,"",O37/$O$9)))</f>
        <v/>
      </c>
      <c r="Q37" s="56"/>
      <c r="R37" s="55" t="str">
        <f aca="false">IF(Q37="","",IF($Q$9="","",IF($Q$9=0,"",Q37/$Q$9)))</f>
        <v/>
      </c>
      <c r="S37" s="54"/>
      <c r="T37" s="55" t="str">
        <f aca="false">IF(S37="","",IF($S$9="","",IF($S$9=0,"",S37/$S$9)))</f>
        <v/>
      </c>
      <c r="U37" s="54"/>
      <c r="V37" s="55" t="str">
        <f aca="false">IF(U37="","",IF($U$9="","",IF($U$9=0,"",U37/$U$9)))</f>
        <v/>
      </c>
      <c r="W37" s="54"/>
      <c r="X37" s="55" t="str">
        <f aca="false">IF(W37="","",IF($W$9="","",IF($W$9=0,"",W37/$W$9)))</f>
        <v/>
      </c>
    </row>
    <row r="38" customFormat="false" ht="15" hidden="false" customHeight="false" outlineLevel="0" collapsed="false">
      <c r="A38" s="28" t="n">
        <v>28</v>
      </c>
      <c r="B38" s="57" t="n">
        <v>46377</v>
      </c>
      <c r="C38" s="62" t="n">
        <f aca="false">$B$5/$B$8</f>
        <v>238.095238095238</v>
      </c>
      <c r="D38" s="52"/>
      <c r="E38" s="62" t="n">
        <f aca="false">SUM($C$11:C38)</f>
        <v>6666.66666666667</v>
      </c>
      <c r="F38" s="62" t="n">
        <f aca="false">SUM($D$11:D38)</f>
        <v>0</v>
      </c>
      <c r="G38" s="59" t="str">
        <f aca="false">IF(COUNT($D$11:D38)=0,"",F38/E38)</f>
        <v/>
      </c>
      <c r="H38" s="14" t="str">
        <f aca="false">IF(G38="","",IF(G38&gt;=0.95,"En meta",IF(G38&gt;=0.8,"Riesgo","Atrasado")))</f>
        <v/>
      </c>
      <c r="I38" s="54"/>
      <c r="J38" s="60" t="str">
        <f aca="false">IF(I38="","",IF($I$9="","",IF($I$9=0,"",I38/$I$9)))</f>
        <v/>
      </c>
      <c r="K38" s="54"/>
      <c r="L38" s="60" t="str">
        <f aca="false">IF(K38="","",IF($K$9="","",IF($K$9=0,"",K38/$K$9)))</f>
        <v/>
      </c>
      <c r="M38" s="54"/>
      <c r="N38" s="60" t="str">
        <f aca="false">IF(M38="","",IF($M$9="","",IF($M$9=0,"",M38/$M$9)))</f>
        <v/>
      </c>
      <c r="O38" s="54"/>
      <c r="P38" s="60" t="str">
        <f aca="false">IF(O38="","",IF($O$9="","",IF($O$9=0,"",O38/$O$9)))</f>
        <v/>
      </c>
      <c r="Q38" s="56"/>
      <c r="R38" s="60" t="str">
        <f aca="false">IF(Q38="","",IF($Q$9="","",IF($Q$9=0,"",Q38/$Q$9)))</f>
        <v/>
      </c>
      <c r="S38" s="54"/>
      <c r="T38" s="60" t="str">
        <f aca="false">IF(S38="","",IF($S$9="","",IF($S$9=0,"",S38/$S$9)))</f>
        <v/>
      </c>
      <c r="U38" s="54"/>
      <c r="V38" s="60" t="str">
        <f aca="false">IF(U38="","",IF($U$9="","",IF($U$9=0,"",U38/$U$9)))</f>
        <v/>
      </c>
      <c r="W38" s="54"/>
      <c r="X38" s="60" t="str">
        <f aca="false">IF(W38="","",IF($W$9="","",IF($W$9=0,"",W38/$W$9)))</f>
        <v/>
      </c>
    </row>
    <row r="39" customFormat="false" ht="15" hidden="false" customHeight="false" outlineLevel="0" collapsed="false">
      <c r="A39" s="5" t="n">
        <v>29</v>
      </c>
      <c r="B39" s="50" t="n">
        <v>46384</v>
      </c>
      <c r="C39" s="61" t="n">
        <f aca="false">$B$5/$B$8</f>
        <v>238.095238095238</v>
      </c>
      <c r="D39" s="52"/>
      <c r="E39" s="61" t="n">
        <f aca="false">SUM($C$11:C39)</f>
        <v>6904.76190476191</v>
      </c>
      <c r="F39" s="61" t="n">
        <f aca="false">SUM($D$11:D39)</f>
        <v>0</v>
      </c>
      <c r="G39" s="53" t="str">
        <f aca="false">IF(COUNT($D$11:D39)=0,"",F39/E39)</f>
        <v/>
      </c>
      <c r="H39" s="13" t="str">
        <f aca="false">IF(G39="","",IF(G39&gt;=0.95,"En meta",IF(G39&gt;=0.8,"Riesgo","Atrasado")))</f>
        <v/>
      </c>
      <c r="I39" s="54"/>
      <c r="J39" s="55" t="str">
        <f aca="false">IF(I39="","",IF($I$9="","",IF($I$9=0,"",I39/$I$9)))</f>
        <v/>
      </c>
      <c r="K39" s="54"/>
      <c r="L39" s="55" t="str">
        <f aca="false">IF(K39="","",IF($K$9="","",IF($K$9=0,"",K39/$K$9)))</f>
        <v/>
      </c>
      <c r="M39" s="54"/>
      <c r="N39" s="55" t="str">
        <f aca="false">IF(M39="","",IF($M$9="","",IF($M$9=0,"",M39/$M$9)))</f>
        <v/>
      </c>
      <c r="O39" s="54"/>
      <c r="P39" s="55" t="str">
        <f aca="false">IF(O39="","",IF($O$9="","",IF($O$9=0,"",O39/$O$9)))</f>
        <v/>
      </c>
      <c r="Q39" s="56"/>
      <c r="R39" s="55" t="str">
        <f aca="false">IF(Q39="","",IF($Q$9="","",IF($Q$9=0,"",Q39/$Q$9)))</f>
        <v/>
      </c>
      <c r="S39" s="54"/>
      <c r="T39" s="55" t="str">
        <f aca="false">IF(S39="","",IF($S$9="","",IF($S$9=0,"",S39/$S$9)))</f>
        <v/>
      </c>
      <c r="U39" s="54"/>
      <c r="V39" s="55" t="str">
        <f aca="false">IF(U39="","",IF($U$9="","",IF($U$9=0,"",U39/$U$9)))</f>
        <v/>
      </c>
      <c r="W39" s="54"/>
      <c r="X39" s="55" t="str">
        <f aca="false">IF(W39="","",IF($W$9="","",IF($W$9=0,"",W39/$W$9)))</f>
        <v/>
      </c>
    </row>
    <row r="40" customFormat="false" ht="15" hidden="false" customHeight="false" outlineLevel="0" collapsed="false">
      <c r="A40" s="28" t="n">
        <v>30</v>
      </c>
      <c r="B40" s="57" t="n">
        <v>46391</v>
      </c>
      <c r="C40" s="62" t="n">
        <f aca="false">$B$5/$B$8</f>
        <v>238.095238095238</v>
      </c>
      <c r="D40" s="52"/>
      <c r="E40" s="62" t="n">
        <f aca="false">SUM($C$11:C40)</f>
        <v>7142.85714285714</v>
      </c>
      <c r="F40" s="62" t="n">
        <f aca="false">SUM($D$11:D40)</f>
        <v>0</v>
      </c>
      <c r="G40" s="59" t="str">
        <f aca="false">IF(COUNT($D$11:D40)=0,"",F40/E40)</f>
        <v/>
      </c>
      <c r="H40" s="14" t="str">
        <f aca="false">IF(G40="","",IF(G40&gt;=0.95,"En meta",IF(G40&gt;=0.8,"Riesgo","Atrasado")))</f>
        <v/>
      </c>
      <c r="I40" s="54"/>
      <c r="J40" s="60" t="str">
        <f aca="false">IF(I40="","",IF($I$9="","",IF($I$9=0,"",I40/$I$9)))</f>
        <v/>
      </c>
      <c r="K40" s="54"/>
      <c r="L40" s="60" t="str">
        <f aca="false">IF(K40="","",IF($K$9="","",IF($K$9=0,"",K40/$K$9)))</f>
        <v/>
      </c>
      <c r="M40" s="54"/>
      <c r="N40" s="60" t="str">
        <f aca="false">IF(M40="","",IF($M$9="","",IF($M$9=0,"",M40/$M$9)))</f>
        <v/>
      </c>
      <c r="O40" s="54"/>
      <c r="P40" s="60" t="str">
        <f aca="false">IF(O40="","",IF($O$9="","",IF($O$9=0,"",O40/$O$9)))</f>
        <v/>
      </c>
      <c r="Q40" s="56"/>
      <c r="R40" s="60" t="str">
        <f aca="false">IF(Q40="","",IF($Q$9="","",IF($Q$9=0,"",Q40/$Q$9)))</f>
        <v/>
      </c>
      <c r="S40" s="54"/>
      <c r="T40" s="60" t="str">
        <f aca="false">IF(S40="","",IF($S$9="","",IF($S$9=0,"",S40/$S$9)))</f>
        <v/>
      </c>
      <c r="U40" s="54"/>
      <c r="V40" s="60" t="str">
        <f aca="false">IF(U40="","",IF($U$9="","",IF($U$9=0,"",U40/$U$9)))</f>
        <v/>
      </c>
      <c r="W40" s="54"/>
      <c r="X40" s="60" t="str">
        <f aca="false">IF(W40="","",IF($W$9="","",IF($W$9=0,"",W40/$W$9)))</f>
        <v/>
      </c>
    </row>
    <row r="41" customFormat="false" ht="15" hidden="false" customHeight="false" outlineLevel="0" collapsed="false">
      <c r="A41" s="5" t="n">
        <v>31</v>
      </c>
      <c r="B41" s="50" t="n">
        <v>46398</v>
      </c>
      <c r="C41" s="61" t="n">
        <f aca="false">$B$5/$B$8</f>
        <v>238.095238095238</v>
      </c>
      <c r="D41" s="52"/>
      <c r="E41" s="61" t="n">
        <f aca="false">SUM($C$11:C41)</f>
        <v>7380.95238095238</v>
      </c>
      <c r="F41" s="61" t="n">
        <f aca="false">SUM($D$11:D41)</f>
        <v>0</v>
      </c>
      <c r="G41" s="53" t="str">
        <f aca="false">IF(COUNT($D$11:D41)=0,"",F41/E41)</f>
        <v/>
      </c>
      <c r="H41" s="13" t="str">
        <f aca="false">IF(G41="","",IF(G41&gt;=0.95,"En meta",IF(G41&gt;=0.8,"Riesgo","Atrasado")))</f>
        <v/>
      </c>
      <c r="I41" s="54"/>
      <c r="J41" s="55" t="str">
        <f aca="false">IF(I41="","",IF($I$9="","",IF($I$9=0,"",I41/$I$9)))</f>
        <v/>
      </c>
      <c r="K41" s="54"/>
      <c r="L41" s="55" t="str">
        <f aca="false">IF(K41="","",IF($K$9="","",IF($K$9=0,"",K41/$K$9)))</f>
        <v/>
      </c>
      <c r="M41" s="54"/>
      <c r="N41" s="55" t="str">
        <f aca="false">IF(M41="","",IF($M$9="","",IF($M$9=0,"",M41/$M$9)))</f>
        <v/>
      </c>
      <c r="O41" s="54"/>
      <c r="P41" s="55" t="str">
        <f aca="false">IF(O41="","",IF($O$9="","",IF($O$9=0,"",O41/$O$9)))</f>
        <v/>
      </c>
      <c r="Q41" s="56"/>
      <c r="R41" s="55" t="str">
        <f aca="false">IF(Q41="","",IF($Q$9="","",IF($Q$9=0,"",Q41/$Q$9)))</f>
        <v/>
      </c>
      <c r="S41" s="54"/>
      <c r="T41" s="55" t="str">
        <f aca="false">IF(S41="","",IF($S$9="","",IF($S$9=0,"",S41/$S$9)))</f>
        <v/>
      </c>
      <c r="U41" s="54"/>
      <c r="V41" s="55" t="str">
        <f aca="false">IF(U41="","",IF($U$9="","",IF($U$9=0,"",U41/$U$9)))</f>
        <v/>
      </c>
      <c r="W41" s="54"/>
      <c r="X41" s="55" t="str">
        <f aca="false">IF(W41="","",IF($W$9="","",IF($W$9=0,"",W41/$W$9)))</f>
        <v/>
      </c>
    </row>
    <row r="42" customFormat="false" ht="15" hidden="false" customHeight="false" outlineLevel="0" collapsed="false">
      <c r="A42" s="28" t="n">
        <v>32</v>
      </c>
      <c r="B42" s="57" t="n">
        <v>46405</v>
      </c>
      <c r="C42" s="62" t="n">
        <f aca="false">$B$5/$B$8</f>
        <v>238.095238095238</v>
      </c>
      <c r="D42" s="52"/>
      <c r="E42" s="62" t="n">
        <f aca="false">SUM($C$11:C42)</f>
        <v>7619.04761904762</v>
      </c>
      <c r="F42" s="62" t="n">
        <f aca="false">SUM($D$11:D42)</f>
        <v>0</v>
      </c>
      <c r="G42" s="59" t="str">
        <f aca="false">IF(COUNT($D$11:D42)=0,"",F42/E42)</f>
        <v/>
      </c>
      <c r="H42" s="14" t="str">
        <f aca="false">IF(G42="","",IF(G42&gt;=0.95,"En meta",IF(G42&gt;=0.8,"Riesgo","Atrasado")))</f>
        <v/>
      </c>
      <c r="I42" s="54"/>
      <c r="J42" s="60" t="str">
        <f aca="false">IF(I42="","",IF($I$9="","",IF($I$9=0,"",I42/$I$9)))</f>
        <v/>
      </c>
      <c r="K42" s="54"/>
      <c r="L42" s="60" t="str">
        <f aca="false">IF(K42="","",IF($K$9="","",IF($K$9=0,"",K42/$K$9)))</f>
        <v/>
      </c>
      <c r="M42" s="54"/>
      <c r="N42" s="60" t="str">
        <f aca="false">IF(M42="","",IF($M$9="","",IF($M$9=0,"",M42/$M$9)))</f>
        <v/>
      </c>
      <c r="O42" s="54"/>
      <c r="P42" s="60" t="str">
        <f aca="false">IF(O42="","",IF($O$9="","",IF($O$9=0,"",O42/$O$9)))</f>
        <v/>
      </c>
      <c r="Q42" s="56"/>
      <c r="R42" s="60" t="str">
        <f aca="false">IF(Q42="","",IF($Q$9="","",IF($Q$9=0,"",Q42/$Q$9)))</f>
        <v/>
      </c>
      <c r="S42" s="54"/>
      <c r="T42" s="60" t="str">
        <f aca="false">IF(S42="","",IF($S$9="","",IF($S$9=0,"",S42/$S$9)))</f>
        <v/>
      </c>
      <c r="U42" s="54"/>
      <c r="V42" s="60" t="str">
        <f aca="false">IF(U42="","",IF($U$9="","",IF($U$9=0,"",U42/$U$9)))</f>
        <v/>
      </c>
      <c r="W42" s="54"/>
      <c r="X42" s="60" t="str">
        <f aca="false">IF(W42="","",IF($W$9="","",IF($W$9=0,"",W42/$W$9)))</f>
        <v/>
      </c>
    </row>
    <row r="43" customFormat="false" ht="15" hidden="false" customHeight="false" outlineLevel="0" collapsed="false">
      <c r="A43" s="5" t="n">
        <v>33</v>
      </c>
      <c r="B43" s="50" t="n">
        <v>46412</v>
      </c>
      <c r="C43" s="61" t="n">
        <f aca="false">$B$5/$B$8</f>
        <v>238.095238095238</v>
      </c>
      <c r="D43" s="52"/>
      <c r="E43" s="61" t="n">
        <f aca="false">SUM($C$11:C43)</f>
        <v>7857.14285714286</v>
      </c>
      <c r="F43" s="61" t="n">
        <f aca="false">SUM($D$11:D43)</f>
        <v>0</v>
      </c>
      <c r="G43" s="53" t="str">
        <f aca="false">IF(COUNT($D$11:D43)=0,"",F43/E43)</f>
        <v/>
      </c>
      <c r="H43" s="13" t="str">
        <f aca="false">IF(G43="","",IF(G43&gt;=0.95,"En meta",IF(G43&gt;=0.8,"Riesgo","Atrasado")))</f>
        <v/>
      </c>
      <c r="I43" s="54"/>
      <c r="J43" s="55" t="str">
        <f aca="false">IF(I43="","",IF($I$9="","",IF($I$9=0,"",I43/$I$9)))</f>
        <v/>
      </c>
      <c r="K43" s="54"/>
      <c r="L43" s="55" t="str">
        <f aca="false">IF(K43="","",IF($K$9="","",IF($K$9=0,"",K43/$K$9)))</f>
        <v/>
      </c>
      <c r="M43" s="54"/>
      <c r="N43" s="55" t="str">
        <f aca="false">IF(M43="","",IF($M$9="","",IF($M$9=0,"",M43/$M$9)))</f>
        <v/>
      </c>
      <c r="O43" s="54"/>
      <c r="P43" s="55" t="str">
        <f aca="false">IF(O43="","",IF($O$9="","",IF($O$9=0,"",O43/$O$9)))</f>
        <v/>
      </c>
      <c r="Q43" s="56"/>
      <c r="R43" s="55" t="str">
        <f aca="false">IF(Q43="","",IF($Q$9="","",IF($Q$9=0,"",Q43/$Q$9)))</f>
        <v/>
      </c>
      <c r="S43" s="54"/>
      <c r="T43" s="55" t="str">
        <f aca="false">IF(S43="","",IF($S$9="","",IF($S$9=0,"",S43/$S$9)))</f>
        <v/>
      </c>
      <c r="U43" s="54"/>
      <c r="V43" s="55" t="str">
        <f aca="false">IF(U43="","",IF($U$9="","",IF($U$9=0,"",U43/$U$9)))</f>
        <v/>
      </c>
      <c r="W43" s="54"/>
      <c r="X43" s="55" t="str">
        <f aca="false">IF(W43="","",IF($W$9="","",IF($W$9=0,"",W43/$W$9)))</f>
        <v/>
      </c>
    </row>
    <row r="44" customFormat="false" ht="15" hidden="false" customHeight="false" outlineLevel="0" collapsed="false">
      <c r="A44" s="28" t="n">
        <v>34</v>
      </c>
      <c r="B44" s="57" t="n">
        <v>46419</v>
      </c>
      <c r="C44" s="62" t="n">
        <f aca="false">$B$5/$B$8</f>
        <v>238.095238095238</v>
      </c>
      <c r="D44" s="52"/>
      <c r="E44" s="62" t="n">
        <f aca="false">SUM($C$11:C44)</f>
        <v>8095.2380952381</v>
      </c>
      <c r="F44" s="62" t="n">
        <f aca="false">SUM($D$11:D44)</f>
        <v>0</v>
      </c>
      <c r="G44" s="59" t="str">
        <f aca="false">IF(COUNT($D$11:D44)=0,"",F44/E44)</f>
        <v/>
      </c>
      <c r="H44" s="14" t="str">
        <f aca="false">IF(G44="","",IF(G44&gt;=0.95,"En meta",IF(G44&gt;=0.8,"Riesgo","Atrasado")))</f>
        <v/>
      </c>
      <c r="I44" s="54"/>
      <c r="J44" s="60" t="str">
        <f aca="false">IF(I44="","",IF($I$9="","",IF($I$9=0,"",I44/$I$9)))</f>
        <v/>
      </c>
      <c r="K44" s="54"/>
      <c r="L44" s="60" t="str">
        <f aca="false">IF(K44="","",IF($K$9="","",IF($K$9=0,"",K44/$K$9)))</f>
        <v/>
      </c>
      <c r="M44" s="54"/>
      <c r="N44" s="60" t="str">
        <f aca="false">IF(M44="","",IF($M$9="","",IF($M$9=0,"",M44/$M$9)))</f>
        <v/>
      </c>
      <c r="O44" s="54"/>
      <c r="P44" s="60" t="str">
        <f aca="false">IF(O44="","",IF($O$9="","",IF($O$9=0,"",O44/$O$9)))</f>
        <v/>
      </c>
      <c r="Q44" s="56"/>
      <c r="R44" s="60" t="str">
        <f aca="false">IF(Q44="","",IF($Q$9="","",IF($Q$9=0,"",Q44/$Q$9)))</f>
        <v/>
      </c>
      <c r="S44" s="54"/>
      <c r="T44" s="60" t="str">
        <f aca="false">IF(S44="","",IF($S$9="","",IF($S$9=0,"",S44/$S$9)))</f>
        <v/>
      </c>
      <c r="U44" s="54"/>
      <c r="V44" s="60" t="str">
        <f aca="false">IF(U44="","",IF($U$9="","",IF($U$9=0,"",U44/$U$9)))</f>
        <v/>
      </c>
      <c r="W44" s="54"/>
      <c r="X44" s="60" t="str">
        <f aca="false">IF(W44="","",IF($W$9="","",IF($W$9=0,"",W44/$W$9)))</f>
        <v/>
      </c>
    </row>
    <row r="45" customFormat="false" ht="15" hidden="false" customHeight="false" outlineLevel="0" collapsed="false">
      <c r="A45" s="5" t="n">
        <v>35</v>
      </c>
      <c r="B45" s="50" t="n">
        <v>46426</v>
      </c>
      <c r="C45" s="61" t="n">
        <f aca="false">$B$5/$B$8</f>
        <v>238.095238095238</v>
      </c>
      <c r="D45" s="52"/>
      <c r="E45" s="61" t="n">
        <f aca="false">SUM($C$11:C45)</f>
        <v>8333.33333333333</v>
      </c>
      <c r="F45" s="61" t="n">
        <f aca="false">SUM($D$11:D45)</f>
        <v>0</v>
      </c>
      <c r="G45" s="53" t="str">
        <f aca="false">IF(COUNT($D$11:D45)=0,"",F45/E45)</f>
        <v/>
      </c>
      <c r="H45" s="13" t="str">
        <f aca="false">IF(G45="","",IF(G45&gt;=0.95,"En meta",IF(G45&gt;=0.8,"Riesgo","Atrasado")))</f>
        <v/>
      </c>
      <c r="I45" s="54"/>
      <c r="J45" s="55" t="str">
        <f aca="false">IF(I45="","",IF($I$9="","",IF($I$9=0,"",I45/$I$9)))</f>
        <v/>
      </c>
      <c r="K45" s="54"/>
      <c r="L45" s="55" t="str">
        <f aca="false">IF(K45="","",IF($K$9="","",IF($K$9=0,"",K45/$K$9)))</f>
        <v/>
      </c>
      <c r="M45" s="54"/>
      <c r="N45" s="55" t="str">
        <f aca="false">IF(M45="","",IF($M$9="","",IF($M$9=0,"",M45/$M$9)))</f>
        <v/>
      </c>
      <c r="O45" s="54"/>
      <c r="P45" s="55" t="str">
        <f aca="false">IF(O45="","",IF($O$9="","",IF($O$9=0,"",O45/$O$9)))</f>
        <v/>
      </c>
      <c r="Q45" s="56"/>
      <c r="R45" s="55" t="str">
        <f aca="false">IF(Q45="","",IF($Q$9="","",IF($Q$9=0,"",Q45/$Q$9)))</f>
        <v/>
      </c>
      <c r="S45" s="54"/>
      <c r="T45" s="55" t="str">
        <f aca="false">IF(S45="","",IF($S$9="","",IF($S$9=0,"",S45/$S$9)))</f>
        <v/>
      </c>
      <c r="U45" s="54"/>
      <c r="V45" s="55" t="str">
        <f aca="false">IF(U45="","",IF($U$9="","",IF($U$9=0,"",U45/$U$9)))</f>
        <v/>
      </c>
      <c r="W45" s="54"/>
      <c r="X45" s="55" t="str">
        <f aca="false">IF(W45="","",IF($W$9="","",IF($W$9=0,"",W45/$W$9)))</f>
        <v/>
      </c>
    </row>
    <row r="46" customFormat="false" ht="15" hidden="false" customHeight="false" outlineLevel="0" collapsed="false">
      <c r="A46" s="28" t="n">
        <v>36</v>
      </c>
      <c r="B46" s="57" t="n">
        <v>46433</v>
      </c>
      <c r="C46" s="62" t="n">
        <f aca="false">$B$5/$B$8</f>
        <v>238.095238095238</v>
      </c>
      <c r="D46" s="52"/>
      <c r="E46" s="62" t="n">
        <f aca="false">SUM($C$11:C46)</f>
        <v>8571.42857142857</v>
      </c>
      <c r="F46" s="62" t="n">
        <f aca="false">SUM($D$11:D46)</f>
        <v>0</v>
      </c>
      <c r="G46" s="59" t="str">
        <f aca="false">IF(COUNT($D$11:D46)=0,"",F46/E46)</f>
        <v/>
      </c>
      <c r="H46" s="14" t="str">
        <f aca="false">IF(G46="","",IF(G46&gt;=0.95,"En meta",IF(G46&gt;=0.8,"Riesgo","Atrasado")))</f>
        <v/>
      </c>
      <c r="I46" s="54"/>
      <c r="J46" s="60" t="str">
        <f aca="false">IF(I46="","",IF($I$9="","",IF($I$9=0,"",I46/$I$9)))</f>
        <v/>
      </c>
      <c r="K46" s="54"/>
      <c r="L46" s="60" t="str">
        <f aca="false">IF(K46="","",IF($K$9="","",IF($K$9=0,"",K46/$K$9)))</f>
        <v/>
      </c>
      <c r="M46" s="54"/>
      <c r="N46" s="60" t="str">
        <f aca="false">IF(M46="","",IF($M$9="","",IF($M$9=0,"",M46/$M$9)))</f>
        <v/>
      </c>
      <c r="O46" s="54"/>
      <c r="P46" s="60" t="str">
        <f aca="false">IF(O46="","",IF($O$9="","",IF($O$9=0,"",O46/$O$9)))</f>
        <v/>
      </c>
      <c r="Q46" s="56"/>
      <c r="R46" s="60" t="str">
        <f aca="false">IF(Q46="","",IF($Q$9="","",IF($Q$9=0,"",Q46/$Q$9)))</f>
        <v/>
      </c>
      <c r="S46" s="54"/>
      <c r="T46" s="60" t="str">
        <f aca="false">IF(S46="","",IF($S$9="","",IF($S$9=0,"",S46/$S$9)))</f>
        <v/>
      </c>
      <c r="U46" s="54"/>
      <c r="V46" s="60" t="str">
        <f aca="false">IF(U46="","",IF($U$9="","",IF($U$9=0,"",U46/$U$9)))</f>
        <v/>
      </c>
      <c r="W46" s="54"/>
      <c r="X46" s="60" t="str">
        <f aca="false">IF(W46="","",IF($W$9="","",IF($W$9=0,"",W46/$W$9)))</f>
        <v/>
      </c>
    </row>
    <row r="47" customFormat="false" ht="15" hidden="false" customHeight="false" outlineLevel="0" collapsed="false">
      <c r="A47" s="5" t="n">
        <v>37</v>
      </c>
      <c r="B47" s="50" t="n">
        <v>46440</v>
      </c>
      <c r="C47" s="61" t="n">
        <f aca="false">$B$5/$B$8</f>
        <v>238.095238095238</v>
      </c>
      <c r="D47" s="52"/>
      <c r="E47" s="61" t="n">
        <f aca="false">SUM($C$11:C47)</f>
        <v>8809.52380952381</v>
      </c>
      <c r="F47" s="61" t="n">
        <f aca="false">SUM($D$11:D47)</f>
        <v>0</v>
      </c>
      <c r="G47" s="53" t="str">
        <f aca="false">IF(COUNT($D$11:D47)=0,"",F47/E47)</f>
        <v/>
      </c>
      <c r="H47" s="13" t="str">
        <f aca="false">IF(G47="","",IF(G47&gt;=0.95,"En meta",IF(G47&gt;=0.8,"Riesgo","Atrasado")))</f>
        <v/>
      </c>
      <c r="I47" s="54"/>
      <c r="J47" s="55" t="str">
        <f aca="false">IF(I47="","",IF($I$9="","",IF($I$9=0,"",I47/$I$9)))</f>
        <v/>
      </c>
      <c r="K47" s="54"/>
      <c r="L47" s="55" t="str">
        <f aca="false">IF(K47="","",IF($K$9="","",IF($K$9=0,"",K47/$K$9)))</f>
        <v/>
      </c>
      <c r="M47" s="54"/>
      <c r="N47" s="55" t="str">
        <f aca="false">IF(M47="","",IF($M$9="","",IF($M$9=0,"",M47/$M$9)))</f>
        <v/>
      </c>
      <c r="O47" s="54"/>
      <c r="P47" s="55" t="str">
        <f aca="false">IF(O47="","",IF($O$9="","",IF($O$9=0,"",O47/$O$9)))</f>
        <v/>
      </c>
      <c r="Q47" s="56"/>
      <c r="R47" s="55" t="str">
        <f aca="false">IF(Q47="","",IF($Q$9="","",IF($Q$9=0,"",Q47/$Q$9)))</f>
        <v/>
      </c>
      <c r="S47" s="54"/>
      <c r="T47" s="55" t="str">
        <f aca="false">IF(S47="","",IF($S$9="","",IF($S$9=0,"",S47/$S$9)))</f>
        <v/>
      </c>
      <c r="U47" s="54"/>
      <c r="V47" s="55" t="str">
        <f aca="false">IF(U47="","",IF($U$9="","",IF($U$9=0,"",U47/$U$9)))</f>
        <v/>
      </c>
      <c r="W47" s="54"/>
      <c r="X47" s="55" t="str">
        <f aca="false">IF(W47="","",IF($W$9="","",IF($W$9=0,"",W47/$W$9)))</f>
        <v/>
      </c>
    </row>
    <row r="48" customFormat="false" ht="15" hidden="false" customHeight="false" outlineLevel="0" collapsed="false">
      <c r="A48" s="28" t="n">
        <v>38</v>
      </c>
      <c r="B48" s="57" t="n">
        <v>46447</v>
      </c>
      <c r="C48" s="62" t="n">
        <f aca="false">$B$5/$B$8</f>
        <v>238.095238095238</v>
      </c>
      <c r="D48" s="52"/>
      <c r="E48" s="62" t="n">
        <f aca="false">SUM($C$11:C48)</f>
        <v>9047.61904761905</v>
      </c>
      <c r="F48" s="62" t="n">
        <f aca="false">SUM($D$11:D48)</f>
        <v>0</v>
      </c>
      <c r="G48" s="59" t="str">
        <f aca="false">IF(COUNT($D$11:D48)=0,"",F48/E48)</f>
        <v/>
      </c>
      <c r="H48" s="14" t="str">
        <f aca="false">IF(G48="","",IF(G48&gt;=0.95,"En meta",IF(G48&gt;=0.8,"Riesgo","Atrasado")))</f>
        <v/>
      </c>
      <c r="I48" s="54"/>
      <c r="J48" s="60" t="str">
        <f aca="false">IF(I48="","",IF($I$9="","",IF($I$9=0,"",I48/$I$9)))</f>
        <v/>
      </c>
      <c r="K48" s="54"/>
      <c r="L48" s="60" t="str">
        <f aca="false">IF(K48="","",IF($K$9="","",IF($K$9=0,"",K48/$K$9)))</f>
        <v/>
      </c>
      <c r="M48" s="54"/>
      <c r="N48" s="60" t="str">
        <f aca="false">IF(M48="","",IF($M$9="","",IF($M$9=0,"",M48/$M$9)))</f>
        <v/>
      </c>
      <c r="O48" s="54"/>
      <c r="P48" s="60" t="str">
        <f aca="false">IF(O48="","",IF($O$9="","",IF($O$9=0,"",O48/$O$9)))</f>
        <v/>
      </c>
      <c r="Q48" s="56"/>
      <c r="R48" s="60" t="str">
        <f aca="false">IF(Q48="","",IF($Q$9="","",IF($Q$9=0,"",Q48/$Q$9)))</f>
        <v/>
      </c>
      <c r="S48" s="54"/>
      <c r="T48" s="60" t="str">
        <f aca="false">IF(S48="","",IF($S$9="","",IF($S$9=0,"",S48/$S$9)))</f>
        <v/>
      </c>
      <c r="U48" s="54"/>
      <c r="V48" s="60" t="str">
        <f aca="false">IF(U48="","",IF($U$9="","",IF($U$9=0,"",U48/$U$9)))</f>
        <v/>
      </c>
      <c r="W48" s="54"/>
      <c r="X48" s="60" t="str">
        <f aca="false">IF(W48="","",IF($W$9="","",IF($W$9=0,"",W48/$W$9)))</f>
        <v/>
      </c>
    </row>
    <row r="49" customFormat="false" ht="15" hidden="false" customHeight="false" outlineLevel="0" collapsed="false">
      <c r="A49" s="5" t="n">
        <v>39</v>
      </c>
      <c r="B49" s="50" t="n">
        <v>46454</v>
      </c>
      <c r="C49" s="61" t="n">
        <f aca="false">$B$5/$B$8</f>
        <v>238.095238095238</v>
      </c>
      <c r="D49" s="52"/>
      <c r="E49" s="61" t="n">
        <f aca="false">SUM($C$11:C49)</f>
        <v>9285.71428571429</v>
      </c>
      <c r="F49" s="61" t="n">
        <f aca="false">SUM($D$11:D49)</f>
        <v>0</v>
      </c>
      <c r="G49" s="53" t="str">
        <f aca="false">IF(COUNT($D$11:D49)=0,"",F49/E49)</f>
        <v/>
      </c>
      <c r="H49" s="13" t="str">
        <f aca="false">IF(G49="","",IF(G49&gt;=0.95,"En meta",IF(G49&gt;=0.8,"Riesgo","Atrasado")))</f>
        <v/>
      </c>
      <c r="I49" s="54"/>
      <c r="J49" s="55" t="str">
        <f aca="false">IF(I49="","",IF($I$9="","",IF($I$9=0,"",I49/$I$9)))</f>
        <v/>
      </c>
      <c r="K49" s="54"/>
      <c r="L49" s="55" t="str">
        <f aca="false">IF(K49="","",IF($K$9="","",IF($K$9=0,"",K49/$K$9)))</f>
        <v/>
      </c>
      <c r="M49" s="54"/>
      <c r="N49" s="55" t="str">
        <f aca="false">IF(M49="","",IF($M$9="","",IF($M$9=0,"",M49/$M$9)))</f>
        <v/>
      </c>
      <c r="O49" s="54"/>
      <c r="P49" s="55" t="str">
        <f aca="false">IF(O49="","",IF($O$9="","",IF($O$9=0,"",O49/$O$9)))</f>
        <v/>
      </c>
      <c r="Q49" s="56"/>
      <c r="R49" s="55" t="str">
        <f aca="false">IF(Q49="","",IF($Q$9="","",IF($Q$9=0,"",Q49/$Q$9)))</f>
        <v/>
      </c>
      <c r="S49" s="54"/>
      <c r="T49" s="55" t="str">
        <f aca="false">IF(S49="","",IF($S$9="","",IF($S$9=0,"",S49/$S$9)))</f>
        <v/>
      </c>
      <c r="U49" s="54"/>
      <c r="V49" s="55" t="str">
        <f aca="false">IF(U49="","",IF($U$9="","",IF($U$9=0,"",U49/$U$9)))</f>
        <v/>
      </c>
      <c r="W49" s="54"/>
      <c r="X49" s="55" t="str">
        <f aca="false">IF(W49="","",IF($W$9="","",IF($W$9=0,"",W49/$W$9)))</f>
        <v/>
      </c>
    </row>
    <row r="50" customFormat="false" ht="15" hidden="false" customHeight="false" outlineLevel="0" collapsed="false">
      <c r="A50" s="28" t="n">
        <v>40</v>
      </c>
      <c r="B50" s="57" t="n">
        <v>46461</v>
      </c>
      <c r="C50" s="62" t="n">
        <f aca="false">$B$5/$B$8</f>
        <v>238.095238095238</v>
      </c>
      <c r="D50" s="52"/>
      <c r="E50" s="62" t="n">
        <f aca="false">SUM($C$11:C50)</f>
        <v>9523.80952380953</v>
      </c>
      <c r="F50" s="62" t="n">
        <f aca="false">SUM($D$11:D50)</f>
        <v>0</v>
      </c>
      <c r="G50" s="59" t="str">
        <f aca="false">IF(COUNT($D$11:D50)=0,"",F50/E50)</f>
        <v/>
      </c>
      <c r="H50" s="14" t="str">
        <f aca="false">IF(G50="","",IF(G50&gt;=0.95,"En meta",IF(G50&gt;=0.8,"Riesgo","Atrasado")))</f>
        <v/>
      </c>
      <c r="I50" s="54"/>
      <c r="J50" s="60" t="str">
        <f aca="false">IF(I50="","",IF($I$9="","",IF($I$9=0,"",I50/$I$9)))</f>
        <v/>
      </c>
      <c r="K50" s="54"/>
      <c r="L50" s="60" t="str">
        <f aca="false">IF(K50="","",IF($K$9="","",IF($K$9=0,"",K50/$K$9)))</f>
        <v/>
      </c>
      <c r="M50" s="54"/>
      <c r="N50" s="60" t="str">
        <f aca="false">IF(M50="","",IF($M$9="","",IF($M$9=0,"",M50/$M$9)))</f>
        <v/>
      </c>
      <c r="O50" s="54"/>
      <c r="P50" s="60" t="str">
        <f aca="false">IF(O50="","",IF($O$9="","",IF($O$9=0,"",O50/$O$9)))</f>
        <v/>
      </c>
      <c r="Q50" s="56"/>
      <c r="R50" s="60" t="str">
        <f aca="false">IF(Q50="","",IF($Q$9="","",IF($Q$9=0,"",Q50/$Q$9)))</f>
        <v/>
      </c>
      <c r="S50" s="54"/>
      <c r="T50" s="60" t="str">
        <f aca="false">IF(S50="","",IF($S$9="","",IF($S$9=0,"",S50/$S$9)))</f>
        <v/>
      </c>
      <c r="U50" s="54"/>
      <c r="V50" s="60" t="str">
        <f aca="false">IF(U50="","",IF($U$9="","",IF($U$9=0,"",U50/$U$9)))</f>
        <v/>
      </c>
      <c r="W50" s="54"/>
      <c r="X50" s="60" t="str">
        <f aca="false">IF(W50="","",IF($W$9="","",IF($W$9=0,"",W50/$W$9)))</f>
        <v/>
      </c>
    </row>
    <row r="51" customFormat="false" ht="15" hidden="false" customHeight="false" outlineLevel="0" collapsed="false">
      <c r="A51" s="5" t="n">
        <v>41</v>
      </c>
      <c r="B51" s="50" t="n">
        <v>46468</v>
      </c>
      <c r="C51" s="61" t="n">
        <f aca="false">$B$5/$B$8</f>
        <v>238.095238095238</v>
      </c>
      <c r="D51" s="52"/>
      <c r="E51" s="61" t="n">
        <f aca="false">SUM($C$11:C51)</f>
        <v>9761.90476190476</v>
      </c>
      <c r="F51" s="61" t="n">
        <f aca="false">SUM($D$11:D51)</f>
        <v>0</v>
      </c>
      <c r="G51" s="53" t="str">
        <f aca="false">IF(COUNT($D$11:D51)=0,"",F51/E51)</f>
        <v/>
      </c>
      <c r="H51" s="13" t="str">
        <f aca="false">IF(G51="","",IF(G51&gt;=0.95,"En meta",IF(G51&gt;=0.8,"Riesgo","Atrasado")))</f>
        <v/>
      </c>
      <c r="I51" s="54"/>
      <c r="J51" s="55" t="str">
        <f aca="false">IF(I51="","",IF($I$9="","",IF($I$9=0,"",I51/$I$9)))</f>
        <v/>
      </c>
      <c r="K51" s="54"/>
      <c r="L51" s="55" t="str">
        <f aca="false">IF(K51="","",IF($K$9="","",IF($K$9=0,"",K51/$K$9)))</f>
        <v/>
      </c>
      <c r="M51" s="54"/>
      <c r="N51" s="55" t="str">
        <f aca="false">IF(M51="","",IF($M$9="","",IF($M$9=0,"",M51/$M$9)))</f>
        <v/>
      </c>
      <c r="O51" s="54"/>
      <c r="P51" s="55" t="str">
        <f aca="false">IF(O51="","",IF($O$9="","",IF($O$9=0,"",O51/$O$9)))</f>
        <v/>
      </c>
      <c r="Q51" s="56"/>
      <c r="R51" s="55" t="str">
        <f aca="false">IF(Q51="","",IF($Q$9="","",IF($Q$9=0,"",Q51/$Q$9)))</f>
        <v/>
      </c>
      <c r="S51" s="54"/>
      <c r="T51" s="55" t="str">
        <f aca="false">IF(S51="","",IF($S$9="","",IF($S$9=0,"",S51/$S$9)))</f>
        <v/>
      </c>
      <c r="U51" s="54"/>
      <c r="V51" s="55" t="str">
        <f aca="false">IF(U51="","",IF($U$9="","",IF($U$9=0,"",U51/$U$9)))</f>
        <v/>
      </c>
      <c r="W51" s="54"/>
      <c r="X51" s="55" t="str">
        <f aca="false">IF(W51="","",IF($W$9="","",IF($W$9=0,"",W51/$W$9)))</f>
        <v/>
      </c>
    </row>
    <row r="52" customFormat="false" ht="15" hidden="false" customHeight="false" outlineLevel="0" collapsed="false">
      <c r="A52" s="28" t="n">
        <v>42</v>
      </c>
      <c r="B52" s="57" t="n">
        <v>46475</v>
      </c>
      <c r="C52" s="62" t="n">
        <f aca="false">$B$5/$B$8</f>
        <v>238.095238095238</v>
      </c>
      <c r="D52" s="52"/>
      <c r="E52" s="62" t="n">
        <f aca="false">SUM($C$11:C52)</f>
        <v>10000</v>
      </c>
      <c r="F52" s="62" t="n">
        <f aca="false">SUM($D$11:D52)</f>
        <v>0</v>
      </c>
      <c r="G52" s="59" t="str">
        <f aca="false">IF(COUNT($D$11:D52)=0,"",F52/E52)</f>
        <v/>
      </c>
      <c r="H52" s="14" t="str">
        <f aca="false">IF(G52="","",IF(G52&gt;=0.95,"En meta",IF(G52&gt;=0.8,"Riesgo","Atrasado")))</f>
        <v/>
      </c>
      <c r="I52" s="54"/>
      <c r="J52" s="60" t="str">
        <f aca="false">IF(I52="","",IF($I$9="","",IF($I$9=0,"",I52/$I$9)))</f>
        <v/>
      </c>
      <c r="K52" s="54"/>
      <c r="L52" s="60" t="str">
        <f aca="false">IF(K52="","",IF($K$9="","",IF($K$9=0,"",K52/$K$9)))</f>
        <v/>
      </c>
      <c r="M52" s="54"/>
      <c r="N52" s="60" t="str">
        <f aca="false">IF(M52="","",IF($M$9="","",IF($M$9=0,"",M52/$M$9)))</f>
        <v/>
      </c>
      <c r="O52" s="54"/>
      <c r="P52" s="60" t="str">
        <f aca="false">IF(O52="","",IF($O$9="","",IF($O$9=0,"",O52/$O$9)))</f>
        <v/>
      </c>
      <c r="Q52" s="56"/>
      <c r="R52" s="60" t="str">
        <f aca="false">IF(Q52="","",IF($Q$9="","",IF($Q$9=0,"",Q52/$Q$9)))</f>
        <v/>
      </c>
      <c r="S52" s="54"/>
      <c r="T52" s="60" t="str">
        <f aca="false">IF(S52="","",IF($S$9="","",IF($S$9=0,"",S52/$S$9)))</f>
        <v/>
      </c>
      <c r="U52" s="54"/>
      <c r="V52" s="60" t="str">
        <f aca="false">IF(U52="","",IF($U$9="","",IF($U$9=0,"",U52/$U$9)))</f>
        <v/>
      </c>
      <c r="W52" s="54"/>
      <c r="X52" s="60" t="str">
        <f aca="false">IF(W52="","",IF($W$9="","",IF($W$9=0,"",W52/$W$9)))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52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113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114</v>
      </c>
    </row>
    <row r="3" customFormat="false" ht="15" hidden="false" customHeight="false" outlineLevel="0" collapsed="false">
      <c r="A3" s="17" t="s">
        <v>77</v>
      </c>
      <c r="B3" s="40" t="s">
        <v>115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45</v>
      </c>
    </row>
    <row r="5" customFormat="false" ht="15" hidden="false" customHeight="false" outlineLevel="0" collapsed="false">
      <c r="A5" s="17" t="s">
        <v>82</v>
      </c>
      <c r="B5" s="42" t="n">
        <v>10</v>
      </c>
      <c r="D5" s="17" t="s">
        <v>83</v>
      </c>
      <c r="E5" s="43" t="n">
        <v>46188</v>
      </c>
      <c r="G5" s="17" t="s">
        <v>84</v>
      </c>
      <c r="H5" s="43" t="n">
        <v>46748</v>
      </c>
    </row>
    <row r="6" customFormat="false" ht="15" hidden="false" customHeight="false" outlineLevel="0" collapsed="false">
      <c r="A6" s="17" t="s">
        <v>85</v>
      </c>
      <c r="B6" s="40" t="s">
        <v>86</v>
      </c>
    </row>
    <row r="8" customFormat="false" ht="42" hidden="false" customHeight="true" outlineLevel="0" collapsed="false">
      <c r="A8" s="17" t="s">
        <v>87</v>
      </c>
      <c r="B8" s="44" t="n">
        <f aca="false">COUNT(A11:A91)</f>
        <v>81</v>
      </c>
      <c r="H8" s="45" t="s">
        <v>88</v>
      </c>
      <c r="I8" s="46" t="s">
        <v>116</v>
      </c>
      <c r="J8" s="46"/>
      <c r="K8" s="46" t="s">
        <v>117</v>
      </c>
      <c r="L8" s="46"/>
      <c r="M8" s="46" t="s">
        <v>118</v>
      </c>
      <c r="N8" s="46"/>
      <c r="O8" s="46" t="s">
        <v>119</v>
      </c>
      <c r="P8" s="46"/>
      <c r="Q8" s="46" t="s">
        <v>120</v>
      </c>
      <c r="R8" s="46"/>
      <c r="S8" s="46" t="s">
        <v>121</v>
      </c>
      <c r="T8" s="46"/>
      <c r="U8" s="46" t="s">
        <v>122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7" t="n">
        <v>5</v>
      </c>
      <c r="J9" s="47"/>
      <c r="K9" s="47" t="n">
        <v>4</v>
      </c>
      <c r="L9" s="47"/>
      <c r="M9" s="47" t="n">
        <v>1</v>
      </c>
      <c r="N9" s="47"/>
      <c r="O9" s="47" t="n">
        <v>2</v>
      </c>
      <c r="P9" s="47"/>
      <c r="Q9" s="47" t="n">
        <v>10</v>
      </c>
      <c r="R9" s="47"/>
      <c r="S9" s="47" t="n">
        <v>2</v>
      </c>
      <c r="T9" s="47"/>
      <c r="U9" s="48" t="n">
        <v>0.3</v>
      </c>
      <c r="V9" s="48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99</v>
      </c>
      <c r="C10" s="4" t="s">
        <v>100</v>
      </c>
      <c r="D10" s="4" t="s">
        <v>101</v>
      </c>
      <c r="E10" s="4" t="s">
        <v>28</v>
      </c>
      <c r="F10" s="4" t="s">
        <v>29</v>
      </c>
      <c r="G10" s="4" t="s">
        <v>30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50" t="n">
        <v>46188</v>
      </c>
      <c r="C11" s="51" t="n">
        <f aca="false">$B$5/$B$8</f>
        <v>0.123456790123457</v>
      </c>
      <c r="D11" s="52"/>
      <c r="E11" s="51" t="n">
        <f aca="false">SUM($C$11:C11)</f>
        <v>0.123456790123457</v>
      </c>
      <c r="F11" s="51" t="n">
        <f aca="false">SUM($D$11:D11)</f>
        <v>0</v>
      </c>
      <c r="G11" s="53" t="str">
        <f aca="false">IF(COUNT($D$11:D11)=0,"",F11/E11)</f>
        <v/>
      </c>
      <c r="H11" s="13" t="str">
        <f aca="false">IF(G11="","",IF(G11&gt;=0.95,"En meta",IF(G11&gt;=0.8,"Riesgo","Atrasado")))</f>
        <v/>
      </c>
      <c r="I11" s="54"/>
      <c r="J11" s="55" t="str">
        <f aca="false">IF(I11="","",IF($I$9="","",IF($I$9=0,"",I11/$I$9)))</f>
        <v/>
      </c>
      <c r="K11" s="54"/>
      <c r="L11" s="55" t="str">
        <f aca="false">IF(K11="","",IF($K$9="","",IF($K$9=0,"",K11/$K$9)))</f>
        <v/>
      </c>
      <c r="M11" s="54"/>
      <c r="N11" s="55" t="str">
        <f aca="false">IF(M11="","",IF($M$9="","",IF($M$9=0,"",M11/$M$9)))</f>
        <v/>
      </c>
      <c r="O11" s="54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4"/>
      <c r="T11" s="55" t="str">
        <f aca="false">IF(S11="","",IF($S$9="","",IF($S$9=0,"",S11/$S$9)))</f>
        <v/>
      </c>
      <c r="U11" s="56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57" t="n">
        <v>46195</v>
      </c>
      <c r="C12" s="58" t="n">
        <f aca="false">$B$5/$B$8</f>
        <v>0.123456790123457</v>
      </c>
      <c r="D12" s="52"/>
      <c r="E12" s="58" t="n">
        <f aca="false">SUM($C$11:C12)</f>
        <v>0.246913580246914</v>
      </c>
      <c r="F12" s="58" t="n">
        <f aca="false">SUM($D$11:D12)</f>
        <v>0</v>
      </c>
      <c r="G12" s="59" t="str">
        <f aca="false">IF(COUNT($D$11:D12)=0,"",F12/E12)</f>
        <v/>
      </c>
      <c r="H12" s="14" t="str">
        <f aca="false">IF(G12="","",IF(G12&gt;=0.95,"En meta",IF(G12&gt;=0.8,"Riesgo","Atrasado")))</f>
        <v/>
      </c>
      <c r="I12" s="54"/>
      <c r="J12" s="60" t="str">
        <f aca="false">IF(I12="","",IF($I$9="","",IF($I$9=0,"",I12/$I$9)))</f>
        <v/>
      </c>
      <c r="K12" s="54"/>
      <c r="L12" s="60" t="str">
        <f aca="false">IF(K12="","",IF($K$9="","",IF($K$9=0,"",K12/$K$9)))</f>
        <v/>
      </c>
      <c r="M12" s="54"/>
      <c r="N12" s="60" t="str">
        <f aca="false">IF(M12="","",IF($M$9="","",IF($M$9=0,"",M12/$M$9)))</f>
        <v/>
      </c>
      <c r="O12" s="54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4"/>
      <c r="T12" s="60" t="str">
        <f aca="false">IF(S12="","",IF($S$9="","",IF($S$9=0,"",S12/$S$9)))</f>
        <v/>
      </c>
      <c r="U12" s="56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50" t="n">
        <v>46202</v>
      </c>
      <c r="C13" s="51" t="n">
        <f aca="false">$B$5/$B$8</f>
        <v>0.123456790123457</v>
      </c>
      <c r="D13" s="52"/>
      <c r="E13" s="51" t="n">
        <f aca="false">SUM($C$11:C13)</f>
        <v>0.37037037037037</v>
      </c>
      <c r="F13" s="51" t="n">
        <f aca="false">SUM($D$11:D13)</f>
        <v>0</v>
      </c>
      <c r="G13" s="53" t="str">
        <f aca="false">IF(COUNT($D$11:D13)=0,"",F13/E13)</f>
        <v/>
      </c>
      <c r="H13" s="13" t="str">
        <f aca="false">IF(G13="","",IF(G13&gt;=0.95,"En meta",IF(G13&gt;=0.8,"Riesgo","Atrasado")))</f>
        <v/>
      </c>
      <c r="I13" s="54"/>
      <c r="J13" s="55" t="str">
        <f aca="false">IF(I13="","",IF($I$9="","",IF($I$9=0,"",I13/$I$9)))</f>
        <v/>
      </c>
      <c r="K13" s="54"/>
      <c r="L13" s="55" t="str">
        <f aca="false">IF(K13="","",IF($K$9="","",IF($K$9=0,"",K13/$K$9)))</f>
        <v/>
      </c>
      <c r="M13" s="54"/>
      <c r="N13" s="55" t="str">
        <f aca="false">IF(M13="","",IF($M$9="","",IF($M$9=0,"",M13/$M$9)))</f>
        <v/>
      </c>
      <c r="O13" s="54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4"/>
      <c r="T13" s="55" t="str">
        <f aca="false">IF(S13="","",IF($S$9="","",IF($S$9=0,"",S13/$S$9)))</f>
        <v/>
      </c>
      <c r="U13" s="56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57" t="n">
        <v>46209</v>
      </c>
      <c r="C14" s="58" t="n">
        <f aca="false">$B$5/$B$8</f>
        <v>0.123456790123457</v>
      </c>
      <c r="D14" s="52"/>
      <c r="E14" s="58" t="n">
        <f aca="false">SUM($C$11:C14)</f>
        <v>0.493827160493827</v>
      </c>
      <c r="F14" s="58" t="n">
        <f aca="false">SUM($D$11:D14)</f>
        <v>0</v>
      </c>
      <c r="G14" s="59" t="str">
        <f aca="false">IF(COUNT($D$11:D14)=0,"",F14/E14)</f>
        <v/>
      </c>
      <c r="H14" s="14" t="str">
        <f aca="false">IF(G14="","",IF(G14&gt;=0.95,"En meta",IF(G14&gt;=0.8,"Riesgo","Atrasado")))</f>
        <v/>
      </c>
      <c r="I14" s="54"/>
      <c r="J14" s="60" t="str">
        <f aca="false">IF(I14="","",IF($I$9="","",IF($I$9=0,"",I14/$I$9)))</f>
        <v/>
      </c>
      <c r="K14" s="54"/>
      <c r="L14" s="60" t="str">
        <f aca="false">IF(K14="","",IF($K$9="","",IF($K$9=0,"",K14/$K$9)))</f>
        <v/>
      </c>
      <c r="M14" s="54"/>
      <c r="N14" s="60" t="str">
        <f aca="false">IF(M14="","",IF($M$9="","",IF($M$9=0,"",M14/$M$9)))</f>
        <v/>
      </c>
      <c r="O14" s="54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4"/>
      <c r="T14" s="60" t="str">
        <f aca="false">IF(S14="","",IF($S$9="","",IF($S$9=0,"",S14/$S$9)))</f>
        <v/>
      </c>
      <c r="U14" s="56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50" t="n">
        <v>46216</v>
      </c>
      <c r="C15" s="51" t="n">
        <f aca="false">$B$5/$B$8</f>
        <v>0.123456790123457</v>
      </c>
      <c r="D15" s="52"/>
      <c r="E15" s="51" t="n">
        <f aca="false">SUM($C$11:C15)</f>
        <v>0.617283950617284</v>
      </c>
      <c r="F15" s="51" t="n">
        <f aca="false">SUM($D$11:D15)</f>
        <v>0</v>
      </c>
      <c r="G15" s="53" t="str">
        <f aca="false">IF(COUNT($D$11:D15)=0,"",F15/E15)</f>
        <v/>
      </c>
      <c r="H15" s="13" t="str">
        <f aca="false">IF(G15="","",IF(G15&gt;=0.95,"En meta",IF(G15&gt;=0.8,"Riesgo","Atrasado")))</f>
        <v/>
      </c>
      <c r="I15" s="54"/>
      <c r="J15" s="55" t="str">
        <f aca="false">IF(I15="","",IF($I$9="","",IF($I$9=0,"",I15/$I$9)))</f>
        <v/>
      </c>
      <c r="K15" s="54"/>
      <c r="L15" s="55" t="str">
        <f aca="false">IF(K15="","",IF($K$9="","",IF($K$9=0,"",K15/$K$9)))</f>
        <v/>
      </c>
      <c r="M15" s="54"/>
      <c r="N15" s="55" t="str">
        <f aca="false">IF(M15="","",IF($M$9="","",IF($M$9=0,"",M15/$M$9)))</f>
        <v/>
      </c>
      <c r="O15" s="54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4"/>
      <c r="T15" s="55" t="str">
        <f aca="false">IF(S15="","",IF($S$9="","",IF($S$9=0,"",S15/$S$9)))</f>
        <v/>
      </c>
      <c r="U15" s="56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57" t="n">
        <v>46223</v>
      </c>
      <c r="C16" s="58" t="n">
        <f aca="false">$B$5/$B$8</f>
        <v>0.123456790123457</v>
      </c>
      <c r="D16" s="52"/>
      <c r="E16" s="58" t="n">
        <f aca="false">SUM($C$11:C16)</f>
        <v>0.740740740740741</v>
      </c>
      <c r="F16" s="58" t="n">
        <f aca="false">SUM($D$11:D16)</f>
        <v>0</v>
      </c>
      <c r="G16" s="59" t="str">
        <f aca="false">IF(COUNT($D$11:D16)=0,"",F16/E16)</f>
        <v/>
      </c>
      <c r="H16" s="14" t="str">
        <f aca="false">IF(G16="","",IF(G16&gt;=0.95,"En meta",IF(G16&gt;=0.8,"Riesgo","Atrasado")))</f>
        <v/>
      </c>
      <c r="I16" s="54"/>
      <c r="J16" s="60" t="str">
        <f aca="false">IF(I16="","",IF($I$9="","",IF($I$9=0,"",I16/$I$9)))</f>
        <v/>
      </c>
      <c r="K16" s="54"/>
      <c r="L16" s="60" t="str">
        <f aca="false">IF(K16="","",IF($K$9="","",IF($K$9=0,"",K16/$K$9)))</f>
        <v/>
      </c>
      <c r="M16" s="54"/>
      <c r="N16" s="60" t="str">
        <f aca="false">IF(M16="","",IF($M$9="","",IF($M$9=0,"",M16/$M$9)))</f>
        <v/>
      </c>
      <c r="O16" s="54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4"/>
      <c r="T16" s="60" t="str">
        <f aca="false">IF(S16="","",IF($S$9="","",IF($S$9=0,"",S16/$S$9)))</f>
        <v/>
      </c>
      <c r="U16" s="56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50" t="n">
        <v>46230</v>
      </c>
      <c r="C17" s="51" t="n">
        <f aca="false">$B$5/$B$8</f>
        <v>0.123456790123457</v>
      </c>
      <c r="D17" s="52"/>
      <c r="E17" s="51" t="n">
        <f aca="false">SUM($C$11:C17)</f>
        <v>0.864197530864198</v>
      </c>
      <c r="F17" s="51" t="n">
        <f aca="false">SUM($D$11:D17)</f>
        <v>0</v>
      </c>
      <c r="G17" s="53" t="str">
        <f aca="false">IF(COUNT($D$11:D17)=0,"",F17/E17)</f>
        <v/>
      </c>
      <c r="H17" s="13" t="str">
        <f aca="false">IF(G17="","",IF(G17&gt;=0.95,"En meta",IF(G17&gt;=0.8,"Riesgo","Atrasado")))</f>
        <v/>
      </c>
      <c r="I17" s="54"/>
      <c r="J17" s="55" t="str">
        <f aca="false">IF(I17="","",IF($I$9="","",IF($I$9=0,"",I17/$I$9)))</f>
        <v/>
      </c>
      <c r="K17" s="54"/>
      <c r="L17" s="55" t="str">
        <f aca="false">IF(K17="","",IF($K$9="","",IF($K$9=0,"",K17/$K$9)))</f>
        <v/>
      </c>
      <c r="M17" s="54"/>
      <c r="N17" s="55" t="str">
        <f aca="false">IF(M17="","",IF($M$9="","",IF($M$9=0,"",M17/$M$9)))</f>
        <v/>
      </c>
      <c r="O17" s="54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4"/>
      <c r="T17" s="55" t="str">
        <f aca="false">IF(S17="","",IF($S$9="","",IF($S$9=0,"",S17/$S$9)))</f>
        <v/>
      </c>
      <c r="U17" s="56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57" t="n">
        <v>46237</v>
      </c>
      <c r="C18" s="58" t="n">
        <f aca="false">$B$5/$B$8</f>
        <v>0.123456790123457</v>
      </c>
      <c r="D18" s="52"/>
      <c r="E18" s="58" t="n">
        <f aca="false">SUM($C$11:C18)</f>
        <v>0.987654320987654</v>
      </c>
      <c r="F18" s="58" t="n">
        <f aca="false">SUM($D$11:D18)</f>
        <v>0</v>
      </c>
      <c r="G18" s="59" t="str">
        <f aca="false">IF(COUNT($D$11:D18)=0,"",F18/E18)</f>
        <v/>
      </c>
      <c r="H18" s="14" t="str">
        <f aca="false">IF(G18="","",IF(G18&gt;=0.95,"En meta",IF(G18&gt;=0.8,"Riesgo","Atrasado")))</f>
        <v/>
      </c>
      <c r="I18" s="54"/>
      <c r="J18" s="60" t="str">
        <f aca="false">IF(I18="","",IF($I$9="","",IF($I$9=0,"",I18/$I$9)))</f>
        <v/>
      </c>
      <c r="K18" s="54"/>
      <c r="L18" s="60" t="str">
        <f aca="false">IF(K18="","",IF($K$9="","",IF($K$9=0,"",K18/$K$9)))</f>
        <v/>
      </c>
      <c r="M18" s="54"/>
      <c r="N18" s="60" t="str">
        <f aca="false">IF(M18="","",IF($M$9="","",IF($M$9=0,"",M18/$M$9)))</f>
        <v/>
      </c>
      <c r="O18" s="54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4"/>
      <c r="T18" s="60" t="str">
        <f aca="false">IF(S18="","",IF($S$9="","",IF($S$9=0,"",S18/$S$9)))</f>
        <v/>
      </c>
      <c r="U18" s="56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50" t="n">
        <v>46244</v>
      </c>
      <c r="C19" s="51" t="n">
        <f aca="false">$B$5/$B$8</f>
        <v>0.123456790123457</v>
      </c>
      <c r="D19" s="52"/>
      <c r="E19" s="51" t="n">
        <f aca="false">SUM($C$11:C19)</f>
        <v>1.11111111111111</v>
      </c>
      <c r="F19" s="51" t="n">
        <f aca="false">SUM($D$11:D19)</f>
        <v>0</v>
      </c>
      <c r="G19" s="53" t="str">
        <f aca="false">IF(COUNT($D$11:D19)=0,"",F19/E19)</f>
        <v/>
      </c>
      <c r="H19" s="13" t="str">
        <f aca="false">IF(G19="","",IF(G19&gt;=0.95,"En meta",IF(G19&gt;=0.8,"Riesgo","Atrasado")))</f>
        <v/>
      </c>
      <c r="I19" s="54"/>
      <c r="J19" s="55" t="str">
        <f aca="false">IF(I19="","",IF($I$9="","",IF($I$9=0,"",I19/$I$9)))</f>
        <v/>
      </c>
      <c r="K19" s="54"/>
      <c r="L19" s="55" t="str">
        <f aca="false">IF(K19="","",IF($K$9="","",IF($K$9=0,"",K19/$K$9)))</f>
        <v/>
      </c>
      <c r="M19" s="54"/>
      <c r="N19" s="55" t="str">
        <f aca="false">IF(M19="","",IF($M$9="","",IF($M$9=0,"",M19/$M$9)))</f>
        <v/>
      </c>
      <c r="O19" s="54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4"/>
      <c r="T19" s="55" t="str">
        <f aca="false">IF(S19="","",IF($S$9="","",IF($S$9=0,"",S19/$S$9)))</f>
        <v/>
      </c>
      <c r="U19" s="56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57" t="n">
        <v>46251</v>
      </c>
      <c r="C20" s="58" t="n">
        <f aca="false">$B$5/$B$8</f>
        <v>0.123456790123457</v>
      </c>
      <c r="D20" s="52"/>
      <c r="E20" s="58" t="n">
        <f aca="false">SUM($C$11:C20)</f>
        <v>1.23456790123457</v>
      </c>
      <c r="F20" s="58" t="n">
        <f aca="false">SUM($D$11:D20)</f>
        <v>0</v>
      </c>
      <c r="G20" s="59" t="str">
        <f aca="false">IF(COUNT($D$11:D20)=0,"",F20/E20)</f>
        <v/>
      </c>
      <c r="H20" s="14" t="str">
        <f aca="false">IF(G20="","",IF(G20&gt;=0.95,"En meta",IF(G20&gt;=0.8,"Riesgo","Atrasado")))</f>
        <v/>
      </c>
      <c r="I20" s="54"/>
      <c r="J20" s="60" t="str">
        <f aca="false">IF(I20="","",IF($I$9="","",IF($I$9=0,"",I20/$I$9)))</f>
        <v/>
      </c>
      <c r="K20" s="54"/>
      <c r="L20" s="60" t="str">
        <f aca="false">IF(K20="","",IF($K$9="","",IF($K$9=0,"",K20/$K$9)))</f>
        <v/>
      </c>
      <c r="M20" s="54"/>
      <c r="N20" s="60" t="str">
        <f aca="false">IF(M20="","",IF($M$9="","",IF($M$9=0,"",M20/$M$9)))</f>
        <v/>
      </c>
      <c r="O20" s="54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4"/>
      <c r="T20" s="60" t="str">
        <f aca="false">IF(S20="","",IF($S$9="","",IF($S$9=0,"",S20/$S$9)))</f>
        <v/>
      </c>
      <c r="U20" s="56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50" t="n">
        <v>46258</v>
      </c>
      <c r="C21" s="51" t="n">
        <f aca="false">$B$5/$B$8</f>
        <v>0.123456790123457</v>
      </c>
      <c r="D21" s="52"/>
      <c r="E21" s="51" t="n">
        <f aca="false">SUM($C$11:C21)</f>
        <v>1.35802469135802</v>
      </c>
      <c r="F21" s="51" t="n">
        <f aca="false">SUM($D$11:D21)</f>
        <v>0</v>
      </c>
      <c r="G21" s="53" t="str">
        <f aca="false">IF(COUNT($D$11:D21)=0,"",F21/E21)</f>
        <v/>
      </c>
      <c r="H21" s="13" t="str">
        <f aca="false">IF(G21="","",IF(G21&gt;=0.95,"En meta",IF(G21&gt;=0.8,"Riesgo","Atrasado")))</f>
        <v/>
      </c>
      <c r="I21" s="54"/>
      <c r="J21" s="55" t="str">
        <f aca="false">IF(I21="","",IF($I$9="","",IF($I$9=0,"",I21/$I$9)))</f>
        <v/>
      </c>
      <c r="K21" s="54"/>
      <c r="L21" s="55" t="str">
        <f aca="false">IF(K21="","",IF($K$9="","",IF($K$9=0,"",K21/$K$9)))</f>
        <v/>
      </c>
      <c r="M21" s="54"/>
      <c r="N21" s="55" t="str">
        <f aca="false">IF(M21="","",IF($M$9="","",IF($M$9=0,"",M21/$M$9)))</f>
        <v/>
      </c>
      <c r="O21" s="54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4"/>
      <c r="T21" s="55" t="str">
        <f aca="false">IF(S21="","",IF($S$9="","",IF($S$9=0,"",S21/$S$9)))</f>
        <v/>
      </c>
      <c r="U21" s="56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57" t="n">
        <v>46265</v>
      </c>
      <c r="C22" s="58" t="n">
        <f aca="false">$B$5/$B$8</f>
        <v>0.123456790123457</v>
      </c>
      <c r="D22" s="52"/>
      <c r="E22" s="58" t="n">
        <f aca="false">SUM($C$11:C22)</f>
        <v>1.48148148148148</v>
      </c>
      <c r="F22" s="58" t="n">
        <f aca="false">SUM($D$11:D22)</f>
        <v>0</v>
      </c>
      <c r="G22" s="59" t="str">
        <f aca="false">IF(COUNT($D$11:D22)=0,"",F22/E22)</f>
        <v/>
      </c>
      <c r="H22" s="14" t="str">
        <f aca="false">IF(G22="","",IF(G22&gt;=0.95,"En meta",IF(G22&gt;=0.8,"Riesgo","Atrasado")))</f>
        <v/>
      </c>
      <c r="I22" s="54"/>
      <c r="J22" s="60" t="str">
        <f aca="false">IF(I22="","",IF($I$9="","",IF($I$9=0,"",I22/$I$9)))</f>
        <v/>
      </c>
      <c r="K22" s="54"/>
      <c r="L22" s="60" t="str">
        <f aca="false">IF(K22="","",IF($K$9="","",IF($K$9=0,"",K22/$K$9)))</f>
        <v/>
      </c>
      <c r="M22" s="54"/>
      <c r="N22" s="60" t="str">
        <f aca="false">IF(M22="","",IF($M$9="","",IF($M$9=0,"",M22/$M$9)))</f>
        <v/>
      </c>
      <c r="O22" s="54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4"/>
      <c r="T22" s="60" t="str">
        <f aca="false">IF(S22="","",IF($S$9="","",IF($S$9=0,"",S22/$S$9)))</f>
        <v/>
      </c>
      <c r="U22" s="56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50" t="n">
        <v>46272</v>
      </c>
      <c r="C23" s="51" t="n">
        <f aca="false">$B$5/$B$8</f>
        <v>0.123456790123457</v>
      </c>
      <c r="D23" s="52"/>
      <c r="E23" s="51" t="n">
        <f aca="false">SUM($C$11:C23)</f>
        <v>1.60493827160494</v>
      </c>
      <c r="F23" s="51" t="n">
        <f aca="false">SUM($D$11:D23)</f>
        <v>0</v>
      </c>
      <c r="G23" s="53" t="str">
        <f aca="false">IF(COUNT($D$11:D23)=0,"",F23/E23)</f>
        <v/>
      </c>
      <c r="H23" s="13" t="str">
        <f aca="false">IF(G23="","",IF(G23&gt;=0.95,"En meta",IF(G23&gt;=0.8,"Riesgo","Atrasado")))</f>
        <v/>
      </c>
      <c r="I23" s="54"/>
      <c r="J23" s="55" t="str">
        <f aca="false">IF(I23="","",IF($I$9="","",IF($I$9=0,"",I23/$I$9)))</f>
        <v/>
      </c>
      <c r="K23" s="54"/>
      <c r="L23" s="55" t="str">
        <f aca="false">IF(K23="","",IF($K$9="","",IF($K$9=0,"",K23/$K$9)))</f>
        <v/>
      </c>
      <c r="M23" s="54"/>
      <c r="N23" s="55" t="str">
        <f aca="false">IF(M23="","",IF($M$9="","",IF($M$9=0,"",M23/$M$9)))</f>
        <v/>
      </c>
      <c r="O23" s="54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4"/>
      <c r="T23" s="55" t="str">
        <f aca="false">IF(S23="","",IF($S$9="","",IF($S$9=0,"",S23/$S$9)))</f>
        <v/>
      </c>
      <c r="U23" s="56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57" t="n">
        <v>46279</v>
      </c>
      <c r="C24" s="58" t="n">
        <f aca="false">$B$5/$B$8</f>
        <v>0.123456790123457</v>
      </c>
      <c r="D24" s="52"/>
      <c r="E24" s="58" t="n">
        <f aca="false">SUM($C$11:C24)</f>
        <v>1.7283950617284</v>
      </c>
      <c r="F24" s="58" t="n">
        <f aca="false">SUM($D$11:D24)</f>
        <v>0</v>
      </c>
      <c r="G24" s="59" t="str">
        <f aca="false">IF(COUNT($D$11:D24)=0,"",F24/E24)</f>
        <v/>
      </c>
      <c r="H24" s="14" t="str">
        <f aca="false">IF(G24="","",IF(G24&gt;=0.95,"En meta",IF(G24&gt;=0.8,"Riesgo","Atrasado")))</f>
        <v/>
      </c>
      <c r="I24" s="54"/>
      <c r="J24" s="60" t="str">
        <f aca="false">IF(I24="","",IF($I$9="","",IF($I$9=0,"",I24/$I$9)))</f>
        <v/>
      </c>
      <c r="K24" s="54"/>
      <c r="L24" s="60" t="str">
        <f aca="false">IF(K24="","",IF($K$9="","",IF($K$9=0,"",K24/$K$9)))</f>
        <v/>
      </c>
      <c r="M24" s="54"/>
      <c r="N24" s="60" t="str">
        <f aca="false">IF(M24="","",IF($M$9="","",IF($M$9=0,"",M24/$M$9)))</f>
        <v/>
      </c>
      <c r="O24" s="54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4"/>
      <c r="T24" s="60" t="str">
        <f aca="false">IF(S24="","",IF($S$9="","",IF($S$9=0,"",S24/$S$9)))</f>
        <v/>
      </c>
      <c r="U24" s="56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50" t="n">
        <v>46286</v>
      </c>
      <c r="C25" s="51" t="n">
        <f aca="false">$B$5/$B$8</f>
        <v>0.123456790123457</v>
      </c>
      <c r="D25" s="52"/>
      <c r="E25" s="51" t="n">
        <f aca="false">SUM($C$11:C25)</f>
        <v>1.85185185185185</v>
      </c>
      <c r="F25" s="51" t="n">
        <f aca="false">SUM($D$11:D25)</f>
        <v>0</v>
      </c>
      <c r="G25" s="53" t="str">
        <f aca="false">IF(COUNT($D$11:D25)=0,"",F25/E25)</f>
        <v/>
      </c>
      <c r="H25" s="13" t="str">
        <f aca="false">IF(G25="","",IF(G25&gt;=0.95,"En meta",IF(G25&gt;=0.8,"Riesgo","Atrasado")))</f>
        <v/>
      </c>
      <c r="I25" s="54"/>
      <c r="J25" s="55" t="str">
        <f aca="false">IF(I25="","",IF($I$9="","",IF($I$9=0,"",I25/$I$9)))</f>
        <v/>
      </c>
      <c r="K25" s="54"/>
      <c r="L25" s="55" t="str">
        <f aca="false">IF(K25="","",IF($K$9="","",IF($K$9=0,"",K25/$K$9)))</f>
        <v/>
      </c>
      <c r="M25" s="54"/>
      <c r="N25" s="55" t="str">
        <f aca="false">IF(M25="","",IF($M$9="","",IF($M$9=0,"",M25/$M$9)))</f>
        <v/>
      </c>
      <c r="O25" s="54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4"/>
      <c r="T25" s="55" t="str">
        <f aca="false">IF(S25="","",IF($S$9="","",IF($S$9=0,"",S25/$S$9)))</f>
        <v/>
      </c>
      <c r="U25" s="56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57" t="n">
        <v>46293</v>
      </c>
      <c r="C26" s="58" t="n">
        <f aca="false">$B$5/$B$8</f>
        <v>0.123456790123457</v>
      </c>
      <c r="D26" s="52"/>
      <c r="E26" s="58" t="n">
        <f aca="false">SUM($C$11:C26)</f>
        <v>1.97530864197531</v>
      </c>
      <c r="F26" s="58" t="n">
        <f aca="false">SUM($D$11:D26)</f>
        <v>0</v>
      </c>
      <c r="G26" s="59" t="str">
        <f aca="false">IF(COUNT($D$11:D26)=0,"",F26/E26)</f>
        <v/>
      </c>
      <c r="H26" s="14" t="str">
        <f aca="false">IF(G26="","",IF(G26&gt;=0.95,"En meta",IF(G26&gt;=0.8,"Riesgo","Atrasado")))</f>
        <v/>
      </c>
      <c r="I26" s="54"/>
      <c r="J26" s="60" t="str">
        <f aca="false">IF(I26="","",IF($I$9="","",IF($I$9=0,"",I26/$I$9)))</f>
        <v/>
      </c>
      <c r="K26" s="54"/>
      <c r="L26" s="60" t="str">
        <f aca="false">IF(K26="","",IF($K$9="","",IF($K$9=0,"",K26/$K$9)))</f>
        <v/>
      </c>
      <c r="M26" s="54"/>
      <c r="N26" s="60" t="str">
        <f aca="false">IF(M26="","",IF($M$9="","",IF($M$9=0,"",M26/$M$9)))</f>
        <v/>
      </c>
      <c r="O26" s="54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4"/>
      <c r="T26" s="60" t="str">
        <f aca="false">IF(S26="","",IF($S$9="","",IF($S$9=0,"",S26/$S$9)))</f>
        <v/>
      </c>
      <c r="U26" s="56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50" t="n">
        <v>46300</v>
      </c>
      <c r="C27" s="51" t="n">
        <f aca="false">$B$5/$B$8</f>
        <v>0.123456790123457</v>
      </c>
      <c r="D27" s="52"/>
      <c r="E27" s="51" t="n">
        <f aca="false">SUM($C$11:C27)</f>
        <v>2.09876543209877</v>
      </c>
      <c r="F27" s="51" t="n">
        <f aca="false">SUM($D$11:D27)</f>
        <v>0</v>
      </c>
      <c r="G27" s="53" t="str">
        <f aca="false">IF(COUNT($D$11:D27)=0,"",F27/E27)</f>
        <v/>
      </c>
      <c r="H27" s="13" t="str">
        <f aca="false">IF(G27="","",IF(G27&gt;=0.95,"En meta",IF(G27&gt;=0.8,"Riesgo","Atrasado")))</f>
        <v/>
      </c>
      <c r="I27" s="54"/>
      <c r="J27" s="55" t="str">
        <f aca="false">IF(I27="","",IF($I$9="","",IF($I$9=0,"",I27/$I$9)))</f>
        <v/>
      </c>
      <c r="K27" s="54"/>
      <c r="L27" s="55" t="str">
        <f aca="false">IF(K27="","",IF($K$9="","",IF($K$9=0,"",K27/$K$9)))</f>
        <v/>
      </c>
      <c r="M27" s="54"/>
      <c r="N27" s="55" t="str">
        <f aca="false">IF(M27="","",IF($M$9="","",IF($M$9=0,"",M27/$M$9)))</f>
        <v/>
      </c>
      <c r="O27" s="54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4"/>
      <c r="T27" s="55" t="str">
        <f aca="false">IF(S27="","",IF($S$9="","",IF($S$9=0,"",S27/$S$9)))</f>
        <v/>
      </c>
      <c r="U27" s="56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57" t="n">
        <v>46307</v>
      </c>
      <c r="C28" s="58" t="n">
        <f aca="false">$B$5/$B$8</f>
        <v>0.123456790123457</v>
      </c>
      <c r="D28" s="52"/>
      <c r="E28" s="58" t="n">
        <f aca="false">SUM($C$11:C28)</f>
        <v>2.22222222222222</v>
      </c>
      <c r="F28" s="58" t="n">
        <f aca="false">SUM($D$11:D28)</f>
        <v>0</v>
      </c>
      <c r="G28" s="59" t="str">
        <f aca="false">IF(COUNT($D$11:D28)=0,"",F28/E28)</f>
        <v/>
      </c>
      <c r="H28" s="14" t="str">
        <f aca="false">IF(G28="","",IF(G28&gt;=0.95,"En meta",IF(G28&gt;=0.8,"Riesgo","Atrasado")))</f>
        <v/>
      </c>
      <c r="I28" s="54"/>
      <c r="J28" s="60" t="str">
        <f aca="false">IF(I28="","",IF($I$9="","",IF($I$9=0,"",I28/$I$9)))</f>
        <v/>
      </c>
      <c r="K28" s="54"/>
      <c r="L28" s="60" t="str">
        <f aca="false">IF(K28="","",IF($K$9="","",IF($K$9=0,"",K28/$K$9)))</f>
        <v/>
      </c>
      <c r="M28" s="54"/>
      <c r="N28" s="60" t="str">
        <f aca="false">IF(M28="","",IF($M$9="","",IF($M$9=0,"",M28/$M$9)))</f>
        <v/>
      </c>
      <c r="O28" s="54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4"/>
      <c r="T28" s="60" t="str">
        <f aca="false">IF(S28="","",IF($S$9="","",IF($S$9=0,"",S28/$S$9)))</f>
        <v/>
      </c>
      <c r="U28" s="56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  <row r="29" customFormat="false" ht="15" hidden="false" customHeight="false" outlineLevel="0" collapsed="false">
      <c r="A29" s="5" t="n">
        <v>19</v>
      </c>
      <c r="B29" s="50" t="n">
        <v>46314</v>
      </c>
      <c r="C29" s="51" t="n">
        <f aca="false">$B$5/$B$8</f>
        <v>0.123456790123457</v>
      </c>
      <c r="D29" s="52"/>
      <c r="E29" s="51" t="n">
        <f aca="false">SUM($C$11:C29)</f>
        <v>2.34567901234568</v>
      </c>
      <c r="F29" s="51" t="n">
        <f aca="false">SUM($D$11:D29)</f>
        <v>0</v>
      </c>
      <c r="G29" s="53" t="str">
        <f aca="false">IF(COUNT($D$11:D29)=0,"",F29/E29)</f>
        <v/>
      </c>
      <c r="H29" s="13" t="str">
        <f aca="false">IF(G29="","",IF(G29&gt;=0.95,"En meta",IF(G29&gt;=0.8,"Riesgo","Atrasado")))</f>
        <v/>
      </c>
      <c r="I29" s="54"/>
      <c r="J29" s="55" t="str">
        <f aca="false">IF(I29="","",IF($I$9="","",IF($I$9=0,"",I29/$I$9)))</f>
        <v/>
      </c>
      <c r="K29" s="54"/>
      <c r="L29" s="55" t="str">
        <f aca="false">IF(K29="","",IF($K$9="","",IF($K$9=0,"",K29/$K$9)))</f>
        <v/>
      </c>
      <c r="M29" s="54"/>
      <c r="N29" s="55" t="str">
        <f aca="false">IF(M29="","",IF($M$9="","",IF($M$9=0,"",M29/$M$9)))</f>
        <v/>
      </c>
      <c r="O29" s="54"/>
      <c r="P29" s="55" t="str">
        <f aca="false">IF(O29="","",IF($O$9="","",IF($O$9=0,"",O29/$O$9)))</f>
        <v/>
      </c>
      <c r="Q29" s="54"/>
      <c r="R29" s="55" t="str">
        <f aca="false">IF(Q29="","",IF($Q$9="","",IF($Q$9=0,"",Q29/$Q$9)))</f>
        <v/>
      </c>
      <c r="S29" s="54"/>
      <c r="T29" s="55" t="str">
        <f aca="false">IF(S29="","",IF($S$9="","",IF($S$9=0,"",S29/$S$9)))</f>
        <v/>
      </c>
      <c r="U29" s="56"/>
      <c r="V29" s="55" t="str">
        <f aca="false">IF(U29="","",IF($U$9="","",IF($U$9=0,"",U29/$U$9)))</f>
        <v/>
      </c>
      <c r="W29" s="54"/>
      <c r="X29" s="55" t="str">
        <f aca="false">IF(W29="","",IF($W$9="","",IF($W$9=0,"",W29/$W$9)))</f>
        <v/>
      </c>
    </row>
    <row r="30" customFormat="false" ht="15" hidden="false" customHeight="false" outlineLevel="0" collapsed="false">
      <c r="A30" s="28" t="n">
        <v>20</v>
      </c>
      <c r="B30" s="57" t="n">
        <v>46321</v>
      </c>
      <c r="C30" s="58" t="n">
        <f aca="false">$B$5/$B$8</f>
        <v>0.123456790123457</v>
      </c>
      <c r="D30" s="52"/>
      <c r="E30" s="58" t="n">
        <f aca="false">SUM($C$11:C30)</f>
        <v>2.46913580246914</v>
      </c>
      <c r="F30" s="58" t="n">
        <f aca="false">SUM($D$11:D30)</f>
        <v>0</v>
      </c>
      <c r="G30" s="59" t="str">
        <f aca="false">IF(COUNT($D$11:D30)=0,"",F30/E30)</f>
        <v/>
      </c>
      <c r="H30" s="14" t="str">
        <f aca="false">IF(G30="","",IF(G30&gt;=0.95,"En meta",IF(G30&gt;=0.8,"Riesgo","Atrasado")))</f>
        <v/>
      </c>
      <c r="I30" s="54"/>
      <c r="J30" s="60" t="str">
        <f aca="false">IF(I30="","",IF($I$9="","",IF($I$9=0,"",I30/$I$9)))</f>
        <v/>
      </c>
      <c r="K30" s="54"/>
      <c r="L30" s="60" t="str">
        <f aca="false">IF(K30="","",IF($K$9="","",IF($K$9=0,"",K30/$K$9)))</f>
        <v/>
      </c>
      <c r="M30" s="54"/>
      <c r="N30" s="60" t="str">
        <f aca="false">IF(M30="","",IF($M$9="","",IF($M$9=0,"",M30/$M$9)))</f>
        <v/>
      </c>
      <c r="O30" s="54"/>
      <c r="P30" s="60" t="str">
        <f aca="false">IF(O30="","",IF($O$9="","",IF($O$9=0,"",O30/$O$9)))</f>
        <v/>
      </c>
      <c r="Q30" s="54"/>
      <c r="R30" s="60" t="str">
        <f aca="false">IF(Q30="","",IF($Q$9="","",IF($Q$9=0,"",Q30/$Q$9)))</f>
        <v/>
      </c>
      <c r="S30" s="54"/>
      <c r="T30" s="60" t="str">
        <f aca="false">IF(S30="","",IF($S$9="","",IF($S$9=0,"",S30/$S$9)))</f>
        <v/>
      </c>
      <c r="U30" s="56"/>
      <c r="V30" s="60" t="str">
        <f aca="false">IF(U30="","",IF($U$9="","",IF($U$9=0,"",U30/$U$9)))</f>
        <v/>
      </c>
      <c r="W30" s="54"/>
      <c r="X30" s="60" t="str">
        <f aca="false">IF(W30="","",IF($W$9="","",IF($W$9=0,"",W30/$W$9)))</f>
        <v/>
      </c>
    </row>
    <row r="31" customFormat="false" ht="15" hidden="false" customHeight="false" outlineLevel="0" collapsed="false">
      <c r="A31" s="5" t="n">
        <v>21</v>
      </c>
      <c r="B31" s="50" t="n">
        <v>46328</v>
      </c>
      <c r="C31" s="51" t="n">
        <f aca="false">$B$5/$B$8</f>
        <v>0.123456790123457</v>
      </c>
      <c r="D31" s="52"/>
      <c r="E31" s="51" t="n">
        <f aca="false">SUM($C$11:C31)</f>
        <v>2.59259259259259</v>
      </c>
      <c r="F31" s="51" t="n">
        <f aca="false">SUM($D$11:D31)</f>
        <v>0</v>
      </c>
      <c r="G31" s="53" t="str">
        <f aca="false">IF(COUNT($D$11:D31)=0,"",F31/E31)</f>
        <v/>
      </c>
      <c r="H31" s="13" t="str">
        <f aca="false">IF(G31="","",IF(G31&gt;=0.95,"En meta",IF(G31&gt;=0.8,"Riesgo","Atrasado")))</f>
        <v/>
      </c>
      <c r="I31" s="54"/>
      <c r="J31" s="55" t="str">
        <f aca="false">IF(I31="","",IF($I$9="","",IF($I$9=0,"",I31/$I$9)))</f>
        <v/>
      </c>
      <c r="K31" s="54"/>
      <c r="L31" s="55" t="str">
        <f aca="false">IF(K31="","",IF($K$9="","",IF($K$9=0,"",K31/$K$9)))</f>
        <v/>
      </c>
      <c r="M31" s="54"/>
      <c r="N31" s="55" t="str">
        <f aca="false">IF(M31="","",IF($M$9="","",IF($M$9=0,"",M31/$M$9)))</f>
        <v/>
      </c>
      <c r="O31" s="54"/>
      <c r="P31" s="55" t="str">
        <f aca="false">IF(O31="","",IF($O$9="","",IF($O$9=0,"",O31/$O$9)))</f>
        <v/>
      </c>
      <c r="Q31" s="54"/>
      <c r="R31" s="55" t="str">
        <f aca="false">IF(Q31="","",IF($Q$9="","",IF($Q$9=0,"",Q31/$Q$9)))</f>
        <v/>
      </c>
      <c r="S31" s="54"/>
      <c r="T31" s="55" t="str">
        <f aca="false">IF(S31="","",IF($S$9="","",IF($S$9=0,"",S31/$S$9)))</f>
        <v/>
      </c>
      <c r="U31" s="56"/>
      <c r="V31" s="55" t="str">
        <f aca="false">IF(U31="","",IF($U$9="","",IF($U$9=0,"",U31/$U$9)))</f>
        <v/>
      </c>
      <c r="W31" s="54"/>
      <c r="X31" s="55" t="str">
        <f aca="false">IF(W31="","",IF($W$9="","",IF($W$9=0,"",W31/$W$9)))</f>
        <v/>
      </c>
    </row>
    <row r="32" customFormat="false" ht="15" hidden="false" customHeight="false" outlineLevel="0" collapsed="false">
      <c r="A32" s="28" t="n">
        <v>22</v>
      </c>
      <c r="B32" s="57" t="n">
        <v>46335</v>
      </c>
      <c r="C32" s="58" t="n">
        <f aca="false">$B$5/$B$8</f>
        <v>0.123456790123457</v>
      </c>
      <c r="D32" s="52"/>
      <c r="E32" s="58" t="n">
        <f aca="false">SUM($C$11:C32)</f>
        <v>2.71604938271605</v>
      </c>
      <c r="F32" s="58" t="n">
        <f aca="false">SUM($D$11:D32)</f>
        <v>0</v>
      </c>
      <c r="G32" s="59" t="str">
        <f aca="false">IF(COUNT($D$11:D32)=0,"",F32/E32)</f>
        <v/>
      </c>
      <c r="H32" s="14" t="str">
        <f aca="false">IF(G32="","",IF(G32&gt;=0.95,"En meta",IF(G32&gt;=0.8,"Riesgo","Atrasado")))</f>
        <v/>
      </c>
      <c r="I32" s="54"/>
      <c r="J32" s="60" t="str">
        <f aca="false">IF(I32="","",IF($I$9="","",IF($I$9=0,"",I32/$I$9)))</f>
        <v/>
      </c>
      <c r="K32" s="54"/>
      <c r="L32" s="60" t="str">
        <f aca="false">IF(K32="","",IF($K$9="","",IF($K$9=0,"",K32/$K$9)))</f>
        <v/>
      </c>
      <c r="M32" s="54"/>
      <c r="N32" s="60" t="str">
        <f aca="false">IF(M32="","",IF($M$9="","",IF($M$9=0,"",M32/$M$9)))</f>
        <v/>
      </c>
      <c r="O32" s="54"/>
      <c r="P32" s="60" t="str">
        <f aca="false">IF(O32="","",IF($O$9="","",IF($O$9=0,"",O32/$O$9)))</f>
        <v/>
      </c>
      <c r="Q32" s="54"/>
      <c r="R32" s="60" t="str">
        <f aca="false">IF(Q32="","",IF($Q$9="","",IF($Q$9=0,"",Q32/$Q$9)))</f>
        <v/>
      </c>
      <c r="S32" s="54"/>
      <c r="T32" s="60" t="str">
        <f aca="false">IF(S32="","",IF($S$9="","",IF($S$9=0,"",S32/$S$9)))</f>
        <v/>
      </c>
      <c r="U32" s="56"/>
      <c r="V32" s="60" t="str">
        <f aca="false">IF(U32="","",IF($U$9="","",IF($U$9=0,"",U32/$U$9)))</f>
        <v/>
      </c>
      <c r="W32" s="54"/>
      <c r="X32" s="60" t="str">
        <f aca="false">IF(W32="","",IF($W$9="","",IF($W$9=0,"",W32/$W$9)))</f>
        <v/>
      </c>
    </row>
    <row r="33" customFormat="false" ht="15" hidden="false" customHeight="false" outlineLevel="0" collapsed="false">
      <c r="A33" s="5" t="n">
        <v>23</v>
      </c>
      <c r="B33" s="50" t="n">
        <v>46342</v>
      </c>
      <c r="C33" s="51" t="n">
        <f aca="false">$B$5/$B$8</f>
        <v>0.123456790123457</v>
      </c>
      <c r="D33" s="52"/>
      <c r="E33" s="51" t="n">
        <f aca="false">SUM($C$11:C33)</f>
        <v>2.83950617283951</v>
      </c>
      <c r="F33" s="51" t="n">
        <f aca="false">SUM($D$11:D33)</f>
        <v>0</v>
      </c>
      <c r="G33" s="53" t="str">
        <f aca="false">IF(COUNT($D$11:D33)=0,"",F33/E33)</f>
        <v/>
      </c>
      <c r="H33" s="13" t="str">
        <f aca="false">IF(G33="","",IF(G33&gt;=0.95,"En meta",IF(G33&gt;=0.8,"Riesgo","Atrasado")))</f>
        <v/>
      </c>
      <c r="I33" s="54"/>
      <c r="J33" s="55" t="str">
        <f aca="false">IF(I33="","",IF($I$9="","",IF($I$9=0,"",I33/$I$9)))</f>
        <v/>
      </c>
      <c r="K33" s="54"/>
      <c r="L33" s="55" t="str">
        <f aca="false">IF(K33="","",IF($K$9="","",IF($K$9=0,"",K33/$K$9)))</f>
        <v/>
      </c>
      <c r="M33" s="54"/>
      <c r="N33" s="55" t="str">
        <f aca="false">IF(M33="","",IF($M$9="","",IF($M$9=0,"",M33/$M$9)))</f>
        <v/>
      </c>
      <c r="O33" s="54"/>
      <c r="P33" s="55" t="str">
        <f aca="false">IF(O33="","",IF($O$9="","",IF($O$9=0,"",O33/$O$9)))</f>
        <v/>
      </c>
      <c r="Q33" s="54"/>
      <c r="R33" s="55" t="str">
        <f aca="false">IF(Q33="","",IF($Q$9="","",IF($Q$9=0,"",Q33/$Q$9)))</f>
        <v/>
      </c>
      <c r="S33" s="54"/>
      <c r="T33" s="55" t="str">
        <f aca="false">IF(S33="","",IF($S$9="","",IF($S$9=0,"",S33/$S$9)))</f>
        <v/>
      </c>
      <c r="U33" s="56"/>
      <c r="V33" s="55" t="str">
        <f aca="false">IF(U33="","",IF($U$9="","",IF($U$9=0,"",U33/$U$9)))</f>
        <v/>
      </c>
      <c r="W33" s="54"/>
      <c r="X33" s="55" t="str">
        <f aca="false">IF(W33="","",IF($W$9="","",IF($W$9=0,"",W33/$W$9)))</f>
        <v/>
      </c>
    </row>
    <row r="34" customFormat="false" ht="15" hidden="false" customHeight="false" outlineLevel="0" collapsed="false">
      <c r="A34" s="28" t="n">
        <v>24</v>
      </c>
      <c r="B34" s="57" t="n">
        <v>46349</v>
      </c>
      <c r="C34" s="58" t="n">
        <f aca="false">$B$5/$B$8</f>
        <v>0.123456790123457</v>
      </c>
      <c r="D34" s="52"/>
      <c r="E34" s="58" t="n">
        <f aca="false">SUM($C$11:C34)</f>
        <v>2.96296296296296</v>
      </c>
      <c r="F34" s="58" t="n">
        <f aca="false">SUM($D$11:D34)</f>
        <v>0</v>
      </c>
      <c r="G34" s="59" t="str">
        <f aca="false">IF(COUNT($D$11:D34)=0,"",F34/E34)</f>
        <v/>
      </c>
      <c r="H34" s="14" t="str">
        <f aca="false">IF(G34="","",IF(G34&gt;=0.95,"En meta",IF(G34&gt;=0.8,"Riesgo","Atrasado")))</f>
        <v/>
      </c>
      <c r="I34" s="54"/>
      <c r="J34" s="60" t="str">
        <f aca="false">IF(I34="","",IF($I$9="","",IF($I$9=0,"",I34/$I$9)))</f>
        <v/>
      </c>
      <c r="K34" s="54"/>
      <c r="L34" s="60" t="str">
        <f aca="false">IF(K34="","",IF($K$9="","",IF($K$9=0,"",K34/$K$9)))</f>
        <v/>
      </c>
      <c r="M34" s="54"/>
      <c r="N34" s="60" t="str">
        <f aca="false">IF(M34="","",IF($M$9="","",IF($M$9=0,"",M34/$M$9)))</f>
        <v/>
      </c>
      <c r="O34" s="54"/>
      <c r="P34" s="60" t="str">
        <f aca="false">IF(O34="","",IF($O$9="","",IF($O$9=0,"",O34/$O$9)))</f>
        <v/>
      </c>
      <c r="Q34" s="54"/>
      <c r="R34" s="60" t="str">
        <f aca="false">IF(Q34="","",IF($Q$9="","",IF($Q$9=0,"",Q34/$Q$9)))</f>
        <v/>
      </c>
      <c r="S34" s="54"/>
      <c r="T34" s="60" t="str">
        <f aca="false">IF(S34="","",IF($S$9="","",IF($S$9=0,"",S34/$S$9)))</f>
        <v/>
      </c>
      <c r="U34" s="56"/>
      <c r="V34" s="60" t="str">
        <f aca="false">IF(U34="","",IF($U$9="","",IF($U$9=0,"",U34/$U$9)))</f>
        <v/>
      </c>
      <c r="W34" s="54"/>
      <c r="X34" s="60" t="str">
        <f aca="false">IF(W34="","",IF($W$9="","",IF($W$9=0,"",W34/$W$9)))</f>
        <v/>
      </c>
    </row>
    <row r="35" customFormat="false" ht="15" hidden="false" customHeight="false" outlineLevel="0" collapsed="false">
      <c r="A35" s="5" t="n">
        <v>25</v>
      </c>
      <c r="B35" s="50" t="n">
        <v>46356</v>
      </c>
      <c r="C35" s="51" t="n">
        <f aca="false">$B$5/$B$8</f>
        <v>0.123456790123457</v>
      </c>
      <c r="D35" s="52"/>
      <c r="E35" s="51" t="n">
        <f aca="false">SUM($C$11:C35)</f>
        <v>3.08641975308642</v>
      </c>
      <c r="F35" s="51" t="n">
        <f aca="false">SUM($D$11:D35)</f>
        <v>0</v>
      </c>
      <c r="G35" s="53" t="str">
        <f aca="false">IF(COUNT($D$11:D35)=0,"",F35/E35)</f>
        <v/>
      </c>
      <c r="H35" s="13" t="str">
        <f aca="false">IF(G35="","",IF(G35&gt;=0.95,"En meta",IF(G35&gt;=0.8,"Riesgo","Atrasado")))</f>
        <v/>
      </c>
      <c r="I35" s="54"/>
      <c r="J35" s="55" t="str">
        <f aca="false">IF(I35="","",IF($I$9="","",IF($I$9=0,"",I35/$I$9)))</f>
        <v/>
      </c>
      <c r="K35" s="54"/>
      <c r="L35" s="55" t="str">
        <f aca="false">IF(K35="","",IF($K$9="","",IF($K$9=0,"",K35/$K$9)))</f>
        <v/>
      </c>
      <c r="M35" s="54"/>
      <c r="N35" s="55" t="str">
        <f aca="false">IF(M35="","",IF($M$9="","",IF($M$9=0,"",M35/$M$9)))</f>
        <v/>
      </c>
      <c r="O35" s="54"/>
      <c r="P35" s="55" t="str">
        <f aca="false">IF(O35="","",IF($O$9="","",IF($O$9=0,"",O35/$O$9)))</f>
        <v/>
      </c>
      <c r="Q35" s="54"/>
      <c r="R35" s="55" t="str">
        <f aca="false">IF(Q35="","",IF($Q$9="","",IF($Q$9=0,"",Q35/$Q$9)))</f>
        <v/>
      </c>
      <c r="S35" s="54"/>
      <c r="T35" s="55" t="str">
        <f aca="false">IF(S35="","",IF($S$9="","",IF($S$9=0,"",S35/$S$9)))</f>
        <v/>
      </c>
      <c r="U35" s="56"/>
      <c r="V35" s="55" t="str">
        <f aca="false">IF(U35="","",IF($U$9="","",IF($U$9=0,"",U35/$U$9)))</f>
        <v/>
      </c>
      <c r="W35" s="54"/>
      <c r="X35" s="55" t="str">
        <f aca="false">IF(W35="","",IF($W$9="","",IF($W$9=0,"",W35/$W$9)))</f>
        <v/>
      </c>
    </row>
    <row r="36" customFormat="false" ht="15" hidden="false" customHeight="false" outlineLevel="0" collapsed="false">
      <c r="A36" s="28" t="n">
        <v>26</v>
      </c>
      <c r="B36" s="57" t="n">
        <v>46363</v>
      </c>
      <c r="C36" s="58" t="n">
        <f aca="false">$B$5/$B$8</f>
        <v>0.123456790123457</v>
      </c>
      <c r="D36" s="52"/>
      <c r="E36" s="58" t="n">
        <f aca="false">SUM($C$11:C36)</f>
        <v>3.20987654320988</v>
      </c>
      <c r="F36" s="58" t="n">
        <f aca="false">SUM($D$11:D36)</f>
        <v>0</v>
      </c>
      <c r="G36" s="59" t="str">
        <f aca="false">IF(COUNT($D$11:D36)=0,"",F36/E36)</f>
        <v/>
      </c>
      <c r="H36" s="14" t="str">
        <f aca="false">IF(G36="","",IF(G36&gt;=0.95,"En meta",IF(G36&gt;=0.8,"Riesgo","Atrasado")))</f>
        <v/>
      </c>
      <c r="I36" s="54"/>
      <c r="J36" s="60" t="str">
        <f aca="false">IF(I36="","",IF($I$9="","",IF($I$9=0,"",I36/$I$9)))</f>
        <v/>
      </c>
      <c r="K36" s="54"/>
      <c r="L36" s="60" t="str">
        <f aca="false">IF(K36="","",IF($K$9="","",IF($K$9=0,"",K36/$K$9)))</f>
        <v/>
      </c>
      <c r="M36" s="54"/>
      <c r="N36" s="60" t="str">
        <f aca="false">IF(M36="","",IF($M$9="","",IF($M$9=0,"",M36/$M$9)))</f>
        <v/>
      </c>
      <c r="O36" s="54"/>
      <c r="P36" s="60" t="str">
        <f aca="false">IF(O36="","",IF($O$9="","",IF($O$9=0,"",O36/$O$9)))</f>
        <v/>
      </c>
      <c r="Q36" s="54"/>
      <c r="R36" s="60" t="str">
        <f aca="false">IF(Q36="","",IF($Q$9="","",IF($Q$9=0,"",Q36/$Q$9)))</f>
        <v/>
      </c>
      <c r="S36" s="54"/>
      <c r="T36" s="60" t="str">
        <f aca="false">IF(S36="","",IF($S$9="","",IF($S$9=0,"",S36/$S$9)))</f>
        <v/>
      </c>
      <c r="U36" s="56"/>
      <c r="V36" s="60" t="str">
        <f aca="false">IF(U36="","",IF($U$9="","",IF($U$9=0,"",U36/$U$9)))</f>
        <v/>
      </c>
      <c r="W36" s="54"/>
      <c r="X36" s="60" t="str">
        <f aca="false">IF(W36="","",IF($W$9="","",IF($W$9=0,"",W36/$W$9)))</f>
        <v/>
      </c>
    </row>
    <row r="37" customFormat="false" ht="15" hidden="false" customHeight="false" outlineLevel="0" collapsed="false">
      <c r="A37" s="5" t="n">
        <v>27</v>
      </c>
      <c r="B37" s="50" t="n">
        <v>46370</v>
      </c>
      <c r="C37" s="51" t="n">
        <f aca="false">$B$5/$B$8</f>
        <v>0.123456790123457</v>
      </c>
      <c r="D37" s="52"/>
      <c r="E37" s="51" t="n">
        <f aca="false">SUM($C$11:C37)</f>
        <v>3.33333333333333</v>
      </c>
      <c r="F37" s="51" t="n">
        <f aca="false">SUM($D$11:D37)</f>
        <v>0</v>
      </c>
      <c r="G37" s="53" t="str">
        <f aca="false">IF(COUNT($D$11:D37)=0,"",F37/E37)</f>
        <v/>
      </c>
      <c r="H37" s="13" t="str">
        <f aca="false">IF(G37="","",IF(G37&gt;=0.95,"En meta",IF(G37&gt;=0.8,"Riesgo","Atrasado")))</f>
        <v/>
      </c>
      <c r="I37" s="54"/>
      <c r="J37" s="55" t="str">
        <f aca="false">IF(I37="","",IF($I$9="","",IF($I$9=0,"",I37/$I$9)))</f>
        <v/>
      </c>
      <c r="K37" s="54"/>
      <c r="L37" s="55" t="str">
        <f aca="false">IF(K37="","",IF($K$9="","",IF($K$9=0,"",K37/$K$9)))</f>
        <v/>
      </c>
      <c r="M37" s="54"/>
      <c r="N37" s="55" t="str">
        <f aca="false">IF(M37="","",IF($M$9="","",IF($M$9=0,"",M37/$M$9)))</f>
        <v/>
      </c>
      <c r="O37" s="54"/>
      <c r="P37" s="55" t="str">
        <f aca="false">IF(O37="","",IF($O$9="","",IF($O$9=0,"",O37/$O$9)))</f>
        <v/>
      </c>
      <c r="Q37" s="54"/>
      <c r="R37" s="55" t="str">
        <f aca="false">IF(Q37="","",IF($Q$9="","",IF($Q$9=0,"",Q37/$Q$9)))</f>
        <v/>
      </c>
      <c r="S37" s="54"/>
      <c r="T37" s="55" t="str">
        <f aca="false">IF(S37="","",IF($S$9="","",IF($S$9=0,"",S37/$S$9)))</f>
        <v/>
      </c>
      <c r="U37" s="56"/>
      <c r="V37" s="55" t="str">
        <f aca="false">IF(U37="","",IF($U$9="","",IF($U$9=0,"",U37/$U$9)))</f>
        <v/>
      </c>
      <c r="W37" s="54"/>
      <c r="X37" s="55" t="str">
        <f aca="false">IF(W37="","",IF($W$9="","",IF($W$9=0,"",W37/$W$9)))</f>
        <v/>
      </c>
    </row>
    <row r="38" customFormat="false" ht="15" hidden="false" customHeight="false" outlineLevel="0" collapsed="false">
      <c r="A38" s="28" t="n">
        <v>28</v>
      </c>
      <c r="B38" s="57" t="n">
        <v>46377</v>
      </c>
      <c r="C38" s="58" t="n">
        <f aca="false">$B$5/$B$8</f>
        <v>0.123456790123457</v>
      </c>
      <c r="D38" s="52"/>
      <c r="E38" s="58" t="n">
        <f aca="false">SUM($C$11:C38)</f>
        <v>3.45679012345679</v>
      </c>
      <c r="F38" s="58" t="n">
        <f aca="false">SUM($D$11:D38)</f>
        <v>0</v>
      </c>
      <c r="G38" s="59" t="str">
        <f aca="false">IF(COUNT($D$11:D38)=0,"",F38/E38)</f>
        <v/>
      </c>
      <c r="H38" s="14" t="str">
        <f aca="false">IF(G38="","",IF(G38&gt;=0.95,"En meta",IF(G38&gt;=0.8,"Riesgo","Atrasado")))</f>
        <v/>
      </c>
      <c r="I38" s="54"/>
      <c r="J38" s="60" t="str">
        <f aca="false">IF(I38="","",IF($I$9="","",IF($I$9=0,"",I38/$I$9)))</f>
        <v/>
      </c>
      <c r="K38" s="54"/>
      <c r="L38" s="60" t="str">
        <f aca="false">IF(K38="","",IF($K$9="","",IF($K$9=0,"",K38/$K$9)))</f>
        <v/>
      </c>
      <c r="M38" s="54"/>
      <c r="N38" s="60" t="str">
        <f aca="false">IF(M38="","",IF($M$9="","",IF($M$9=0,"",M38/$M$9)))</f>
        <v/>
      </c>
      <c r="O38" s="54"/>
      <c r="P38" s="60" t="str">
        <f aca="false">IF(O38="","",IF($O$9="","",IF($O$9=0,"",O38/$O$9)))</f>
        <v/>
      </c>
      <c r="Q38" s="54"/>
      <c r="R38" s="60" t="str">
        <f aca="false">IF(Q38="","",IF($Q$9="","",IF($Q$9=0,"",Q38/$Q$9)))</f>
        <v/>
      </c>
      <c r="S38" s="54"/>
      <c r="T38" s="60" t="str">
        <f aca="false">IF(S38="","",IF($S$9="","",IF($S$9=0,"",S38/$S$9)))</f>
        <v/>
      </c>
      <c r="U38" s="56"/>
      <c r="V38" s="60" t="str">
        <f aca="false">IF(U38="","",IF($U$9="","",IF($U$9=0,"",U38/$U$9)))</f>
        <v/>
      </c>
      <c r="W38" s="54"/>
      <c r="X38" s="60" t="str">
        <f aca="false">IF(W38="","",IF($W$9="","",IF($W$9=0,"",W38/$W$9)))</f>
        <v/>
      </c>
    </row>
    <row r="39" customFormat="false" ht="15" hidden="false" customHeight="false" outlineLevel="0" collapsed="false">
      <c r="A39" s="5" t="n">
        <v>29</v>
      </c>
      <c r="B39" s="50" t="n">
        <v>46384</v>
      </c>
      <c r="C39" s="51" t="n">
        <f aca="false">$B$5/$B$8</f>
        <v>0.123456790123457</v>
      </c>
      <c r="D39" s="52"/>
      <c r="E39" s="51" t="n">
        <f aca="false">SUM($C$11:C39)</f>
        <v>3.58024691358025</v>
      </c>
      <c r="F39" s="51" t="n">
        <f aca="false">SUM($D$11:D39)</f>
        <v>0</v>
      </c>
      <c r="G39" s="53" t="str">
        <f aca="false">IF(COUNT($D$11:D39)=0,"",F39/E39)</f>
        <v/>
      </c>
      <c r="H39" s="13" t="str">
        <f aca="false">IF(G39="","",IF(G39&gt;=0.95,"En meta",IF(G39&gt;=0.8,"Riesgo","Atrasado")))</f>
        <v/>
      </c>
      <c r="I39" s="54"/>
      <c r="J39" s="55" t="str">
        <f aca="false">IF(I39="","",IF($I$9="","",IF($I$9=0,"",I39/$I$9)))</f>
        <v/>
      </c>
      <c r="K39" s="54"/>
      <c r="L39" s="55" t="str">
        <f aca="false">IF(K39="","",IF($K$9="","",IF($K$9=0,"",K39/$K$9)))</f>
        <v/>
      </c>
      <c r="M39" s="54"/>
      <c r="N39" s="55" t="str">
        <f aca="false">IF(M39="","",IF($M$9="","",IF($M$9=0,"",M39/$M$9)))</f>
        <v/>
      </c>
      <c r="O39" s="54"/>
      <c r="P39" s="55" t="str">
        <f aca="false">IF(O39="","",IF($O$9="","",IF($O$9=0,"",O39/$O$9)))</f>
        <v/>
      </c>
      <c r="Q39" s="54"/>
      <c r="R39" s="55" t="str">
        <f aca="false">IF(Q39="","",IF($Q$9="","",IF($Q$9=0,"",Q39/$Q$9)))</f>
        <v/>
      </c>
      <c r="S39" s="54"/>
      <c r="T39" s="55" t="str">
        <f aca="false">IF(S39="","",IF($S$9="","",IF($S$9=0,"",S39/$S$9)))</f>
        <v/>
      </c>
      <c r="U39" s="56"/>
      <c r="V39" s="55" t="str">
        <f aca="false">IF(U39="","",IF($U$9="","",IF($U$9=0,"",U39/$U$9)))</f>
        <v/>
      </c>
      <c r="W39" s="54"/>
      <c r="X39" s="55" t="str">
        <f aca="false">IF(W39="","",IF($W$9="","",IF($W$9=0,"",W39/$W$9)))</f>
        <v/>
      </c>
    </row>
    <row r="40" customFormat="false" ht="15" hidden="false" customHeight="false" outlineLevel="0" collapsed="false">
      <c r="A40" s="28" t="n">
        <v>30</v>
      </c>
      <c r="B40" s="57" t="n">
        <v>46391</v>
      </c>
      <c r="C40" s="58" t="n">
        <f aca="false">$B$5/$B$8</f>
        <v>0.123456790123457</v>
      </c>
      <c r="D40" s="52"/>
      <c r="E40" s="58" t="n">
        <f aca="false">SUM($C$11:C40)</f>
        <v>3.7037037037037</v>
      </c>
      <c r="F40" s="58" t="n">
        <f aca="false">SUM($D$11:D40)</f>
        <v>0</v>
      </c>
      <c r="G40" s="59" t="str">
        <f aca="false">IF(COUNT($D$11:D40)=0,"",F40/E40)</f>
        <v/>
      </c>
      <c r="H40" s="14" t="str">
        <f aca="false">IF(G40="","",IF(G40&gt;=0.95,"En meta",IF(G40&gt;=0.8,"Riesgo","Atrasado")))</f>
        <v/>
      </c>
      <c r="I40" s="54"/>
      <c r="J40" s="60" t="str">
        <f aca="false">IF(I40="","",IF($I$9="","",IF($I$9=0,"",I40/$I$9)))</f>
        <v/>
      </c>
      <c r="K40" s="54"/>
      <c r="L40" s="60" t="str">
        <f aca="false">IF(K40="","",IF($K$9="","",IF($K$9=0,"",K40/$K$9)))</f>
        <v/>
      </c>
      <c r="M40" s="54"/>
      <c r="N40" s="60" t="str">
        <f aca="false">IF(M40="","",IF($M$9="","",IF($M$9=0,"",M40/$M$9)))</f>
        <v/>
      </c>
      <c r="O40" s="54"/>
      <c r="P40" s="60" t="str">
        <f aca="false">IF(O40="","",IF($O$9="","",IF($O$9=0,"",O40/$O$9)))</f>
        <v/>
      </c>
      <c r="Q40" s="54"/>
      <c r="R40" s="60" t="str">
        <f aca="false">IF(Q40="","",IF($Q$9="","",IF($Q$9=0,"",Q40/$Q$9)))</f>
        <v/>
      </c>
      <c r="S40" s="54"/>
      <c r="T40" s="60" t="str">
        <f aca="false">IF(S40="","",IF($S$9="","",IF($S$9=0,"",S40/$S$9)))</f>
        <v/>
      </c>
      <c r="U40" s="56"/>
      <c r="V40" s="60" t="str">
        <f aca="false">IF(U40="","",IF($U$9="","",IF($U$9=0,"",U40/$U$9)))</f>
        <v/>
      </c>
      <c r="W40" s="54"/>
      <c r="X40" s="60" t="str">
        <f aca="false">IF(W40="","",IF($W$9="","",IF($W$9=0,"",W40/$W$9)))</f>
        <v/>
      </c>
    </row>
    <row r="41" customFormat="false" ht="15" hidden="false" customHeight="false" outlineLevel="0" collapsed="false">
      <c r="A41" s="5" t="n">
        <v>31</v>
      </c>
      <c r="B41" s="50" t="n">
        <v>46398</v>
      </c>
      <c r="C41" s="51" t="n">
        <f aca="false">$B$5/$B$8</f>
        <v>0.123456790123457</v>
      </c>
      <c r="D41" s="52"/>
      <c r="E41" s="51" t="n">
        <f aca="false">SUM($C$11:C41)</f>
        <v>3.82716049382716</v>
      </c>
      <c r="F41" s="51" t="n">
        <f aca="false">SUM($D$11:D41)</f>
        <v>0</v>
      </c>
      <c r="G41" s="53" t="str">
        <f aca="false">IF(COUNT($D$11:D41)=0,"",F41/E41)</f>
        <v/>
      </c>
      <c r="H41" s="13" t="str">
        <f aca="false">IF(G41="","",IF(G41&gt;=0.95,"En meta",IF(G41&gt;=0.8,"Riesgo","Atrasado")))</f>
        <v/>
      </c>
      <c r="I41" s="54"/>
      <c r="J41" s="55" t="str">
        <f aca="false">IF(I41="","",IF($I$9="","",IF($I$9=0,"",I41/$I$9)))</f>
        <v/>
      </c>
      <c r="K41" s="54"/>
      <c r="L41" s="55" t="str">
        <f aca="false">IF(K41="","",IF($K$9="","",IF($K$9=0,"",K41/$K$9)))</f>
        <v/>
      </c>
      <c r="M41" s="54"/>
      <c r="N41" s="55" t="str">
        <f aca="false">IF(M41="","",IF($M$9="","",IF($M$9=0,"",M41/$M$9)))</f>
        <v/>
      </c>
      <c r="O41" s="54"/>
      <c r="P41" s="55" t="str">
        <f aca="false">IF(O41="","",IF($O$9="","",IF($O$9=0,"",O41/$O$9)))</f>
        <v/>
      </c>
      <c r="Q41" s="54"/>
      <c r="R41" s="55" t="str">
        <f aca="false">IF(Q41="","",IF($Q$9="","",IF($Q$9=0,"",Q41/$Q$9)))</f>
        <v/>
      </c>
      <c r="S41" s="54"/>
      <c r="T41" s="55" t="str">
        <f aca="false">IF(S41="","",IF($S$9="","",IF($S$9=0,"",S41/$S$9)))</f>
        <v/>
      </c>
      <c r="U41" s="56"/>
      <c r="V41" s="55" t="str">
        <f aca="false">IF(U41="","",IF($U$9="","",IF($U$9=0,"",U41/$U$9)))</f>
        <v/>
      </c>
      <c r="W41" s="54"/>
      <c r="X41" s="55" t="str">
        <f aca="false">IF(W41="","",IF($W$9="","",IF($W$9=0,"",W41/$W$9)))</f>
        <v/>
      </c>
    </row>
    <row r="42" customFormat="false" ht="15" hidden="false" customHeight="false" outlineLevel="0" collapsed="false">
      <c r="A42" s="28" t="n">
        <v>32</v>
      </c>
      <c r="B42" s="57" t="n">
        <v>46405</v>
      </c>
      <c r="C42" s="58" t="n">
        <f aca="false">$B$5/$B$8</f>
        <v>0.123456790123457</v>
      </c>
      <c r="D42" s="52"/>
      <c r="E42" s="58" t="n">
        <f aca="false">SUM($C$11:C42)</f>
        <v>3.95061728395062</v>
      </c>
      <c r="F42" s="58" t="n">
        <f aca="false">SUM($D$11:D42)</f>
        <v>0</v>
      </c>
      <c r="G42" s="59" t="str">
        <f aca="false">IF(COUNT($D$11:D42)=0,"",F42/E42)</f>
        <v/>
      </c>
      <c r="H42" s="14" t="str">
        <f aca="false">IF(G42="","",IF(G42&gt;=0.95,"En meta",IF(G42&gt;=0.8,"Riesgo","Atrasado")))</f>
        <v/>
      </c>
      <c r="I42" s="54"/>
      <c r="J42" s="60" t="str">
        <f aca="false">IF(I42="","",IF($I$9="","",IF($I$9=0,"",I42/$I$9)))</f>
        <v/>
      </c>
      <c r="K42" s="54"/>
      <c r="L42" s="60" t="str">
        <f aca="false">IF(K42="","",IF($K$9="","",IF($K$9=0,"",K42/$K$9)))</f>
        <v/>
      </c>
      <c r="M42" s="54"/>
      <c r="N42" s="60" t="str">
        <f aca="false">IF(M42="","",IF($M$9="","",IF($M$9=0,"",M42/$M$9)))</f>
        <v/>
      </c>
      <c r="O42" s="54"/>
      <c r="P42" s="60" t="str">
        <f aca="false">IF(O42="","",IF($O$9="","",IF($O$9=0,"",O42/$O$9)))</f>
        <v/>
      </c>
      <c r="Q42" s="54"/>
      <c r="R42" s="60" t="str">
        <f aca="false">IF(Q42="","",IF($Q$9="","",IF($Q$9=0,"",Q42/$Q$9)))</f>
        <v/>
      </c>
      <c r="S42" s="54"/>
      <c r="T42" s="60" t="str">
        <f aca="false">IF(S42="","",IF($S$9="","",IF($S$9=0,"",S42/$S$9)))</f>
        <v/>
      </c>
      <c r="U42" s="56"/>
      <c r="V42" s="60" t="str">
        <f aca="false">IF(U42="","",IF($U$9="","",IF($U$9=0,"",U42/$U$9)))</f>
        <v/>
      </c>
      <c r="W42" s="54"/>
      <c r="X42" s="60" t="str">
        <f aca="false">IF(W42="","",IF($W$9="","",IF($W$9=0,"",W42/$W$9)))</f>
        <v/>
      </c>
    </row>
    <row r="43" customFormat="false" ht="15" hidden="false" customHeight="false" outlineLevel="0" collapsed="false">
      <c r="A43" s="5" t="n">
        <v>33</v>
      </c>
      <c r="B43" s="50" t="n">
        <v>46412</v>
      </c>
      <c r="C43" s="51" t="n">
        <f aca="false">$B$5/$B$8</f>
        <v>0.123456790123457</v>
      </c>
      <c r="D43" s="52"/>
      <c r="E43" s="51" t="n">
        <f aca="false">SUM($C$11:C43)</f>
        <v>4.07407407407407</v>
      </c>
      <c r="F43" s="51" t="n">
        <f aca="false">SUM($D$11:D43)</f>
        <v>0</v>
      </c>
      <c r="G43" s="53" t="str">
        <f aca="false">IF(COUNT($D$11:D43)=0,"",F43/E43)</f>
        <v/>
      </c>
      <c r="H43" s="13" t="str">
        <f aca="false">IF(G43="","",IF(G43&gt;=0.95,"En meta",IF(G43&gt;=0.8,"Riesgo","Atrasado")))</f>
        <v/>
      </c>
      <c r="I43" s="54"/>
      <c r="J43" s="55" t="str">
        <f aca="false">IF(I43="","",IF($I$9="","",IF($I$9=0,"",I43/$I$9)))</f>
        <v/>
      </c>
      <c r="K43" s="54"/>
      <c r="L43" s="55" t="str">
        <f aca="false">IF(K43="","",IF($K$9="","",IF($K$9=0,"",K43/$K$9)))</f>
        <v/>
      </c>
      <c r="M43" s="54"/>
      <c r="N43" s="55" t="str">
        <f aca="false">IF(M43="","",IF($M$9="","",IF($M$9=0,"",M43/$M$9)))</f>
        <v/>
      </c>
      <c r="O43" s="54"/>
      <c r="P43" s="55" t="str">
        <f aca="false">IF(O43="","",IF($O$9="","",IF($O$9=0,"",O43/$O$9)))</f>
        <v/>
      </c>
      <c r="Q43" s="54"/>
      <c r="R43" s="55" t="str">
        <f aca="false">IF(Q43="","",IF($Q$9="","",IF($Q$9=0,"",Q43/$Q$9)))</f>
        <v/>
      </c>
      <c r="S43" s="54"/>
      <c r="T43" s="55" t="str">
        <f aca="false">IF(S43="","",IF($S$9="","",IF($S$9=0,"",S43/$S$9)))</f>
        <v/>
      </c>
      <c r="U43" s="56"/>
      <c r="V43" s="55" t="str">
        <f aca="false">IF(U43="","",IF($U$9="","",IF($U$9=0,"",U43/$U$9)))</f>
        <v/>
      </c>
      <c r="W43" s="54"/>
      <c r="X43" s="55" t="str">
        <f aca="false">IF(W43="","",IF($W$9="","",IF($W$9=0,"",W43/$W$9)))</f>
        <v/>
      </c>
    </row>
    <row r="44" customFormat="false" ht="15" hidden="false" customHeight="false" outlineLevel="0" collapsed="false">
      <c r="A44" s="28" t="n">
        <v>34</v>
      </c>
      <c r="B44" s="57" t="n">
        <v>46419</v>
      </c>
      <c r="C44" s="58" t="n">
        <f aca="false">$B$5/$B$8</f>
        <v>0.123456790123457</v>
      </c>
      <c r="D44" s="52"/>
      <c r="E44" s="58" t="n">
        <f aca="false">SUM($C$11:C44)</f>
        <v>4.19753086419753</v>
      </c>
      <c r="F44" s="58" t="n">
        <f aca="false">SUM($D$11:D44)</f>
        <v>0</v>
      </c>
      <c r="G44" s="59" t="str">
        <f aca="false">IF(COUNT($D$11:D44)=0,"",F44/E44)</f>
        <v/>
      </c>
      <c r="H44" s="14" t="str">
        <f aca="false">IF(G44="","",IF(G44&gt;=0.95,"En meta",IF(G44&gt;=0.8,"Riesgo","Atrasado")))</f>
        <v/>
      </c>
      <c r="I44" s="54"/>
      <c r="J44" s="60" t="str">
        <f aca="false">IF(I44="","",IF($I$9="","",IF($I$9=0,"",I44/$I$9)))</f>
        <v/>
      </c>
      <c r="K44" s="54"/>
      <c r="L44" s="60" t="str">
        <f aca="false">IF(K44="","",IF($K$9="","",IF($K$9=0,"",K44/$K$9)))</f>
        <v/>
      </c>
      <c r="M44" s="54"/>
      <c r="N44" s="60" t="str">
        <f aca="false">IF(M44="","",IF($M$9="","",IF($M$9=0,"",M44/$M$9)))</f>
        <v/>
      </c>
      <c r="O44" s="54"/>
      <c r="P44" s="60" t="str">
        <f aca="false">IF(O44="","",IF($O$9="","",IF($O$9=0,"",O44/$O$9)))</f>
        <v/>
      </c>
      <c r="Q44" s="54"/>
      <c r="R44" s="60" t="str">
        <f aca="false">IF(Q44="","",IF($Q$9="","",IF($Q$9=0,"",Q44/$Q$9)))</f>
        <v/>
      </c>
      <c r="S44" s="54"/>
      <c r="T44" s="60" t="str">
        <f aca="false">IF(S44="","",IF($S$9="","",IF($S$9=0,"",S44/$S$9)))</f>
        <v/>
      </c>
      <c r="U44" s="56"/>
      <c r="V44" s="60" t="str">
        <f aca="false">IF(U44="","",IF($U$9="","",IF($U$9=0,"",U44/$U$9)))</f>
        <v/>
      </c>
      <c r="W44" s="54"/>
      <c r="X44" s="60" t="str">
        <f aca="false">IF(W44="","",IF($W$9="","",IF($W$9=0,"",W44/$W$9)))</f>
        <v/>
      </c>
    </row>
    <row r="45" customFormat="false" ht="15" hidden="false" customHeight="false" outlineLevel="0" collapsed="false">
      <c r="A45" s="5" t="n">
        <v>35</v>
      </c>
      <c r="B45" s="50" t="n">
        <v>46426</v>
      </c>
      <c r="C45" s="51" t="n">
        <f aca="false">$B$5/$B$8</f>
        <v>0.123456790123457</v>
      </c>
      <c r="D45" s="52"/>
      <c r="E45" s="51" t="n">
        <f aca="false">SUM($C$11:C45)</f>
        <v>4.32098765432099</v>
      </c>
      <c r="F45" s="51" t="n">
        <f aca="false">SUM($D$11:D45)</f>
        <v>0</v>
      </c>
      <c r="G45" s="53" t="str">
        <f aca="false">IF(COUNT($D$11:D45)=0,"",F45/E45)</f>
        <v/>
      </c>
      <c r="H45" s="13" t="str">
        <f aca="false">IF(G45="","",IF(G45&gt;=0.95,"En meta",IF(G45&gt;=0.8,"Riesgo","Atrasado")))</f>
        <v/>
      </c>
      <c r="I45" s="54"/>
      <c r="J45" s="55" t="str">
        <f aca="false">IF(I45="","",IF($I$9="","",IF($I$9=0,"",I45/$I$9)))</f>
        <v/>
      </c>
      <c r="K45" s="54"/>
      <c r="L45" s="55" t="str">
        <f aca="false">IF(K45="","",IF($K$9="","",IF($K$9=0,"",K45/$K$9)))</f>
        <v/>
      </c>
      <c r="M45" s="54"/>
      <c r="N45" s="55" t="str">
        <f aca="false">IF(M45="","",IF($M$9="","",IF($M$9=0,"",M45/$M$9)))</f>
        <v/>
      </c>
      <c r="O45" s="54"/>
      <c r="P45" s="55" t="str">
        <f aca="false">IF(O45="","",IF($O$9="","",IF($O$9=0,"",O45/$O$9)))</f>
        <v/>
      </c>
      <c r="Q45" s="54"/>
      <c r="R45" s="55" t="str">
        <f aca="false">IF(Q45="","",IF($Q$9="","",IF($Q$9=0,"",Q45/$Q$9)))</f>
        <v/>
      </c>
      <c r="S45" s="54"/>
      <c r="T45" s="55" t="str">
        <f aca="false">IF(S45="","",IF($S$9="","",IF($S$9=0,"",S45/$S$9)))</f>
        <v/>
      </c>
      <c r="U45" s="56"/>
      <c r="V45" s="55" t="str">
        <f aca="false">IF(U45="","",IF($U$9="","",IF($U$9=0,"",U45/$U$9)))</f>
        <v/>
      </c>
      <c r="W45" s="54"/>
      <c r="X45" s="55" t="str">
        <f aca="false">IF(W45="","",IF($W$9="","",IF($W$9=0,"",W45/$W$9)))</f>
        <v/>
      </c>
    </row>
    <row r="46" customFormat="false" ht="15" hidden="false" customHeight="false" outlineLevel="0" collapsed="false">
      <c r="A46" s="28" t="n">
        <v>36</v>
      </c>
      <c r="B46" s="57" t="n">
        <v>46433</v>
      </c>
      <c r="C46" s="58" t="n">
        <f aca="false">$B$5/$B$8</f>
        <v>0.123456790123457</v>
      </c>
      <c r="D46" s="52"/>
      <c r="E46" s="58" t="n">
        <f aca="false">SUM($C$11:C46)</f>
        <v>4.44444444444445</v>
      </c>
      <c r="F46" s="58" t="n">
        <f aca="false">SUM($D$11:D46)</f>
        <v>0</v>
      </c>
      <c r="G46" s="59" t="str">
        <f aca="false">IF(COUNT($D$11:D46)=0,"",F46/E46)</f>
        <v/>
      </c>
      <c r="H46" s="14" t="str">
        <f aca="false">IF(G46="","",IF(G46&gt;=0.95,"En meta",IF(G46&gt;=0.8,"Riesgo","Atrasado")))</f>
        <v/>
      </c>
      <c r="I46" s="54"/>
      <c r="J46" s="60" t="str">
        <f aca="false">IF(I46="","",IF($I$9="","",IF($I$9=0,"",I46/$I$9)))</f>
        <v/>
      </c>
      <c r="K46" s="54"/>
      <c r="L46" s="60" t="str">
        <f aca="false">IF(K46="","",IF($K$9="","",IF($K$9=0,"",K46/$K$9)))</f>
        <v/>
      </c>
      <c r="M46" s="54"/>
      <c r="N46" s="60" t="str">
        <f aca="false">IF(M46="","",IF($M$9="","",IF($M$9=0,"",M46/$M$9)))</f>
        <v/>
      </c>
      <c r="O46" s="54"/>
      <c r="P46" s="60" t="str">
        <f aca="false">IF(O46="","",IF($O$9="","",IF($O$9=0,"",O46/$O$9)))</f>
        <v/>
      </c>
      <c r="Q46" s="54"/>
      <c r="R46" s="60" t="str">
        <f aca="false">IF(Q46="","",IF($Q$9="","",IF($Q$9=0,"",Q46/$Q$9)))</f>
        <v/>
      </c>
      <c r="S46" s="54"/>
      <c r="T46" s="60" t="str">
        <f aca="false">IF(S46="","",IF($S$9="","",IF($S$9=0,"",S46/$S$9)))</f>
        <v/>
      </c>
      <c r="U46" s="56"/>
      <c r="V46" s="60" t="str">
        <f aca="false">IF(U46="","",IF($U$9="","",IF($U$9=0,"",U46/$U$9)))</f>
        <v/>
      </c>
      <c r="W46" s="54"/>
      <c r="X46" s="60" t="str">
        <f aca="false">IF(W46="","",IF($W$9="","",IF($W$9=0,"",W46/$W$9)))</f>
        <v/>
      </c>
    </row>
    <row r="47" customFormat="false" ht="15" hidden="false" customHeight="false" outlineLevel="0" collapsed="false">
      <c r="A47" s="5" t="n">
        <v>37</v>
      </c>
      <c r="B47" s="50" t="n">
        <v>46440</v>
      </c>
      <c r="C47" s="51" t="n">
        <f aca="false">$B$5/$B$8</f>
        <v>0.123456790123457</v>
      </c>
      <c r="D47" s="52"/>
      <c r="E47" s="51" t="n">
        <f aca="false">SUM($C$11:C47)</f>
        <v>4.5679012345679</v>
      </c>
      <c r="F47" s="51" t="n">
        <f aca="false">SUM($D$11:D47)</f>
        <v>0</v>
      </c>
      <c r="G47" s="53" t="str">
        <f aca="false">IF(COUNT($D$11:D47)=0,"",F47/E47)</f>
        <v/>
      </c>
      <c r="H47" s="13" t="str">
        <f aca="false">IF(G47="","",IF(G47&gt;=0.95,"En meta",IF(G47&gt;=0.8,"Riesgo","Atrasado")))</f>
        <v/>
      </c>
      <c r="I47" s="54"/>
      <c r="J47" s="55" t="str">
        <f aca="false">IF(I47="","",IF($I$9="","",IF($I$9=0,"",I47/$I$9)))</f>
        <v/>
      </c>
      <c r="K47" s="54"/>
      <c r="L47" s="55" t="str">
        <f aca="false">IF(K47="","",IF($K$9="","",IF($K$9=0,"",K47/$K$9)))</f>
        <v/>
      </c>
      <c r="M47" s="54"/>
      <c r="N47" s="55" t="str">
        <f aca="false">IF(M47="","",IF($M$9="","",IF($M$9=0,"",M47/$M$9)))</f>
        <v/>
      </c>
      <c r="O47" s="54"/>
      <c r="P47" s="55" t="str">
        <f aca="false">IF(O47="","",IF($O$9="","",IF($O$9=0,"",O47/$O$9)))</f>
        <v/>
      </c>
      <c r="Q47" s="54"/>
      <c r="R47" s="55" t="str">
        <f aca="false">IF(Q47="","",IF($Q$9="","",IF($Q$9=0,"",Q47/$Q$9)))</f>
        <v/>
      </c>
      <c r="S47" s="54"/>
      <c r="T47" s="55" t="str">
        <f aca="false">IF(S47="","",IF($S$9="","",IF($S$9=0,"",S47/$S$9)))</f>
        <v/>
      </c>
      <c r="U47" s="56"/>
      <c r="V47" s="55" t="str">
        <f aca="false">IF(U47="","",IF($U$9="","",IF($U$9=0,"",U47/$U$9)))</f>
        <v/>
      </c>
      <c r="W47" s="54"/>
      <c r="X47" s="55" t="str">
        <f aca="false">IF(W47="","",IF($W$9="","",IF($W$9=0,"",W47/$W$9)))</f>
        <v/>
      </c>
    </row>
    <row r="48" customFormat="false" ht="15" hidden="false" customHeight="false" outlineLevel="0" collapsed="false">
      <c r="A48" s="28" t="n">
        <v>38</v>
      </c>
      <c r="B48" s="57" t="n">
        <v>46447</v>
      </c>
      <c r="C48" s="58" t="n">
        <f aca="false">$B$5/$B$8</f>
        <v>0.123456790123457</v>
      </c>
      <c r="D48" s="52"/>
      <c r="E48" s="58" t="n">
        <f aca="false">SUM($C$11:C48)</f>
        <v>4.69135802469136</v>
      </c>
      <c r="F48" s="58" t="n">
        <f aca="false">SUM($D$11:D48)</f>
        <v>0</v>
      </c>
      <c r="G48" s="59" t="str">
        <f aca="false">IF(COUNT($D$11:D48)=0,"",F48/E48)</f>
        <v/>
      </c>
      <c r="H48" s="14" t="str">
        <f aca="false">IF(G48="","",IF(G48&gt;=0.95,"En meta",IF(G48&gt;=0.8,"Riesgo","Atrasado")))</f>
        <v/>
      </c>
      <c r="I48" s="54"/>
      <c r="J48" s="60" t="str">
        <f aca="false">IF(I48="","",IF($I$9="","",IF($I$9=0,"",I48/$I$9)))</f>
        <v/>
      </c>
      <c r="K48" s="54"/>
      <c r="L48" s="60" t="str">
        <f aca="false">IF(K48="","",IF($K$9="","",IF($K$9=0,"",K48/$K$9)))</f>
        <v/>
      </c>
      <c r="M48" s="54"/>
      <c r="N48" s="60" t="str">
        <f aca="false">IF(M48="","",IF($M$9="","",IF($M$9=0,"",M48/$M$9)))</f>
        <v/>
      </c>
      <c r="O48" s="54"/>
      <c r="P48" s="60" t="str">
        <f aca="false">IF(O48="","",IF($O$9="","",IF($O$9=0,"",O48/$O$9)))</f>
        <v/>
      </c>
      <c r="Q48" s="54"/>
      <c r="R48" s="60" t="str">
        <f aca="false">IF(Q48="","",IF($Q$9="","",IF($Q$9=0,"",Q48/$Q$9)))</f>
        <v/>
      </c>
      <c r="S48" s="54"/>
      <c r="T48" s="60" t="str">
        <f aca="false">IF(S48="","",IF($S$9="","",IF($S$9=0,"",S48/$S$9)))</f>
        <v/>
      </c>
      <c r="U48" s="56"/>
      <c r="V48" s="60" t="str">
        <f aca="false">IF(U48="","",IF($U$9="","",IF($U$9=0,"",U48/$U$9)))</f>
        <v/>
      </c>
      <c r="W48" s="54"/>
      <c r="X48" s="60" t="str">
        <f aca="false">IF(W48="","",IF($W$9="","",IF($W$9=0,"",W48/$W$9)))</f>
        <v/>
      </c>
    </row>
    <row r="49" customFormat="false" ht="15" hidden="false" customHeight="false" outlineLevel="0" collapsed="false">
      <c r="A49" s="5" t="n">
        <v>39</v>
      </c>
      <c r="B49" s="50" t="n">
        <v>46454</v>
      </c>
      <c r="C49" s="51" t="n">
        <f aca="false">$B$5/$B$8</f>
        <v>0.123456790123457</v>
      </c>
      <c r="D49" s="52"/>
      <c r="E49" s="51" t="n">
        <f aca="false">SUM($C$11:C49)</f>
        <v>4.81481481481482</v>
      </c>
      <c r="F49" s="51" t="n">
        <f aca="false">SUM($D$11:D49)</f>
        <v>0</v>
      </c>
      <c r="G49" s="53" t="str">
        <f aca="false">IF(COUNT($D$11:D49)=0,"",F49/E49)</f>
        <v/>
      </c>
      <c r="H49" s="13" t="str">
        <f aca="false">IF(G49="","",IF(G49&gt;=0.95,"En meta",IF(G49&gt;=0.8,"Riesgo","Atrasado")))</f>
        <v/>
      </c>
      <c r="I49" s="54"/>
      <c r="J49" s="55" t="str">
        <f aca="false">IF(I49="","",IF($I$9="","",IF($I$9=0,"",I49/$I$9)))</f>
        <v/>
      </c>
      <c r="K49" s="54"/>
      <c r="L49" s="55" t="str">
        <f aca="false">IF(K49="","",IF($K$9="","",IF($K$9=0,"",K49/$K$9)))</f>
        <v/>
      </c>
      <c r="M49" s="54"/>
      <c r="N49" s="55" t="str">
        <f aca="false">IF(M49="","",IF($M$9="","",IF($M$9=0,"",M49/$M$9)))</f>
        <v/>
      </c>
      <c r="O49" s="54"/>
      <c r="P49" s="55" t="str">
        <f aca="false">IF(O49="","",IF($O$9="","",IF($O$9=0,"",O49/$O$9)))</f>
        <v/>
      </c>
      <c r="Q49" s="54"/>
      <c r="R49" s="55" t="str">
        <f aca="false">IF(Q49="","",IF($Q$9="","",IF($Q$9=0,"",Q49/$Q$9)))</f>
        <v/>
      </c>
      <c r="S49" s="54"/>
      <c r="T49" s="55" t="str">
        <f aca="false">IF(S49="","",IF($S$9="","",IF($S$9=0,"",S49/$S$9)))</f>
        <v/>
      </c>
      <c r="U49" s="56"/>
      <c r="V49" s="55" t="str">
        <f aca="false">IF(U49="","",IF($U$9="","",IF($U$9=0,"",U49/$U$9)))</f>
        <v/>
      </c>
      <c r="W49" s="54"/>
      <c r="X49" s="55" t="str">
        <f aca="false">IF(W49="","",IF($W$9="","",IF($W$9=0,"",W49/$W$9)))</f>
        <v/>
      </c>
    </row>
    <row r="50" customFormat="false" ht="15" hidden="false" customHeight="false" outlineLevel="0" collapsed="false">
      <c r="A50" s="28" t="n">
        <v>40</v>
      </c>
      <c r="B50" s="57" t="n">
        <v>46461</v>
      </c>
      <c r="C50" s="58" t="n">
        <f aca="false">$B$5/$B$8</f>
        <v>0.123456790123457</v>
      </c>
      <c r="D50" s="52"/>
      <c r="E50" s="58" t="n">
        <f aca="false">SUM($C$11:C50)</f>
        <v>4.93827160493827</v>
      </c>
      <c r="F50" s="58" t="n">
        <f aca="false">SUM($D$11:D50)</f>
        <v>0</v>
      </c>
      <c r="G50" s="59" t="str">
        <f aca="false">IF(COUNT($D$11:D50)=0,"",F50/E50)</f>
        <v/>
      </c>
      <c r="H50" s="14" t="str">
        <f aca="false">IF(G50="","",IF(G50&gt;=0.95,"En meta",IF(G50&gt;=0.8,"Riesgo","Atrasado")))</f>
        <v/>
      </c>
      <c r="I50" s="54"/>
      <c r="J50" s="60" t="str">
        <f aca="false">IF(I50="","",IF($I$9="","",IF($I$9=0,"",I50/$I$9)))</f>
        <v/>
      </c>
      <c r="K50" s="54"/>
      <c r="L50" s="60" t="str">
        <f aca="false">IF(K50="","",IF($K$9="","",IF($K$9=0,"",K50/$K$9)))</f>
        <v/>
      </c>
      <c r="M50" s="54"/>
      <c r="N50" s="60" t="str">
        <f aca="false">IF(M50="","",IF($M$9="","",IF($M$9=0,"",M50/$M$9)))</f>
        <v/>
      </c>
      <c r="O50" s="54"/>
      <c r="P50" s="60" t="str">
        <f aca="false">IF(O50="","",IF($O$9="","",IF($O$9=0,"",O50/$O$9)))</f>
        <v/>
      </c>
      <c r="Q50" s="54"/>
      <c r="R50" s="60" t="str">
        <f aca="false">IF(Q50="","",IF($Q$9="","",IF($Q$9=0,"",Q50/$Q$9)))</f>
        <v/>
      </c>
      <c r="S50" s="54"/>
      <c r="T50" s="60" t="str">
        <f aca="false">IF(S50="","",IF($S$9="","",IF($S$9=0,"",S50/$S$9)))</f>
        <v/>
      </c>
      <c r="U50" s="56"/>
      <c r="V50" s="60" t="str">
        <f aca="false">IF(U50="","",IF($U$9="","",IF($U$9=0,"",U50/$U$9)))</f>
        <v/>
      </c>
      <c r="W50" s="54"/>
      <c r="X50" s="60" t="str">
        <f aca="false">IF(W50="","",IF($W$9="","",IF($W$9=0,"",W50/$W$9)))</f>
        <v/>
      </c>
    </row>
    <row r="51" customFormat="false" ht="15" hidden="false" customHeight="false" outlineLevel="0" collapsed="false">
      <c r="A51" s="5" t="n">
        <v>41</v>
      </c>
      <c r="B51" s="50" t="n">
        <v>46468</v>
      </c>
      <c r="C51" s="51" t="n">
        <f aca="false">$B$5/$B$8</f>
        <v>0.123456790123457</v>
      </c>
      <c r="D51" s="52"/>
      <c r="E51" s="51" t="n">
        <f aca="false">SUM($C$11:C51)</f>
        <v>5.06172839506173</v>
      </c>
      <c r="F51" s="51" t="n">
        <f aca="false">SUM($D$11:D51)</f>
        <v>0</v>
      </c>
      <c r="G51" s="53" t="str">
        <f aca="false">IF(COUNT($D$11:D51)=0,"",F51/E51)</f>
        <v/>
      </c>
      <c r="H51" s="13" t="str">
        <f aca="false">IF(G51="","",IF(G51&gt;=0.95,"En meta",IF(G51&gt;=0.8,"Riesgo","Atrasado")))</f>
        <v/>
      </c>
      <c r="I51" s="54"/>
      <c r="J51" s="55" t="str">
        <f aca="false">IF(I51="","",IF($I$9="","",IF($I$9=0,"",I51/$I$9)))</f>
        <v/>
      </c>
      <c r="K51" s="54"/>
      <c r="L51" s="55" t="str">
        <f aca="false">IF(K51="","",IF($K$9="","",IF($K$9=0,"",K51/$K$9)))</f>
        <v/>
      </c>
      <c r="M51" s="54"/>
      <c r="N51" s="55" t="str">
        <f aca="false">IF(M51="","",IF($M$9="","",IF($M$9=0,"",M51/$M$9)))</f>
        <v/>
      </c>
      <c r="O51" s="54"/>
      <c r="P51" s="55" t="str">
        <f aca="false">IF(O51="","",IF($O$9="","",IF($O$9=0,"",O51/$O$9)))</f>
        <v/>
      </c>
      <c r="Q51" s="54"/>
      <c r="R51" s="55" t="str">
        <f aca="false">IF(Q51="","",IF($Q$9="","",IF($Q$9=0,"",Q51/$Q$9)))</f>
        <v/>
      </c>
      <c r="S51" s="54"/>
      <c r="T51" s="55" t="str">
        <f aca="false">IF(S51="","",IF($S$9="","",IF($S$9=0,"",S51/$S$9)))</f>
        <v/>
      </c>
      <c r="U51" s="56"/>
      <c r="V51" s="55" t="str">
        <f aca="false">IF(U51="","",IF($U$9="","",IF($U$9=0,"",U51/$U$9)))</f>
        <v/>
      </c>
      <c r="W51" s="54"/>
      <c r="X51" s="55" t="str">
        <f aca="false">IF(W51="","",IF($W$9="","",IF($W$9=0,"",W51/$W$9)))</f>
        <v/>
      </c>
    </row>
    <row r="52" customFormat="false" ht="15" hidden="false" customHeight="false" outlineLevel="0" collapsed="false">
      <c r="A52" s="28" t="n">
        <v>42</v>
      </c>
      <c r="B52" s="57" t="n">
        <v>46475</v>
      </c>
      <c r="C52" s="58" t="n">
        <f aca="false">$B$5/$B$8</f>
        <v>0.123456790123457</v>
      </c>
      <c r="D52" s="52"/>
      <c r="E52" s="58" t="n">
        <f aca="false">SUM($C$11:C52)</f>
        <v>5.18518518518519</v>
      </c>
      <c r="F52" s="58" t="n">
        <f aca="false">SUM($D$11:D52)</f>
        <v>0</v>
      </c>
      <c r="G52" s="59" t="str">
        <f aca="false">IF(COUNT($D$11:D52)=0,"",F52/E52)</f>
        <v/>
      </c>
      <c r="H52" s="14" t="str">
        <f aca="false">IF(G52="","",IF(G52&gt;=0.95,"En meta",IF(G52&gt;=0.8,"Riesgo","Atrasado")))</f>
        <v/>
      </c>
      <c r="I52" s="54"/>
      <c r="J52" s="60" t="str">
        <f aca="false">IF(I52="","",IF($I$9="","",IF($I$9=0,"",I52/$I$9)))</f>
        <v/>
      </c>
      <c r="K52" s="54"/>
      <c r="L52" s="60" t="str">
        <f aca="false">IF(K52="","",IF($K$9="","",IF($K$9=0,"",K52/$K$9)))</f>
        <v/>
      </c>
      <c r="M52" s="54"/>
      <c r="N52" s="60" t="str">
        <f aca="false">IF(M52="","",IF($M$9="","",IF($M$9=0,"",M52/$M$9)))</f>
        <v/>
      </c>
      <c r="O52" s="54"/>
      <c r="P52" s="60" t="str">
        <f aca="false">IF(O52="","",IF($O$9="","",IF($O$9=0,"",O52/$O$9)))</f>
        <v/>
      </c>
      <c r="Q52" s="54"/>
      <c r="R52" s="60" t="str">
        <f aca="false">IF(Q52="","",IF($Q$9="","",IF($Q$9=0,"",Q52/$Q$9)))</f>
        <v/>
      </c>
      <c r="S52" s="54"/>
      <c r="T52" s="60" t="str">
        <f aca="false">IF(S52="","",IF($S$9="","",IF($S$9=0,"",S52/$S$9)))</f>
        <v/>
      </c>
      <c r="U52" s="56"/>
      <c r="V52" s="60" t="str">
        <f aca="false">IF(U52="","",IF($U$9="","",IF($U$9=0,"",U52/$U$9)))</f>
        <v/>
      </c>
      <c r="W52" s="54"/>
      <c r="X52" s="60" t="str">
        <f aca="false">IF(W52="","",IF($W$9="","",IF($W$9=0,"",W52/$W$9)))</f>
        <v/>
      </c>
    </row>
    <row r="53" customFormat="false" ht="15" hidden="false" customHeight="false" outlineLevel="0" collapsed="false">
      <c r="A53" s="5" t="n">
        <v>43</v>
      </c>
      <c r="B53" s="50" t="n">
        <v>46482</v>
      </c>
      <c r="C53" s="51" t="n">
        <f aca="false">$B$5/$B$8</f>
        <v>0.123456790123457</v>
      </c>
      <c r="D53" s="52"/>
      <c r="E53" s="51" t="n">
        <f aca="false">SUM($C$11:C53)</f>
        <v>5.30864197530864</v>
      </c>
      <c r="F53" s="51" t="n">
        <f aca="false">SUM($D$11:D53)</f>
        <v>0</v>
      </c>
      <c r="G53" s="53" t="str">
        <f aca="false">IF(COUNT($D$11:D53)=0,"",F53/E53)</f>
        <v/>
      </c>
      <c r="H53" s="13" t="str">
        <f aca="false">IF(G53="","",IF(G53&gt;=0.95,"En meta",IF(G53&gt;=0.8,"Riesgo","Atrasado")))</f>
        <v/>
      </c>
      <c r="I53" s="54"/>
      <c r="J53" s="55" t="str">
        <f aca="false">IF(I53="","",IF($I$9="","",IF($I$9=0,"",I53/$I$9)))</f>
        <v/>
      </c>
      <c r="K53" s="54"/>
      <c r="L53" s="55" t="str">
        <f aca="false">IF(K53="","",IF($K$9="","",IF($K$9=0,"",K53/$K$9)))</f>
        <v/>
      </c>
      <c r="M53" s="54"/>
      <c r="N53" s="55" t="str">
        <f aca="false">IF(M53="","",IF($M$9="","",IF($M$9=0,"",M53/$M$9)))</f>
        <v/>
      </c>
      <c r="O53" s="54"/>
      <c r="P53" s="55" t="str">
        <f aca="false">IF(O53="","",IF($O$9="","",IF($O$9=0,"",O53/$O$9)))</f>
        <v/>
      </c>
      <c r="Q53" s="54"/>
      <c r="R53" s="55" t="str">
        <f aca="false">IF(Q53="","",IF($Q$9="","",IF($Q$9=0,"",Q53/$Q$9)))</f>
        <v/>
      </c>
      <c r="S53" s="54"/>
      <c r="T53" s="55" t="str">
        <f aca="false">IF(S53="","",IF($S$9="","",IF($S$9=0,"",S53/$S$9)))</f>
        <v/>
      </c>
      <c r="U53" s="56"/>
      <c r="V53" s="55" t="str">
        <f aca="false">IF(U53="","",IF($U$9="","",IF($U$9=0,"",U53/$U$9)))</f>
        <v/>
      </c>
      <c r="W53" s="54"/>
      <c r="X53" s="55" t="str">
        <f aca="false">IF(W53="","",IF($W$9="","",IF($W$9=0,"",W53/$W$9)))</f>
        <v/>
      </c>
    </row>
    <row r="54" customFormat="false" ht="15" hidden="false" customHeight="false" outlineLevel="0" collapsed="false">
      <c r="A54" s="28" t="n">
        <v>44</v>
      </c>
      <c r="B54" s="57" t="n">
        <v>46489</v>
      </c>
      <c r="C54" s="58" t="n">
        <f aca="false">$B$5/$B$8</f>
        <v>0.123456790123457</v>
      </c>
      <c r="D54" s="52"/>
      <c r="E54" s="58" t="n">
        <f aca="false">SUM($C$11:C54)</f>
        <v>5.4320987654321</v>
      </c>
      <c r="F54" s="58" t="n">
        <f aca="false">SUM($D$11:D54)</f>
        <v>0</v>
      </c>
      <c r="G54" s="59" t="str">
        <f aca="false">IF(COUNT($D$11:D54)=0,"",F54/E54)</f>
        <v/>
      </c>
      <c r="H54" s="14" t="str">
        <f aca="false">IF(G54="","",IF(G54&gt;=0.95,"En meta",IF(G54&gt;=0.8,"Riesgo","Atrasado")))</f>
        <v/>
      </c>
      <c r="I54" s="54"/>
      <c r="J54" s="60" t="str">
        <f aca="false">IF(I54="","",IF($I$9="","",IF($I$9=0,"",I54/$I$9)))</f>
        <v/>
      </c>
      <c r="K54" s="54"/>
      <c r="L54" s="60" t="str">
        <f aca="false">IF(K54="","",IF($K$9="","",IF($K$9=0,"",K54/$K$9)))</f>
        <v/>
      </c>
      <c r="M54" s="54"/>
      <c r="N54" s="60" t="str">
        <f aca="false">IF(M54="","",IF($M$9="","",IF($M$9=0,"",M54/$M$9)))</f>
        <v/>
      </c>
      <c r="O54" s="54"/>
      <c r="P54" s="60" t="str">
        <f aca="false">IF(O54="","",IF($O$9="","",IF($O$9=0,"",O54/$O$9)))</f>
        <v/>
      </c>
      <c r="Q54" s="54"/>
      <c r="R54" s="60" t="str">
        <f aca="false">IF(Q54="","",IF($Q$9="","",IF($Q$9=0,"",Q54/$Q$9)))</f>
        <v/>
      </c>
      <c r="S54" s="54"/>
      <c r="T54" s="60" t="str">
        <f aca="false">IF(S54="","",IF($S$9="","",IF($S$9=0,"",S54/$S$9)))</f>
        <v/>
      </c>
      <c r="U54" s="56"/>
      <c r="V54" s="60" t="str">
        <f aca="false">IF(U54="","",IF($U$9="","",IF($U$9=0,"",U54/$U$9)))</f>
        <v/>
      </c>
      <c r="W54" s="54"/>
      <c r="X54" s="60" t="str">
        <f aca="false">IF(W54="","",IF($W$9="","",IF($W$9=0,"",W54/$W$9)))</f>
        <v/>
      </c>
    </row>
    <row r="55" customFormat="false" ht="15" hidden="false" customHeight="false" outlineLevel="0" collapsed="false">
      <c r="A55" s="5" t="n">
        <v>45</v>
      </c>
      <c r="B55" s="50" t="n">
        <v>46496</v>
      </c>
      <c r="C55" s="51" t="n">
        <f aca="false">$B$5/$B$8</f>
        <v>0.123456790123457</v>
      </c>
      <c r="D55" s="52"/>
      <c r="E55" s="51" t="n">
        <f aca="false">SUM($C$11:C55)</f>
        <v>5.55555555555556</v>
      </c>
      <c r="F55" s="51" t="n">
        <f aca="false">SUM($D$11:D55)</f>
        <v>0</v>
      </c>
      <c r="G55" s="53" t="str">
        <f aca="false">IF(COUNT($D$11:D55)=0,"",F55/E55)</f>
        <v/>
      </c>
      <c r="H55" s="13" t="str">
        <f aca="false">IF(G55="","",IF(G55&gt;=0.95,"En meta",IF(G55&gt;=0.8,"Riesgo","Atrasado")))</f>
        <v/>
      </c>
      <c r="I55" s="54"/>
      <c r="J55" s="55" t="str">
        <f aca="false">IF(I55="","",IF($I$9="","",IF($I$9=0,"",I55/$I$9)))</f>
        <v/>
      </c>
      <c r="K55" s="54"/>
      <c r="L55" s="55" t="str">
        <f aca="false">IF(K55="","",IF($K$9="","",IF($K$9=0,"",K55/$K$9)))</f>
        <v/>
      </c>
      <c r="M55" s="54"/>
      <c r="N55" s="55" t="str">
        <f aca="false">IF(M55="","",IF($M$9="","",IF($M$9=0,"",M55/$M$9)))</f>
        <v/>
      </c>
      <c r="O55" s="54"/>
      <c r="P55" s="55" t="str">
        <f aca="false">IF(O55="","",IF($O$9="","",IF($O$9=0,"",O55/$O$9)))</f>
        <v/>
      </c>
      <c r="Q55" s="54"/>
      <c r="R55" s="55" t="str">
        <f aca="false">IF(Q55="","",IF($Q$9="","",IF($Q$9=0,"",Q55/$Q$9)))</f>
        <v/>
      </c>
      <c r="S55" s="54"/>
      <c r="T55" s="55" t="str">
        <f aca="false">IF(S55="","",IF($S$9="","",IF($S$9=0,"",S55/$S$9)))</f>
        <v/>
      </c>
      <c r="U55" s="56"/>
      <c r="V55" s="55" t="str">
        <f aca="false">IF(U55="","",IF($U$9="","",IF($U$9=0,"",U55/$U$9)))</f>
        <v/>
      </c>
      <c r="W55" s="54"/>
      <c r="X55" s="55" t="str">
        <f aca="false">IF(W55="","",IF($W$9="","",IF($W$9=0,"",W55/$W$9)))</f>
        <v/>
      </c>
    </row>
    <row r="56" customFormat="false" ht="15" hidden="false" customHeight="false" outlineLevel="0" collapsed="false">
      <c r="A56" s="28" t="n">
        <v>46</v>
      </c>
      <c r="B56" s="57" t="n">
        <v>46503</v>
      </c>
      <c r="C56" s="58" t="n">
        <f aca="false">$B$5/$B$8</f>
        <v>0.123456790123457</v>
      </c>
      <c r="D56" s="52"/>
      <c r="E56" s="58" t="n">
        <f aca="false">SUM($C$11:C56)</f>
        <v>5.67901234567901</v>
      </c>
      <c r="F56" s="58" t="n">
        <f aca="false">SUM($D$11:D56)</f>
        <v>0</v>
      </c>
      <c r="G56" s="59" t="str">
        <f aca="false">IF(COUNT($D$11:D56)=0,"",F56/E56)</f>
        <v/>
      </c>
      <c r="H56" s="14" t="str">
        <f aca="false">IF(G56="","",IF(G56&gt;=0.95,"En meta",IF(G56&gt;=0.8,"Riesgo","Atrasado")))</f>
        <v/>
      </c>
      <c r="I56" s="54"/>
      <c r="J56" s="60" t="str">
        <f aca="false">IF(I56="","",IF($I$9="","",IF($I$9=0,"",I56/$I$9)))</f>
        <v/>
      </c>
      <c r="K56" s="54"/>
      <c r="L56" s="60" t="str">
        <f aca="false">IF(K56="","",IF($K$9="","",IF($K$9=0,"",K56/$K$9)))</f>
        <v/>
      </c>
      <c r="M56" s="54"/>
      <c r="N56" s="60" t="str">
        <f aca="false">IF(M56="","",IF($M$9="","",IF($M$9=0,"",M56/$M$9)))</f>
        <v/>
      </c>
      <c r="O56" s="54"/>
      <c r="P56" s="60" t="str">
        <f aca="false">IF(O56="","",IF($O$9="","",IF($O$9=0,"",O56/$O$9)))</f>
        <v/>
      </c>
      <c r="Q56" s="54"/>
      <c r="R56" s="60" t="str">
        <f aca="false">IF(Q56="","",IF($Q$9="","",IF($Q$9=0,"",Q56/$Q$9)))</f>
        <v/>
      </c>
      <c r="S56" s="54"/>
      <c r="T56" s="60" t="str">
        <f aca="false">IF(S56="","",IF($S$9="","",IF($S$9=0,"",S56/$S$9)))</f>
        <v/>
      </c>
      <c r="U56" s="56"/>
      <c r="V56" s="60" t="str">
        <f aca="false">IF(U56="","",IF($U$9="","",IF($U$9=0,"",U56/$U$9)))</f>
        <v/>
      </c>
      <c r="W56" s="54"/>
      <c r="X56" s="60" t="str">
        <f aca="false">IF(W56="","",IF($W$9="","",IF($W$9=0,"",W56/$W$9)))</f>
        <v/>
      </c>
    </row>
    <row r="57" customFormat="false" ht="15" hidden="false" customHeight="false" outlineLevel="0" collapsed="false">
      <c r="A57" s="5" t="n">
        <v>47</v>
      </c>
      <c r="B57" s="50" t="n">
        <v>46510</v>
      </c>
      <c r="C57" s="51" t="n">
        <f aca="false">$B$5/$B$8</f>
        <v>0.123456790123457</v>
      </c>
      <c r="D57" s="52"/>
      <c r="E57" s="51" t="n">
        <f aca="false">SUM($C$11:C57)</f>
        <v>5.80246913580247</v>
      </c>
      <c r="F57" s="51" t="n">
        <f aca="false">SUM($D$11:D57)</f>
        <v>0</v>
      </c>
      <c r="G57" s="53" t="str">
        <f aca="false">IF(COUNT($D$11:D57)=0,"",F57/E57)</f>
        <v/>
      </c>
      <c r="H57" s="13" t="str">
        <f aca="false">IF(G57="","",IF(G57&gt;=0.95,"En meta",IF(G57&gt;=0.8,"Riesgo","Atrasado")))</f>
        <v/>
      </c>
      <c r="I57" s="54"/>
      <c r="J57" s="55" t="str">
        <f aca="false">IF(I57="","",IF($I$9="","",IF($I$9=0,"",I57/$I$9)))</f>
        <v/>
      </c>
      <c r="K57" s="54"/>
      <c r="L57" s="55" t="str">
        <f aca="false">IF(K57="","",IF($K$9="","",IF($K$9=0,"",K57/$K$9)))</f>
        <v/>
      </c>
      <c r="M57" s="54"/>
      <c r="N57" s="55" t="str">
        <f aca="false">IF(M57="","",IF($M$9="","",IF($M$9=0,"",M57/$M$9)))</f>
        <v/>
      </c>
      <c r="O57" s="54"/>
      <c r="P57" s="55" t="str">
        <f aca="false">IF(O57="","",IF($O$9="","",IF($O$9=0,"",O57/$O$9)))</f>
        <v/>
      </c>
      <c r="Q57" s="54"/>
      <c r="R57" s="55" t="str">
        <f aca="false">IF(Q57="","",IF($Q$9="","",IF($Q$9=0,"",Q57/$Q$9)))</f>
        <v/>
      </c>
      <c r="S57" s="54"/>
      <c r="T57" s="55" t="str">
        <f aca="false">IF(S57="","",IF($S$9="","",IF($S$9=0,"",S57/$S$9)))</f>
        <v/>
      </c>
      <c r="U57" s="56"/>
      <c r="V57" s="55" t="str">
        <f aca="false">IF(U57="","",IF($U$9="","",IF($U$9=0,"",U57/$U$9)))</f>
        <v/>
      </c>
      <c r="W57" s="54"/>
      <c r="X57" s="55" t="str">
        <f aca="false">IF(W57="","",IF($W$9="","",IF($W$9=0,"",W57/$W$9)))</f>
        <v/>
      </c>
    </row>
    <row r="58" customFormat="false" ht="15" hidden="false" customHeight="false" outlineLevel="0" collapsed="false">
      <c r="A58" s="28" t="n">
        <v>48</v>
      </c>
      <c r="B58" s="57" t="n">
        <v>46517</v>
      </c>
      <c r="C58" s="58" t="n">
        <f aca="false">$B$5/$B$8</f>
        <v>0.123456790123457</v>
      </c>
      <c r="D58" s="52"/>
      <c r="E58" s="58" t="n">
        <f aca="false">SUM($C$11:C58)</f>
        <v>5.92592592592593</v>
      </c>
      <c r="F58" s="58" t="n">
        <f aca="false">SUM($D$11:D58)</f>
        <v>0</v>
      </c>
      <c r="G58" s="59" t="str">
        <f aca="false">IF(COUNT($D$11:D58)=0,"",F58/E58)</f>
        <v/>
      </c>
      <c r="H58" s="14" t="str">
        <f aca="false">IF(G58="","",IF(G58&gt;=0.95,"En meta",IF(G58&gt;=0.8,"Riesgo","Atrasado")))</f>
        <v/>
      </c>
      <c r="I58" s="54"/>
      <c r="J58" s="60" t="str">
        <f aca="false">IF(I58="","",IF($I$9="","",IF($I$9=0,"",I58/$I$9)))</f>
        <v/>
      </c>
      <c r="K58" s="54"/>
      <c r="L58" s="60" t="str">
        <f aca="false">IF(K58="","",IF($K$9="","",IF($K$9=0,"",K58/$K$9)))</f>
        <v/>
      </c>
      <c r="M58" s="54"/>
      <c r="N58" s="60" t="str">
        <f aca="false">IF(M58="","",IF($M$9="","",IF($M$9=0,"",M58/$M$9)))</f>
        <v/>
      </c>
      <c r="O58" s="54"/>
      <c r="P58" s="60" t="str">
        <f aca="false">IF(O58="","",IF($O$9="","",IF($O$9=0,"",O58/$O$9)))</f>
        <v/>
      </c>
      <c r="Q58" s="54"/>
      <c r="R58" s="60" t="str">
        <f aca="false">IF(Q58="","",IF($Q$9="","",IF($Q$9=0,"",Q58/$Q$9)))</f>
        <v/>
      </c>
      <c r="S58" s="54"/>
      <c r="T58" s="60" t="str">
        <f aca="false">IF(S58="","",IF($S$9="","",IF($S$9=0,"",S58/$S$9)))</f>
        <v/>
      </c>
      <c r="U58" s="56"/>
      <c r="V58" s="60" t="str">
        <f aca="false">IF(U58="","",IF($U$9="","",IF($U$9=0,"",U58/$U$9)))</f>
        <v/>
      </c>
      <c r="W58" s="54"/>
      <c r="X58" s="60" t="str">
        <f aca="false">IF(W58="","",IF($W$9="","",IF($W$9=0,"",W58/$W$9)))</f>
        <v/>
      </c>
    </row>
    <row r="59" customFormat="false" ht="15" hidden="false" customHeight="false" outlineLevel="0" collapsed="false">
      <c r="A59" s="5" t="n">
        <v>49</v>
      </c>
      <c r="B59" s="50" t="n">
        <v>46524</v>
      </c>
      <c r="C59" s="51" t="n">
        <f aca="false">$B$5/$B$8</f>
        <v>0.123456790123457</v>
      </c>
      <c r="D59" s="52"/>
      <c r="E59" s="51" t="n">
        <f aca="false">SUM($C$11:C59)</f>
        <v>6.04938271604938</v>
      </c>
      <c r="F59" s="51" t="n">
        <f aca="false">SUM($D$11:D59)</f>
        <v>0</v>
      </c>
      <c r="G59" s="53" t="str">
        <f aca="false">IF(COUNT($D$11:D59)=0,"",F59/E59)</f>
        <v/>
      </c>
      <c r="H59" s="13" t="str">
        <f aca="false">IF(G59="","",IF(G59&gt;=0.95,"En meta",IF(G59&gt;=0.8,"Riesgo","Atrasado")))</f>
        <v/>
      </c>
      <c r="I59" s="54"/>
      <c r="J59" s="55" t="str">
        <f aca="false">IF(I59="","",IF($I$9="","",IF($I$9=0,"",I59/$I$9)))</f>
        <v/>
      </c>
      <c r="K59" s="54"/>
      <c r="L59" s="55" t="str">
        <f aca="false">IF(K59="","",IF($K$9="","",IF($K$9=0,"",K59/$K$9)))</f>
        <v/>
      </c>
      <c r="M59" s="54"/>
      <c r="N59" s="55" t="str">
        <f aca="false">IF(M59="","",IF($M$9="","",IF($M$9=0,"",M59/$M$9)))</f>
        <v/>
      </c>
      <c r="O59" s="54"/>
      <c r="P59" s="55" t="str">
        <f aca="false">IF(O59="","",IF($O$9="","",IF($O$9=0,"",O59/$O$9)))</f>
        <v/>
      </c>
      <c r="Q59" s="54"/>
      <c r="R59" s="55" t="str">
        <f aca="false">IF(Q59="","",IF($Q$9="","",IF($Q$9=0,"",Q59/$Q$9)))</f>
        <v/>
      </c>
      <c r="S59" s="54"/>
      <c r="T59" s="55" t="str">
        <f aca="false">IF(S59="","",IF($S$9="","",IF($S$9=0,"",S59/$S$9)))</f>
        <v/>
      </c>
      <c r="U59" s="56"/>
      <c r="V59" s="55" t="str">
        <f aca="false">IF(U59="","",IF($U$9="","",IF($U$9=0,"",U59/$U$9)))</f>
        <v/>
      </c>
      <c r="W59" s="54"/>
      <c r="X59" s="55" t="str">
        <f aca="false">IF(W59="","",IF($W$9="","",IF($W$9=0,"",W59/$W$9)))</f>
        <v/>
      </c>
    </row>
    <row r="60" customFormat="false" ht="15" hidden="false" customHeight="false" outlineLevel="0" collapsed="false">
      <c r="A60" s="28" t="n">
        <v>50</v>
      </c>
      <c r="B60" s="57" t="n">
        <v>46531</v>
      </c>
      <c r="C60" s="58" t="n">
        <f aca="false">$B$5/$B$8</f>
        <v>0.123456790123457</v>
      </c>
      <c r="D60" s="52"/>
      <c r="E60" s="58" t="n">
        <f aca="false">SUM($C$11:C60)</f>
        <v>6.17283950617284</v>
      </c>
      <c r="F60" s="58" t="n">
        <f aca="false">SUM($D$11:D60)</f>
        <v>0</v>
      </c>
      <c r="G60" s="59" t="str">
        <f aca="false">IF(COUNT($D$11:D60)=0,"",F60/E60)</f>
        <v/>
      </c>
      <c r="H60" s="14" t="str">
        <f aca="false">IF(G60="","",IF(G60&gt;=0.95,"En meta",IF(G60&gt;=0.8,"Riesgo","Atrasado")))</f>
        <v/>
      </c>
      <c r="I60" s="54"/>
      <c r="J60" s="60" t="str">
        <f aca="false">IF(I60="","",IF($I$9="","",IF($I$9=0,"",I60/$I$9)))</f>
        <v/>
      </c>
      <c r="K60" s="54"/>
      <c r="L60" s="60" t="str">
        <f aca="false">IF(K60="","",IF($K$9="","",IF($K$9=0,"",K60/$K$9)))</f>
        <v/>
      </c>
      <c r="M60" s="54"/>
      <c r="N60" s="60" t="str">
        <f aca="false">IF(M60="","",IF($M$9="","",IF($M$9=0,"",M60/$M$9)))</f>
        <v/>
      </c>
      <c r="O60" s="54"/>
      <c r="P60" s="60" t="str">
        <f aca="false">IF(O60="","",IF($O$9="","",IF($O$9=0,"",O60/$O$9)))</f>
        <v/>
      </c>
      <c r="Q60" s="54"/>
      <c r="R60" s="60" t="str">
        <f aca="false">IF(Q60="","",IF($Q$9="","",IF($Q$9=0,"",Q60/$Q$9)))</f>
        <v/>
      </c>
      <c r="S60" s="54"/>
      <c r="T60" s="60" t="str">
        <f aca="false">IF(S60="","",IF($S$9="","",IF($S$9=0,"",S60/$S$9)))</f>
        <v/>
      </c>
      <c r="U60" s="56"/>
      <c r="V60" s="60" t="str">
        <f aca="false">IF(U60="","",IF($U$9="","",IF($U$9=0,"",U60/$U$9)))</f>
        <v/>
      </c>
      <c r="W60" s="54"/>
      <c r="X60" s="60" t="str">
        <f aca="false">IF(W60="","",IF($W$9="","",IF($W$9=0,"",W60/$W$9)))</f>
        <v/>
      </c>
    </row>
    <row r="61" customFormat="false" ht="15" hidden="false" customHeight="false" outlineLevel="0" collapsed="false">
      <c r="A61" s="5" t="n">
        <v>51</v>
      </c>
      <c r="B61" s="50" t="n">
        <v>46538</v>
      </c>
      <c r="C61" s="51" t="n">
        <f aca="false">$B$5/$B$8</f>
        <v>0.123456790123457</v>
      </c>
      <c r="D61" s="52"/>
      <c r="E61" s="51" t="n">
        <f aca="false">SUM($C$11:C61)</f>
        <v>6.2962962962963</v>
      </c>
      <c r="F61" s="51" t="n">
        <f aca="false">SUM($D$11:D61)</f>
        <v>0</v>
      </c>
      <c r="G61" s="53" t="str">
        <f aca="false">IF(COUNT($D$11:D61)=0,"",F61/E61)</f>
        <v/>
      </c>
      <c r="H61" s="13" t="str">
        <f aca="false">IF(G61="","",IF(G61&gt;=0.95,"En meta",IF(G61&gt;=0.8,"Riesgo","Atrasado")))</f>
        <v/>
      </c>
      <c r="I61" s="54"/>
      <c r="J61" s="55" t="str">
        <f aca="false">IF(I61="","",IF($I$9="","",IF($I$9=0,"",I61/$I$9)))</f>
        <v/>
      </c>
      <c r="K61" s="54"/>
      <c r="L61" s="55" t="str">
        <f aca="false">IF(K61="","",IF($K$9="","",IF($K$9=0,"",K61/$K$9)))</f>
        <v/>
      </c>
      <c r="M61" s="54"/>
      <c r="N61" s="55" t="str">
        <f aca="false">IF(M61="","",IF($M$9="","",IF($M$9=0,"",M61/$M$9)))</f>
        <v/>
      </c>
      <c r="O61" s="54"/>
      <c r="P61" s="55" t="str">
        <f aca="false">IF(O61="","",IF($O$9="","",IF($O$9=0,"",O61/$O$9)))</f>
        <v/>
      </c>
      <c r="Q61" s="54"/>
      <c r="R61" s="55" t="str">
        <f aca="false">IF(Q61="","",IF($Q$9="","",IF($Q$9=0,"",Q61/$Q$9)))</f>
        <v/>
      </c>
      <c r="S61" s="54"/>
      <c r="T61" s="55" t="str">
        <f aca="false">IF(S61="","",IF($S$9="","",IF($S$9=0,"",S61/$S$9)))</f>
        <v/>
      </c>
      <c r="U61" s="56"/>
      <c r="V61" s="55" t="str">
        <f aca="false">IF(U61="","",IF($U$9="","",IF($U$9=0,"",U61/$U$9)))</f>
        <v/>
      </c>
      <c r="W61" s="54"/>
      <c r="X61" s="55" t="str">
        <f aca="false">IF(W61="","",IF($W$9="","",IF($W$9=0,"",W61/$W$9)))</f>
        <v/>
      </c>
    </row>
    <row r="62" customFormat="false" ht="15" hidden="false" customHeight="false" outlineLevel="0" collapsed="false">
      <c r="A62" s="28" t="n">
        <v>52</v>
      </c>
      <c r="B62" s="57" t="n">
        <v>46545</v>
      </c>
      <c r="C62" s="58" t="n">
        <f aca="false">$B$5/$B$8</f>
        <v>0.123456790123457</v>
      </c>
      <c r="D62" s="52"/>
      <c r="E62" s="58" t="n">
        <f aca="false">SUM($C$11:C62)</f>
        <v>6.41975308641975</v>
      </c>
      <c r="F62" s="58" t="n">
        <f aca="false">SUM($D$11:D62)</f>
        <v>0</v>
      </c>
      <c r="G62" s="59" t="str">
        <f aca="false">IF(COUNT($D$11:D62)=0,"",F62/E62)</f>
        <v/>
      </c>
      <c r="H62" s="14" t="str">
        <f aca="false">IF(G62="","",IF(G62&gt;=0.95,"En meta",IF(G62&gt;=0.8,"Riesgo","Atrasado")))</f>
        <v/>
      </c>
      <c r="I62" s="54"/>
      <c r="J62" s="60" t="str">
        <f aca="false">IF(I62="","",IF($I$9="","",IF($I$9=0,"",I62/$I$9)))</f>
        <v/>
      </c>
      <c r="K62" s="54"/>
      <c r="L62" s="60" t="str">
        <f aca="false">IF(K62="","",IF($K$9="","",IF($K$9=0,"",K62/$K$9)))</f>
        <v/>
      </c>
      <c r="M62" s="54"/>
      <c r="N62" s="60" t="str">
        <f aca="false">IF(M62="","",IF($M$9="","",IF($M$9=0,"",M62/$M$9)))</f>
        <v/>
      </c>
      <c r="O62" s="54"/>
      <c r="P62" s="60" t="str">
        <f aca="false">IF(O62="","",IF($O$9="","",IF($O$9=0,"",O62/$O$9)))</f>
        <v/>
      </c>
      <c r="Q62" s="54"/>
      <c r="R62" s="60" t="str">
        <f aca="false">IF(Q62="","",IF($Q$9="","",IF($Q$9=0,"",Q62/$Q$9)))</f>
        <v/>
      </c>
      <c r="S62" s="54"/>
      <c r="T62" s="60" t="str">
        <f aca="false">IF(S62="","",IF($S$9="","",IF($S$9=0,"",S62/$S$9)))</f>
        <v/>
      </c>
      <c r="U62" s="56"/>
      <c r="V62" s="60" t="str">
        <f aca="false">IF(U62="","",IF($U$9="","",IF($U$9=0,"",U62/$U$9)))</f>
        <v/>
      </c>
      <c r="W62" s="54"/>
      <c r="X62" s="60" t="str">
        <f aca="false">IF(W62="","",IF($W$9="","",IF($W$9=0,"",W62/$W$9)))</f>
        <v/>
      </c>
    </row>
    <row r="63" customFormat="false" ht="15" hidden="false" customHeight="false" outlineLevel="0" collapsed="false">
      <c r="A63" s="5" t="n">
        <v>53</v>
      </c>
      <c r="B63" s="50" t="n">
        <v>46552</v>
      </c>
      <c r="C63" s="51" t="n">
        <f aca="false">$B$5/$B$8</f>
        <v>0.123456790123457</v>
      </c>
      <c r="D63" s="52"/>
      <c r="E63" s="51" t="n">
        <f aca="false">SUM($C$11:C63)</f>
        <v>6.54320987654321</v>
      </c>
      <c r="F63" s="51" t="n">
        <f aca="false">SUM($D$11:D63)</f>
        <v>0</v>
      </c>
      <c r="G63" s="53" t="str">
        <f aca="false">IF(COUNT($D$11:D63)=0,"",F63/E63)</f>
        <v/>
      </c>
      <c r="H63" s="13" t="str">
        <f aca="false">IF(G63="","",IF(G63&gt;=0.95,"En meta",IF(G63&gt;=0.8,"Riesgo","Atrasado")))</f>
        <v/>
      </c>
      <c r="I63" s="54"/>
      <c r="J63" s="55" t="str">
        <f aca="false">IF(I63="","",IF($I$9="","",IF($I$9=0,"",I63/$I$9)))</f>
        <v/>
      </c>
      <c r="K63" s="54"/>
      <c r="L63" s="55" t="str">
        <f aca="false">IF(K63="","",IF($K$9="","",IF($K$9=0,"",K63/$K$9)))</f>
        <v/>
      </c>
      <c r="M63" s="54"/>
      <c r="N63" s="55" t="str">
        <f aca="false">IF(M63="","",IF($M$9="","",IF($M$9=0,"",M63/$M$9)))</f>
        <v/>
      </c>
      <c r="O63" s="54"/>
      <c r="P63" s="55" t="str">
        <f aca="false">IF(O63="","",IF($O$9="","",IF($O$9=0,"",O63/$O$9)))</f>
        <v/>
      </c>
      <c r="Q63" s="54"/>
      <c r="R63" s="55" t="str">
        <f aca="false">IF(Q63="","",IF($Q$9="","",IF($Q$9=0,"",Q63/$Q$9)))</f>
        <v/>
      </c>
      <c r="S63" s="54"/>
      <c r="T63" s="55" t="str">
        <f aca="false">IF(S63="","",IF($S$9="","",IF($S$9=0,"",S63/$S$9)))</f>
        <v/>
      </c>
      <c r="U63" s="56"/>
      <c r="V63" s="55" t="str">
        <f aca="false">IF(U63="","",IF($U$9="","",IF($U$9=0,"",U63/$U$9)))</f>
        <v/>
      </c>
      <c r="W63" s="54"/>
      <c r="X63" s="55" t="str">
        <f aca="false">IF(W63="","",IF($W$9="","",IF($W$9=0,"",W63/$W$9)))</f>
        <v/>
      </c>
    </row>
    <row r="64" customFormat="false" ht="15" hidden="false" customHeight="false" outlineLevel="0" collapsed="false">
      <c r="A64" s="28" t="n">
        <v>54</v>
      </c>
      <c r="B64" s="57" t="n">
        <v>46559</v>
      </c>
      <c r="C64" s="58" t="n">
        <f aca="false">$B$5/$B$8</f>
        <v>0.123456790123457</v>
      </c>
      <c r="D64" s="52"/>
      <c r="E64" s="58" t="n">
        <f aca="false">SUM($C$11:C64)</f>
        <v>6.66666666666667</v>
      </c>
      <c r="F64" s="58" t="n">
        <f aca="false">SUM($D$11:D64)</f>
        <v>0</v>
      </c>
      <c r="G64" s="59" t="str">
        <f aca="false">IF(COUNT($D$11:D64)=0,"",F64/E64)</f>
        <v/>
      </c>
      <c r="H64" s="14" t="str">
        <f aca="false">IF(G64="","",IF(G64&gt;=0.95,"En meta",IF(G64&gt;=0.8,"Riesgo","Atrasado")))</f>
        <v/>
      </c>
      <c r="I64" s="54"/>
      <c r="J64" s="60" t="str">
        <f aca="false">IF(I64="","",IF($I$9="","",IF($I$9=0,"",I64/$I$9)))</f>
        <v/>
      </c>
      <c r="K64" s="54"/>
      <c r="L64" s="60" t="str">
        <f aca="false">IF(K64="","",IF($K$9="","",IF($K$9=0,"",K64/$K$9)))</f>
        <v/>
      </c>
      <c r="M64" s="54"/>
      <c r="N64" s="60" t="str">
        <f aca="false">IF(M64="","",IF($M$9="","",IF($M$9=0,"",M64/$M$9)))</f>
        <v/>
      </c>
      <c r="O64" s="54"/>
      <c r="P64" s="60" t="str">
        <f aca="false">IF(O64="","",IF($O$9="","",IF($O$9=0,"",O64/$O$9)))</f>
        <v/>
      </c>
      <c r="Q64" s="54"/>
      <c r="R64" s="60" t="str">
        <f aca="false">IF(Q64="","",IF($Q$9="","",IF($Q$9=0,"",Q64/$Q$9)))</f>
        <v/>
      </c>
      <c r="S64" s="54"/>
      <c r="T64" s="60" t="str">
        <f aca="false">IF(S64="","",IF($S$9="","",IF($S$9=0,"",S64/$S$9)))</f>
        <v/>
      </c>
      <c r="U64" s="56"/>
      <c r="V64" s="60" t="str">
        <f aca="false">IF(U64="","",IF($U$9="","",IF($U$9=0,"",U64/$U$9)))</f>
        <v/>
      </c>
      <c r="W64" s="54"/>
      <c r="X64" s="60" t="str">
        <f aca="false">IF(W64="","",IF($W$9="","",IF($W$9=0,"",W64/$W$9)))</f>
        <v/>
      </c>
    </row>
    <row r="65" customFormat="false" ht="15" hidden="false" customHeight="false" outlineLevel="0" collapsed="false">
      <c r="A65" s="5" t="n">
        <v>55</v>
      </c>
      <c r="B65" s="50" t="n">
        <v>46566</v>
      </c>
      <c r="C65" s="51" t="n">
        <f aca="false">$B$5/$B$8</f>
        <v>0.123456790123457</v>
      </c>
      <c r="D65" s="52"/>
      <c r="E65" s="51" t="n">
        <f aca="false">SUM($C$11:C65)</f>
        <v>6.79012345679012</v>
      </c>
      <c r="F65" s="51" t="n">
        <f aca="false">SUM($D$11:D65)</f>
        <v>0</v>
      </c>
      <c r="G65" s="53" t="str">
        <f aca="false">IF(COUNT($D$11:D65)=0,"",F65/E65)</f>
        <v/>
      </c>
      <c r="H65" s="13" t="str">
        <f aca="false">IF(G65="","",IF(G65&gt;=0.95,"En meta",IF(G65&gt;=0.8,"Riesgo","Atrasado")))</f>
        <v/>
      </c>
      <c r="I65" s="54"/>
      <c r="J65" s="55" t="str">
        <f aca="false">IF(I65="","",IF($I$9="","",IF($I$9=0,"",I65/$I$9)))</f>
        <v/>
      </c>
      <c r="K65" s="54"/>
      <c r="L65" s="55" t="str">
        <f aca="false">IF(K65="","",IF($K$9="","",IF($K$9=0,"",K65/$K$9)))</f>
        <v/>
      </c>
      <c r="M65" s="54"/>
      <c r="N65" s="55" t="str">
        <f aca="false">IF(M65="","",IF($M$9="","",IF($M$9=0,"",M65/$M$9)))</f>
        <v/>
      </c>
      <c r="O65" s="54"/>
      <c r="P65" s="55" t="str">
        <f aca="false">IF(O65="","",IF($O$9="","",IF($O$9=0,"",O65/$O$9)))</f>
        <v/>
      </c>
      <c r="Q65" s="54"/>
      <c r="R65" s="55" t="str">
        <f aca="false">IF(Q65="","",IF($Q$9="","",IF($Q$9=0,"",Q65/$Q$9)))</f>
        <v/>
      </c>
      <c r="S65" s="54"/>
      <c r="T65" s="55" t="str">
        <f aca="false">IF(S65="","",IF($S$9="","",IF($S$9=0,"",S65/$S$9)))</f>
        <v/>
      </c>
      <c r="U65" s="56"/>
      <c r="V65" s="55" t="str">
        <f aca="false">IF(U65="","",IF($U$9="","",IF($U$9=0,"",U65/$U$9)))</f>
        <v/>
      </c>
      <c r="W65" s="54"/>
      <c r="X65" s="55" t="str">
        <f aca="false">IF(W65="","",IF($W$9="","",IF($W$9=0,"",W65/$W$9)))</f>
        <v/>
      </c>
    </row>
    <row r="66" customFormat="false" ht="15" hidden="false" customHeight="false" outlineLevel="0" collapsed="false">
      <c r="A66" s="28" t="n">
        <v>56</v>
      </c>
      <c r="B66" s="57" t="n">
        <v>46573</v>
      </c>
      <c r="C66" s="58" t="n">
        <f aca="false">$B$5/$B$8</f>
        <v>0.123456790123457</v>
      </c>
      <c r="D66" s="52"/>
      <c r="E66" s="58" t="n">
        <f aca="false">SUM($C$11:C66)</f>
        <v>6.91358024691358</v>
      </c>
      <c r="F66" s="58" t="n">
        <f aca="false">SUM($D$11:D66)</f>
        <v>0</v>
      </c>
      <c r="G66" s="59" t="str">
        <f aca="false">IF(COUNT($D$11:D66)=0,"",F66/E66)</f>
        <v/>
      </c>
      <c r="H66" s="14" t="str">
        <f aca="false">IF(G66="","",IF(G66&gt;=0.95,"En meta",IF(G66&gt;=0.8,"Riesgo","Atrasado")))</f>
        <v/>
      </c>
      <c r="I66" s="54"/>
      <c r="J66" s="60" t="str">
        <f aca="false">IF(I66="","",IF($I$9="","",IF($I$9=0,"",I66/$I$9)))</f>
        <v/>
      </c>
      <c r="K66" s="54"/>
      <c r="L66" s="60" t="str">
        <f aca="false">IF(K66="","",IF($K$9="","",IF($K$9=0,"",K66/$K$9)))</f>
        <v/>
      </c>
      <c r="M66" s="54"/>
      <c r="N66" s="60" t="str">
        <f aca="false">IF(M66="","",IF($M$9="","",IF($M$9=0,"",M66/$M$9)))</f>
        <v/>
      </c>
      <c r="O66" s="54"/>
      <c r="P66" s="60" t="str">
        <f aca="false">IF(O66="","",IF($O$9="","",IF($O$9=0,"",O66/$O$9)))</f>
        <v/>
      </c>
      <c r="Q66" s="54"/>
      <c r="R66" s="60" t="str">
        <f aca="false">IF(Q66="","",IF($Q$9="","",IF($Q$9=0,"",Q66/$Q$9)))</f>
        <v/>
      </c>
      <c r="S66" s="54"/>
      <c r="T66" s="60" t="str">
        <f aca="false">IF(S66="","",IF($S$9="","",IF($S$9=0,"",S66/$S$9)))</f>
        <v/>
      </c>
      <c r="U66" s="56"/>
      <c r="V66" s="60" t="str">
        <f aca="false">IF(U66="","",IF($U$9="","",IF($U$9=0,"",U66/$U$9)))</f>
        <v/>
      </c>
      <c r="W66" s="54"/>
      <c r="X66" s="60" t="str">
        <f aca="false">IF(W66="","",IF($W$9="","",IF($W$9=0,"",W66/$W$9)))</f>
        <v/>
      </c>
    </row>
    <row r="67" customFormat="false" ht="15" hidden="false" customHeight="false" outlineLevel="0" collapsed="false">
      <c r="A67" s="5" t="n">
        <v>57</v>
      </c>
      <c r="B67" s="50" t="n">
        <v>46580</v>
      </c>
      <c r="C67" s="51" t="n">
        <f aca="false">$B$5/$B$8</f>
        <v>0.123456790123457</v>
      </c>
      <c r="D67" s="52"/>
      <c r="E67" s="51" t="n">
        <f aca="false">SUM($C$11:C67)</f>
        <v>7.03703703703704</v>
      </c>
      <c r="F67" s="51" t="n">
        <f aca="false">SUM($D$11:D67)</f>
        <v>0</v>
      </c>
      <c r="G67" s="53" t="str">
        <f aca="false">IF(COUNT($D$11:D67)=0,"",F67/E67)</f>
        <v/>
      </c>
      <c r="H67" s="13" t="str">
        <f aca="false">IF(G67="","",IF(G67&gt;=0.95,"En meta",IF(G67&gt;=0.8,"Riesgo","Atrasado")))</f>
        <v/>
      </c>
      <c r="I67" s="54"/>
      <c r="J67" s="55" t="str">
        <f aca="false">IF(I67="","",IF($I$9="","",IF($I$9=0,"",I67/$I$9)))</f>
        <v/>
      </c>
      <c r="K67" s="54"/>
      <c r="L67" s="55" t="str">
        <f aca="false">IF(K67="","",IF($K$9="","",IF($K$9=0,"",K67/$K$9)))</f>
        <v/>
      </c>
      <c r="M67" s="54"/>
      <c r="N67" s="55" t="str">
        <f aca="false">IF(M67="","",IF($M$9="","",IF($M$9=0,"",M67/$M$9)))</f>
        <v/>
      </c>
      <c r="O67" s="54"/>
      <c r="P67" s="55" t="str">
        <f aca="false">IF(O67="","",IF($O$9="","",IF($O$9=0,"",O67/$O$9)))</f>
        <v/>
      </c>
      <c r="Q67" s="54"/>
      <c r="R67" s="55" t="str">
        <f aca="false">IF(Q67="","",IF($Q$9="","",IF($Q$9=0,"",Q67/$Q$9)))</f>
        <v/>
      </c>
      <c r="S67" s="54"/>
      <c r="T67" s="55" t="str">
        <f aca="false">IF(S67="","",IF($S$9="","",IF($S$9=0,"",S67/$S$9)))</f>
        <v/>
      </c>
      <c r="U67" s="56"/>
      <c r="V67" s="55" t="str">
        <f aca="false">IF(U67="","",IF($U$9="","",IF($U$9=0,"",U67/$U$9)))</f>
        <v/>
      </c>
      <c r="W67" s="54"/>
      <c r="X67" s="55" t="str">
        <f aca="false">IF(W67="","",IF($W$9="","",IF($W$9=0,"",W67/$W$9)))</f>
        <v/>
      </c>
    </row>
    <row r="68" customFormat="false" ht="15" hidden="false" customHeight="false" outlineLevel="0" collapsed="false">
      <c r="A68" s="28" t="n">
        <v>58</v>
      </c>
      <c r="B68" s="57" t="n">
        <v>46587</v>
      </c>
      <c r="C68" s="58" t="n">
        <f aca="false">$B$5/$B$8</f>
        <v>0.123456790123457</v>
      </c>
      <c r="D68" s="52"/>
      <c r="E68" s="58" t="n">
        <f aca="false">SUM($C$11:C68)</f>
        <v>7.16049382716049</v>
      </c>
      <c r="F68" s="58" t="n">
        <f aca="false">SUM($D$11:D68)</f>
        <v>0</v>
      </c>
      <c r="G68" s="59" t="str">
        <f aca="false">IF(COUNT($D$11:D68)=0,"",F68/E68)</f>
        <v/>
      </c>
      <c r="H68" s="14" t="str">
        <f aca="false">IF(G68="","",IF(G68&gt;=0.95,"En meta",IF(G68&gt;=0.8,"Riesgo","Atrasado")))</f>
        <v/>
      </c>
      <c r="I68" s="54"/>
      <c r="J68" s="60" t="str">
        <f aca="false">IF(I68="","",IF($I$9="","",IF($I$9=0,"",I68/$I$9)))</f>
        <v/>
      </c>
      <c r="K68" s="54"/>
      <c r="L68" s="60" t="str">
        <f aca="false">IF(K68="","",IF($K$9="","",IF($K$9=0,"",K68/$K$9)))</f>
        <v/>
      </c>
      <c r="M68" s="54"/>
      <c r="N68" s="60" t="str">
        <f aca="false">IF(M68="","",IF($M$9="","",IF($M$9=0,"",M68/$M$9)))</f>
        <v/>
      </c>
      <c r="O68" s="54"/>
      <c r="P68" s="60" t="str">
        <f aca="false">IF(O68="","",IF($O$9="","",IF($O$9=0,"",O68/$O$9)))</f>
        <v/>
      </c>
      <c r="Q68" s="54"/>
      <c r="R68" s="60" t="str">
        <f aca="false">IF(Q68="","",IF($Q$9="","",IF($Q$9=0,"",Q68/$Q$9)))</f>
        <v/>
      </c>
      <c r="S68" s="54"/>
      <c r="T68" s="60" t="str">
        <f aca="false">IF(S68="","",IF($S$9="","",IF($S$9=0,"",S68/$S$9)))</f>
        <v/>
      </c>
      <c r="U68" s="56"/>
      <c r="V68" s="60" t="str">
        <f aca="false">IF(U68="","",IF($U$9="","",IF($U$9=0,"",U68/$U$9)))</f>
        <v/>
      </c>
      <c r="W68" s="54"/>
      <c r="X68" s="60" t="str">
        <f aca="false">IF(W68="","",IF($W$9="","",IF($W$9=0,"",W68/$W$9)))</f>
        <v/>
      </c>
    </row>
    <row r="69" customFormat="false" ht="15" hidden="false" customHeight="false" outlineLevel="0" collapsed="false">
      <c r="A69" s="5" t="n">
        <v>59</v>
      </c>
      <c r="B69" s="50" t="n">
        <v>46594</v>
      </c>
      <c r="C69" s="51" t="n">
        <f aca="false">$B$5/$B$8</f>
        <v>0.123456790123457</v>
      </c>
      <c r="D69" s="52"/>
      <c r="E69" s="51" t="n">
        <f aca="false">SUM($C$11:C69)</f>
        <v>7.28395061728395</v>
      </c>
      <c r="F69" s="51" t="n">
        <f aca="false">SUM($D$11:D69)</f>
        <v>0</v>
      </c>
      <c r="G69" s="53" t="str">
        <f aca="false">IF(COUNT($D$11:D69)=0,"",F69/E69)</f>
        <v/>
      </c>
      <c r="H69" s="13" t="str">
        <f aca="false">IF(G69="","",IF(G69&gt;=0.95,"En meta",IF(G69&gt;=0.8,"Riesgo","Atrasado")))</f>
        <v/>
      </c>
      <c r="I69" s="54"/>
      <c r="J69" s="55" t="str">
        <f aca="false">IF(I69="","",IF($I$9="","",IF($I$9=0,"",I69/$I$9)))</f>
        <v/>
      </c>
      <c r="K69" s="54"/>
      <c r="L69" s="55" t="str">
        <f aca="false">IF(K69="","",IF($K$9="","",IF($K$9=0,"",K69/$K$9)))</f>
        <v/>
      </c>
      <c r="M69" s="54"/>
      <c r="N69" s="55" t="str">
        <f aca="false">IF(M69="","",IF($M$9="","",IF($M$9=0,"",M69/$M$9)))</f>
        <v/>
      </c>
      <c r="O69" s="54"/>
      <c r="P69" s="55" t="str">
        <f aca="false">IF(O69="","",IF($O$9="","",IF($O$9=0,"",O69/$O$9)))</f>
        <v/>
      </c>
      <c r="Q69" s="54"/>
      <c r="R69" s="55" t="str">
        <f aca="false">IF(Q69="","",IF($Q$9="","",IF($Q$9=0,"",Q69/$Q$9)))</f>
        <v/>
      </c>
      <c r="S69" s="54"/>
      <c r="T69" s="55" t="str">
        <f aca="false">IF(S69="","",IF($S$9="","",IF($S$9=0,"",S69/$S$9)))</f>
        <v/>
      </c>
      <c r="U69" s="56"/>
      <c r="V69" s="55" t="str">
        <f aca="false">IF(U69="","",IF($U$9="","",IF($U$9=0,"",U69/$U$9)))</f>
        <v/>
      </c>
      <c r="W69" s="54"/>
      <c r="X69" s="55" t="str">
        <f aca="false">IF(W69="","",IF($W$9="","",IF($W$9=0,"",W69/$W$9)))</f>
        <v/>
      </c>
    </row>
    <row r="70" customFormat="false" ht="15" hidden="false" customHeight="false" outlineLevel="0" collapsed="false">
      <c r="A70" s="28" t="n">
        <v>60</v>
      </c>
      <c r="B70" s="57" t="n">
        <v>46601</v>
      </c>
      <c r="C70" s="58" t="n">
        <f aca="false">$B$5/$B$8</f>
        <v>0.123456790123457</v>
      </c>
      <c r="D70" s="52"/>
      <c r="E70" s="58" t="n">
        <f aca="false">SUM($C$11:C70)</f>
        <v>7.40740740740741</v>
      </c>
      <c r="F70" s="58" t="n">
        <f aca="false">SUM($D$11:D70)</f>
        <v>0</v>
      </c>
      <c r="G70" s="59" t="str">
        <f aca="false">IF(COUNT($D$11:D70)=0,"",F70/E70)</f>
        <v/>
      </c>
      <c r="H70" s="14" t="str">
        <f aca="false">IF(G70="","",IF(G70&gt;=0.95,"En meta",IF(G70&gt;=0.8,"Riesgo","Atrasado")))</f>
        <v/>
      </c>
      <c r="I70" s="54"/>
      <c r="J70" s="60" t="str">
        <f aca="false">IF(I70="","",IF($I$9="","",IF($I$9=0,"",I70/$I$9)))</f>
        <v/>
      </c>
      <c r="K70" s="54"/>
      <c r="L70" s="60" t="str">
        <f aca="false">IF(K70="","",IF($K$9="","",IF($K$9=0,"",K70/$K$9)))</f>
        <v/>
      </c>
      <c r="M70" s="54"/>
      <c r="N70" s="60" t="str">
        <f aca="false">IF(M70="","",IF($M$9="","",IF($M$9=0,"",M70/$M$9)))</f>
        <v/>
      </c>
      <c r="O70" s="54"/>
      <c r="P70" s="60" t="str">
        <f aca="false">IF(O70="","",IF($O$9="","",IF($O$9=0,"",O70/$O$9)))</f>
        <v/>
      </c>
      <c r="Q70" s="54"/>
      <c r="R70" s="60" t="str">
        <f aca="false">IF(Q70="","",IF($Q$9="","",IF($Q$9=0,"",Q70/$Q$9)))</f>
        <v/>
      </c>
      <c r="S70" s="54"/>
      <c r="T70" s="60" t="str">
        <f aca="false">IF(S70="","",IF($S$9="","",IF($S$9=0,"",S70/$S$9)))</f>
        <v/>
      </c>
      <c r="U70" s="56"/>
      <c r="V70" s="60" t="str">
        <f aca="false">IF(U70="","",IF($U$9="","",IF($U$9=0,"",U70/$U$9)))</f>
        <v/>
      </c>
      <c r="W70" s="54"/>
      <c r="X70" s="60" t="str">
        <f aca="false">IF(W70="","",IF($W$9="","",IF($W$9=0,"",W70/$W$9)))</f>
        <v/>
      </c>
    </row>
    <row r="71" customFormat="false" ht="15" hidden="false" customHeight="false" outlineLevel="0" collapsed="false">
      <c r="A71" s="5" t="n">
        <v>61</v>
      </c>
      <c r="B71" s="50" t="n">
        <v>46608</v>
      </c>
      <c r="C71" s="51" t="n">
        <f aca="false">$B$5/$B$8</f>
        <v>0.123456790123457</v>
      </c>
      <c r="D71" s="52"/>
      <c r="E71" s="51" t="n">
        <f aca="false">SUM($C$11:C71)</f>
        <v>7.53086419753086</v>
      </c>
      <c r="F71" s="51" t="n">
        <f aca="false">SUM($D$11:D71)</f>
        <v>0</v>
      </c>
      <c r="G71" s="53" t="str">
        <f aca="false">IF(COUNT($D$11:D71)=0,"",F71/E71)</f>
        <v/>
      </c>
      <c r="H71" s="13" t="str">
        <f aca="false">IF(G71="","",IF(G71&gt;=0.95,"En meta",IF(G71&gt;=0.8,"Riesgo","Atrasado")))</f>
        <v/>
      </c>
      <c r="I71" s="54"/>
      <c r="J71" s="55" t="str">
        <f aca="false">IF(I71="","",IF($I$9="","",IF($I$9=0,"",I71/$I$9)))</f>
        <v/>
      </c>
      <c r="K71" s="54"/>
      <c r="L71" s="55" t="str">
        <f aca="false">IF(K71="","",IF($K$9="","",IF($K$9=0,"",K71/$K$9)))</f>
        <v/>
      </c>
      <c r="M71" s="54"/>
      <c r="N71" s="55" t="str">
        <f aca="false">IF(M71="","",IF($M$9="","",IF($M$9=0,"",M71/$M$9)))</f>
        <v/>
      </c>
      <c r="O71" s="54"/>
      <c r="P71" s="55" t="str">
        <f aca="false">IF(O71="","",IF($O$9="","",IF($O$9=0,"",O71/$O$9)))</f>
        <v/>
      </c>
      <c r="Q71" s="54"/>
      <c r="R71" s="55" t="str">
        <f aca="false">IF(Q71="","",IF($Q$9="","",IF($Q$9=0,"",Q71/$Q$9)))</f>
        <v/>
      </c>
      <c r="S71" s="54"/>
      <c r="T71" s="55" t="str">
        <f aca="false">IF(S71="","",IF($S$9="","",IF($S$9=0,"",S71/$S$9)))</f>
        <v/>
      </c>
      <c r="U71" s="56"/>
      <c r="V71" s="55" t="str">
        <f aca="false">IF(U71="","",IF($U$9="","",IF($U$9=0,"",U71/$U$9)))</f>
        <v/>
      </c>
      <c r="W71" s="54"/>
      <c r="X71" s="55" t="str">
        <f aca="false">IF(W71="","",IF($W$9="","",IF($W$9=0,"",W71/$W$9)))</f>
        <v/>
      </c>
    </row>
    <row r="72" customFormat="false" ht="15" hidden="false" customHeight="false" outlineLevel="0" collapsed="false">
      <c r="A72" s="28" t="n">
        <v>62</v>
      </c>
      <c r="B72" s="57" t="n">
        <v>46615</v>
      </c>
      <c r="C72" s="58" t="n">
        <f aca="false">$B$5/$B$8</f>
        <v>0.123456790123457</v>
      </c>
      <c r="D72" s="52"/>
      <c r="E72" s="58" t="n">
        <f aca="false">SUM($C$11:C72)</f>
        <v>7.65432098765432</v>
      </c>
      <c r="F72" s="58" t="n">
        <f aca="false">SUM($D$11:D72)</f>
        <v>0</v>
      </c>
      <c r="G72" s="59" t="str">
        <f aca="false">IF(COUNT($D$11:D72)=0,"",F72/E72)</f>
        <v/>
      </c>
      <c r="H72" s="14" t="str">
        <f aca="false">IF(G72="","",IF(G72&gt;=0.95,"En meta",IF(G72&gt;=0.8,"Riesgo","Atrasado")))</f>
        <v/>
      </c>
      <c r="I72" s="54"/>
      <c r="J72" s="60" t="str">
        <f aca="false">IF(I72="","",IF($I$9="","",IF($I$9=0,"",I72/$I$9)))</f>
        <v/>
      </c>
      <c r="K72" s="54"/>
      <c r="L72" s="60" t="str">
        <f aca="false">IF(K72="","",IF($K$9="","",IF($K$9=0,"",K72/$K$9)))</f>
        <v/>
      </c>
      <c r="M72" s="54"/>
      <c r="N72" s="60" t="str">
        <f aca="false">IF(M72="","",IF($M$9="","",IF($M$9=0,"",M72/$M$9)))</f>
        <v/>
      </c>
      <c r="O72" s="54"/>
      <c r="P72" s="60" t="str">
        <f aca="false">IF(O72="","",IF($O$9="","",IF($O$9=0,"",O72/$O$9)))</f>
        <v/>
      </c>
      <c r="Q72" s="54"/>
      <c r="R72" s="60" t="str">
        <f aca="false">IF(Q72="","",IF($Q$9="","",IF($Q$9=0,"",Q72/$Q$9)))</f>
        <v/>
      </c>
      <c r="S72" s="54"/>
      <c r="T72" s="60" t="str">
        <f aca="false">IF(S72="","",IF($S$9="","",IF($S$9=0,"",S72/$S$9)))</f>
        <v/>
      </c>
      <c r="U72" s="56"/>
      <c r="V72" s="60" t="str">
        <f aca="false">IF(U72="","",IF($U$9="","",IF($U$9=0,"",U72/$U$9)))</f>
        <v/>
      </c>
      <c r="W72" s="54"/>
      <c r="X72" s="60" t="str">
        <f aca="false">IF(W72="","",IF($W$9="","",IF($W$9=0,"",W72/$W$9)))</f>
        <v/>
      </c>
    </row>
    <row r="73" customFormat="false" ht="15" hidden="false" customHeight="false" outlineLevel="0" collapsed="false">
      <c r="A73" s="5" t="n">
        <v>63</v>
      </c>
      <c r="B73" s="50" t="n">
        <v>46622</v>
      </c>
      <c r="C73" s="51" t="n">
        <f aca="false">$B$5/$B$8</f>
        <v>0.123456790123457</v>
      </c>
      <c r="D73" s="52"/>
      <c r="E73" s="51" t="n">
        <f aca="false">SUM($C$11:C73)</f>
        <v>7.77777777777778</v>
      </c>
      <c r="F73" s="51" t="n">
        <f aca="false">SUM($D$11:D73)</f>
        <v>0</v>
      </c>
      <c r="G73" s="53" t="str">
        <f aca="false">IF(COUNT($D$11:D73)=0,"",F73/E73)</f>
        <v/>
      </c>
      <c r="H73" s="13" t="str">
        <f aca="false">IF(G73="","",IF(G73&gt;=0.95,"En meta",IF(G73&gt;=0.8,"Riesgo","Atrasado")))</f>
        <v/>
      </c>
      <c r="I73" s="54"/>
      <c r="J73" s="55" t="str">
        <f aca="false">IF(I73="","",IF($I$9="","",IF($I$9=0,"",I73/$I$9)))</f>
        <v/>
      </c>
      <c r="K73" s="54"/>
      <c r="L73" s="55" t="str">
        <f aca="false">IF(K73="","",IF($K$9="","",IF($K$9=0,"",K73/$K$9)))</f>
        <v/>
      </c>
      <c r="M73" s="54"/>
      <c r="N73" s="55" t="str">
        <f aca="false">IF(M73="","",IF($M$9="","",IF($M$9=0,"",M73/$M$9)))</f>
        <v/>
      </c>
      <c r="O73" s="54"/>
      <c r="P73" s="55" t="str">
        <f aca="false">IF(O73="","",IF($O$9="","",IF($O$9=0,"",O73/$O$9)))</f>
        <v/>
      </c>
      <c r="Q73" s="54"/>
      <c r="R73" s="55" t="str">
        <f aca="false">IF(Q73="","",IF($Q$9="","",IF($Q$9=0,"",Q73/$Q$9)))</f>
        <v/>
      </c>
      <c r="S73" s="54"/>
      <c r="T73" s="55" t="str">
        <f aca="false">IF(S73="","",IF($S$9="","",IF($S$9=0,"",S73/$S$9)))</f>
        <v/>
      </c>
      <c r="U73" s="56"/>
      <c r="V73" s="55" t="str">
        <f aca="false">IF(U73="","",IF($U$9="","",IF($U$9=0,"",U73/$U$9)))</f>
        <v/>
      </c>
      <c r="W73" s="54"/>
      <c r="X73" s="55" t="str">
        <f aca="false">IF(W73="","",IF($W$9="","",IF($W$9=0,"",W73/$W$9)))</f>
        <v/>
      </c>
    </row>
    <row r="74" customFormat="false" ht="15" hidden="false" customHeight="false" outlineLevel="0" collapsed="false">
      <c r="A74" s="28" t="n">
        <v>64</v>
      </c>
      <c r="B74" s="57" t="n">
        <v>46629</v>
      </c>
      <c r="C74" s="58" t="n">
        <f aca="false">$B$5/$B$8</f>
        <v>0.123456790123457</v>
      </c>
      <c r="D74" s="52"/>
      <c r="E74" s="58" t="n">
        <f aca="false">SUM($C$11:C74)</f>
        <v>7.90123456790123</v>
      </c>
      <c r="F74" s="58" t="n">
        <f aca="false">SUM($D$11:D74)</f>
        <v>0</v>
      </c>
      <c r="G74" s="59" t="str">
        <f aca="false">IF(COUNT($D$11:D74)=0,"",F74/E74)</f>
        <v/>
      </c>
      <c r="H74" s="14" t="str">
        <f aca="false">IF(G74="","",IF(G74&gt;=0.95,"En meta",IF(G74&gt;=0.8,"Riesgo","Atrasado")))</f>
        <v/>
      </c>
      <c r="I74" s="54"/>
      <c r="J74" s="60" t="str">
        <f aca="false">IF(I74="","",IF($I$9="","",IF($I$9=0,"",I74/$I$9)))</f>
        <v/>
      </c>
      <c r="K74" s="54"/>
      <c r="L74" s="60" t="str">
        <f aca="false">IF(K74="","",IF($K$9="","",IF($K$9=0,"",K74/$K$9)))</f>
        <v/>
      </c>
      <c r="M74" s="54"/>
      <c r="N74" s="60" t="str">
        <f aca="false">IF(M74="","",IF($M$9="","",IF($M$9=0,"",M74/$M$9)))</f>
        <v/>
      </c>
      <c r="O74" s="54"/>
      <c r="P74" s="60" t="str">
        <f aca="false">IF(O74="","",IF($O$9="","",IF($O$9=0,"",O74/$O$9)))</f>
        <v/>
      </c>
      <c r="Q74" s="54"/>
      <c r="R74" s="60" t="str">
        <f aca="false">IF(Q74="","",IF($Q$9="","",IF($Q$9=0,"",Q74/$Q$9)))</f>
        <v/>
      </c>
      <c r="S74" s="54"/>
      <c r="T74" s="60" t="str">
        <f aca="false">IF(S74="","",IF($S$9="","",IF($S$9=0,"",S74/$S$9)))</f>
        <v/>
      </c>
      <c r="U74" s="56"/>
      <c r="V74" s="60" t="str">
        <f aca="false">IF(U74="","",IF($U$9="","",IF($U$9=0,"",U74/$U$9)))</f>
        <v/>
      </c>
      <c r="W74" s="54"/>
      <c r="X74" s="60" t="str">
        <f aca="false">IF(W74="","",IF($W$9="","",IF($W$9=0,"",W74/$W$9)))</f>
        <v/>
      </c>
    </row>
    <row r="75" customFormat="false" ht="15" hidden="false" customHeight="false" outlineLevel="0" collapsed="false">
      <c r="A75" s="5" t="n">
        <v>65</v>
      </c>
      <c r="B75" s="50" t="n">
        <v>46636</v>
      </c>
      <c r="C75" s="51" t="n">
        <f aca="false">$B$5/$B$8</f>
        <v>0.123456790123457</v>
      </c>
      <c r="D75" s="52"/>
      <c r="E75" s="51" t="n">
        <f aca="false">SUM($C$11:C75)</f>
        <v>8.02469135802469</v>
      </c>
      <c r="F75" s="51" t="n">
        <f aca="false">SUM($D$11:D75)</f>
        <v>0</v>
      </c>
      <c r="G75" s="53" t="str">
        <f aca="false">IF(COUNT($D$11:D75)=0,"",F75/E75)</f>
        <v/>
      </c>
      <c r="H75" s="13" t="str">
        <f aca="false">IF(G75="","",IF(G75&gt;=0.95,"En meta",IF(G75&gt;=0.8,"Riesgo","Atrasado")))</f>
        <v/>
      </c>
      <c r="I75" s="54"/>
      <c r="J75" s="55" t="str">
        <f aca="false">IF(I75="","",IF($I$9="","",IF($I$9=0,"",I75/$I$9)))</f>
        <v/>
      </c>
      <c r="K75" s="54"/>
      <c r="L75" s="55" t="str">
        <f aca="false">IF(K75="","",IF($K$9="","",IF($K$9=0,"",K75/$K$9)))</f>
        <v/>
      </c>
      <c r="M75" s="54"/>
      <c r="N75" s="55" t="str">
        <f aca="false">IF(M75="","",IF($M$9="","",IF($M$9=0,"",M75/$M$9)))</f>
        <v/>
      </c>
      <c r="O75" s="54"/>
      <c r="P75" s="55" t="str">
        <f aca="false">IF(O75="","",IF($O$9="","",IF($O$9=0,"",O75/$O$9)))</f>
        <v/>
      </c>
      <c r="Q75" s="54"/>
      <c r="R75" s="55" t="str">
        <f aca="false">IF(Q75="","",IF($Q$9="","",IF($Q$9=0,"",Q75/$Q$9)))</f>
        <v/>
      </c>
      <c r="S75" s="54"/>
      <c r="T75" s="55" t="str">
        <f aca="false">IF(S75="","",IF($S$9="","",IF($S$9=0,"",S75/$S$9)))</f>
        <v/>
      </c>
      <c r="U75" s="56"/>
      <c r="V75" s="55" t="str">
        <f aca="false">IF(U75="","",IF($U$9="","",IF($U$9=0,"",U75/$U$9)))</f>
        <v/>
      </c>
      <c r="W75" s="54"/>
      <c r="X75" s="55" t="str">
        <f aca="false">IF(W75="","",IF($W$9="","",IF($W$9=0,"",W75/$W$9)))</f>
        <v/>
      </c>
    </row>
    <row r="76" customFormat="false" ht="15" hidden="false" customHeight="false" outlineLevel="0" collapsed="false">
      <c r="A76" s="28" t="n">
        <v>66</v>
      </c>
      <c r="B76" s="57" t="n">
        <v>46643</v>
      </c>
      <c r="C76" s="58" t="n">
        <f aca="false">$B$5/$B$8</f>
        <v>0.123456790123457</v>
      </c>
      <c r="D76" s="52"/>
      <c r="E76" s="58" t="n">
        <f aca="false">SUM($C$11:C76)</f>
        <v>8.14814814814815</v>
      </c>
      <c r="F76" s="58" t="n">
        <f aca="false">SUM($D$11:D76)</f>
        <v>0</v>
      </c>
      <c r="G76" s="59" t="str">
        <f aca="false">IF(COUNT($D$11:D76)=0,"",F76/E76)</f>
        <v/>
      </c>
      <c r="H76" s="14" t="str">
        <f aca="false">IF(G76="","",IF(G76&gt;=0.95,"En meta",IF(G76&gt;=0.8,"Riesgo","Atrasado")))</f>
        <v/>
      </c>
      <c r="I76" s="54"/>
      <c r="J76" s="60" t="str">
        <f aca="false">IF(I76="","",IF($I$9="","",IF($I$9=0,"",I76/$I$9)))</f>
        <v/>
      </c>
      <c r="K76" s="54"/>
      <c r="L76" s="60" t="str">
        <f aca="false">IF(K76="","",IF($K$9="","",IF($K$9=0,"",K76/$K$9)))</f>
        <v/>
      </c>
      <c r="M76" s="54"/>
      <c r="N76" s="60" t="str">
        <f aca="false">IF(M76="","",IF($M$9="","",IF($M$9=0,"",M76/$M$9)))</f>
        <v/>
      </c>
      <c r="O76" s="54"/>
      <c r="P76" s="60" t="str">
        <f aca="false">IF(O76="","",IF($O$9="","",IF($O$9=0,"",O76/$O$9)))</f>
        <v/>
      </c>
      <c r="Q76" s="54"/>
      <c r="R76" s="60" t="str">
        <f aca="false">IF(Q76="","",IF($Q$9="","",IF($Q$9=0,"",Q76/$Q$9)))</f>
        <v/>
      </c>
      <c r="S76" s="54"/>
      <c r="T76" s="60" t="str">
        <f aca="false">IF(S76="","",IF($S$9="","",IF($S$9=0,"",S76/$S$9)))</f>
        <v/>
      </c>
      <c r="U76" s="56"/>
      <c r="V76" s="60" t="str">
        <f aca="false">IF(U76="","",IF($U$9="","",IF($U$9=0,"",U76/$U$9)))</f>
        <v/>
      </c>
      <c r="W76" s="54"/>
      <c r="X76" s="60" t="str">
        <f aca="false">IF(W76="","",IF($W$9="","",IF($W$9=0,"",W76/$W$9)))</f>
        <v/>
      </c>
    </row>
    <row r="77" customFormat="false" ht="15" hidden="false" customHeight="false" outlineLevel="0" collapsed="false">
      <c r="A77" s="5" t="n">
        <v>67</v>
      </c>
      <c r="B77" s="50" t="n">
        <v>46650</v>
      </c>
      <c r="C77" s="51" t="n">
        <f aca="false">$B$5/$B$8</f>
        <v>0.123456790123457</v>
      </c>
      <c r="D77" s="52"/>
      <c r="E77" s="51" t="n">
        <f aca="false">SUM($C$11:C77)</f>
        <v>8.2716049382716</v>
      </c>
      <c r="F77" s="51" t="n">
        <f aca="false">SUM($D$11:D77)</f>
        <v>0</v>
      </c>
      <c r="G77" s="53" t="str">
        <f aca="false">IF(COUNT($D$11:D77)=0,"",F77/E77)</f>
        <v/>
      </c>
      <c r="H77" s="13" t="str">
        <f aca="false">IF(G77="","",IF(G77&gt;=0.95,"En meta",IF(G77&gt;=0.8,"Riesgo","Atrasado")))</f>
        <v/>
      </c>
      <c r="I77" s="54"/>
      <c r="J77" s="55" t="str">
        <f aca="false">IF(I77="","",IF($I$9="","",IF($I$9=0,"",I77/$I$9)))</f>
        <v/>
      </c>
      <c r="K77" s="54"/>
      <c r="L77" s="55" t="str">
        <f aca="false">IF(K77="","",IF($K$9="","",IF($K$9=0,"",K77/$K$9)))</f>
        <v/>
      </c>
      <c r="M77" s="54"/>
      <c r="N77" s="55" t="str">
        <f aca="false">IF(M77="","",IF($M$9="","",IF($M$9=0,"",M77/$M$9)))</f>
        <v/>
      </c>
      <c r="O77" s="54"/>
      <c r="P77" s="55" t="str">
        <f aca="false">IF(O77="","",IF($O$9="","",IF($O$9=0,"",O77/$O$9)))</f>
        <v/>
      </c>
      <c r="Q77" s="54"/>
      <c r="R77" s="55" t="str">
        <f aca="false">IF(Q77="","",IF($Q$9="","",IF($Q$9=0,"",Q77/$Q$9)))</f>
        <v/>
      </c>
      <c r="S77" s="54"/>
      <c r="T77" s="55" t="str">
        <f aca="false">IF(S77="","",IF($S$9="","",IF($S$9=0,"",S77/$S$9)))</f>
        <v/>
      </c>
      <c r="U77" s="56"/>
      <c r="V77" s="55" t="str">
        <f aca="false">IF(U77="","",IF($U$9="","",IF($U$9=0,"",U77/$U$9)))</f>
        <v/>
      </c>
      <c r="W77" s="54"/>
      <c r="X77" s="55" t="str">
        <f aca="false">IF(W77="","",IF($W$9="","",IF($W$9=0,"",W77/$W$9)))</f>
        <v/>
      </c>
    </row>
    <row r="78" customFormat="false" ht="15" hidden="false" customHeight="false" outlineLevel="0" collapsed="false">
      <c r="A78" s="28" t="n">
        <v>68</v>
      </c>
      <c r="B78" s="57" t="n">
        <v>46657</v>
      </c>
      <c r="C78" s="58" t="n">
        <f aca="false">$B$5/$B$8</f>
        <v>0.123456790123457</v>
      </c>
      <c r="D78" s="52"/>
      <c r="E78" s="58" t="n">
        <f aca="false">SUM($C$11:C78)</f>
        <v>8.39506172839506</v>
      </c>
      <c r="F78" s="58" t="n">
        <f aca="false">SUM($D$11:D78)</f>
        <v>0</v>
      </c>
      <c r="G78" s="59" t="str">
        <f aca="false">IF(COUNT($D$11:D78)=0,"",F78/E78)</f>
        <v/>
      </c>
      <c r="H78" s="14" t="str">
        <f aca="false">IF(G78="","",IF(G78&gt;=0.95,"En meta",IF(G78&gt;=0.8,"Riesgo","Atrasado")))</f>
        <v/>
      </c>
      <c r="I78" s="54"/>
      <c r="J78" s="60" t="str">
        <f aca="false">IF(I78="","",IF($I$9="","",IF($I$9=0,"",I78/$I$9)))</f>
        <v/>
      </c>
      <c r="K78" s="54"/>
      <c r="L78" s="60" t="str">
        <f aca="false">IF(K78="","",IF($K$9="","",IF($K$9=0,"",K78/$K$9)))</f>
        <v/>
      </c>
      <c r="M78" s="54"/>
      <c r="N78" s="60" t="str">
        <f aca="false">IF(M78="","",IF($M$9="","",IF($M$9=0,"",M78/$M$9)))</f>
        <v/>
      </c>
      <c r="O78" s="54"/>
      <c r="P78" s="60" t="str">
        <f aca="false">IF(O78="","",IF($O$9="","",IF($O$9=0,"",O78/$O$9)))</f>
        <v/>
      </c>
      <c r="Q78" s="54"/>
      <c r="R78" s="60" t="str">
        <f aca="false">IF(Q78="","",IF($Q$9="","",IF($Q$9=0,"",Q78/$Q$9)))</f>
        <v/>
      </c>
      <c r="S78" s="54"/>
      <c r="T78" s="60" t="str">
        <f aca="false">IF(S78="","",IF($S$9="","",IF($S$9=0,"",S78/$S$9)))</f>
        <v/>
      </c>
      <c r="U78" s="56"/>
      <c r="V78" s="60" t="str">
        <f aca="false">IF(U78="","",IF($U$9="","",IF($U$9=0,"",U78/$U$9)))</f>
        <v/>
      </c>
      <c r="W78" s="54"/>
      <c r="X78" s="60" t="str">
        <f aca="false">IF(W78="","",IF($W$9="","",IF($W$9=0,"",W78/$W$9)))</f>
        <v/>
      </c>
    </row>
    <row r="79" customFormat="false" ht="15" hidden="false" customHeight="false" outlineLevel="0" collapsed="false">
      <c r="A79" s="5" t="n">
        <v>69</v>
      </c>
      <c r="B79" s="50" t="n">
        <v>46664</v>
      </c>
      <c r="C79" s="51" t="n">
        <f aca="false">$B$5/$B$8</f>
        <v>0.123456790123457</v>
      </c>
      <c r="D79" s="52"/>
      <c r="E79" s="51" t="n">
        <f aca="false">SUM($C$11:C79)</f>
        <v>8.51851851851852</v>
      </c>
      <c r="F79" s="51" t="n">
        <f aca="false">SUM($D$11:D79)</f>
        <v>0</v>
      </c>
      <c r="G79" s="53" t="str">
        <f aca="false">IF(COUNT($D$11:D79)=0,"",F79/E79)</f>
        <v/>
      </c>
      <c r="H79" s="13" t="str">
        <f aca="false">IF(G79="","",IF(G79&gt;=0.95,"En meta",IF(G79&gt;=0.8,"Riesgo","Atrasado")))</f>
        <v/>
      </c>
      <c r="I79" s="54"/>
      <c r="J79" s="55" t="str">
        <f aca="false">IF(I79="","",IF($I$9="","",IF($I$9=0,"",I79/$I$9)))</f>
        <v/>
      </c>
      <c r="K79" s="54"/>
      <c r="L79" s="55" t="str">
        <f aca="false">IF(K79="","",IF($K$9="","",IF($K$9=0,"",K79/$K$9)))</f>
        <v/>
      </c>
      <c r="M79" s="54"/>
      <c r="N79" s="55" t="str">
        <f aca="false">IF(M79="","",IF($M$9="","",IF($M$9=0,"",M79/$M$9)))</f>
        <v/>
      </c>
      <c r="O79" s="54"/>
      <c r="P79" s="55" t="str">
        <f aca="false">IF(O79="","",IF($O$9="","",IF($O$9=0,"",O79/$O$9)))</f>
        <v/>
      </c>
      <c r="Q79" s="54"/>
      <c r="R79" s="55" t="str">
        <f aca="false">IF(Q79="","",IF($Q$9="","",IF($Q$9=0,"",Q79/$Q$9)))</f>
        <v/>
      </c>
      <c r="S79" s="54"/>
      <c r="T79" s="55" t="str">
        <f aca="false">IF(S79="","",IF($S$9="","",IF($S$9=0,"",S79/$S$9)))</f>
        <v/>
      </c>
      <c r="U79" s="56"/>
      <c r="V79" s="55" t="str">
        <f aca="false">IF(U79="","",IF($U$9="","",IF($U$9=0,"",U79/$U$9)))</f>
        <v/>
      </c>
      <c r="W79" s="54"/>
      <c r="X79" s="55" t="str">
        <f aca="false">IF(W79="","",IF($W$9="","",IF($W$9=0,"",W79/$W$9)))</f>
        <v/>
      </c>
    </row>
    <row r="80" customFormat="false" ht="15" hidden="false" customHeight="false" outlineLevel="0" collapsed="false">
      <c r="A80" s="28" t="n">
        <v>70</v>
      </c>
      <c r="B80" s="57" t="n">
        <v>46671</v>
      </c>
      <c r="C80" s="58" t="n">
        <f aca="false">$B$5/$B$8</f>
        <v>0.123456790123457</v>
      </c>
      <c r="D80" s="52"/>
      <c r="E80" s="58" t="n">
        <f aca="false">SUM($C$11:C80)</f>
        <v>8.64197530864198</v>
      </c>
      <c r="F80" s="58" t="n">
        <f aca="false">SUM($D$11:D80)</f>
        <v>0</v>
      </c>
      <c r="G80" s="59" t="str">
        <f aca="false">IF(COUNT($D$11:D80)=0,"",F80/E80)</f>
        <v/>
      </c>
      <c r="H80" s="14" t="str">
        <f aca="false">IF(G80="","",IF(G80&gt;=0.95,"En meta",IF(G80&gt;=0.8,"Riesgo","Atrasado")))</f>
        <v/>
      </c>
      <c r="I80" s="54"/>
      <c r="J80" s="60" t="str">
        <f aca="false">IF(I80="","",IF($I$9="","",IF($I$9=0,"",I80/$I$9)))</f>
        <v/>
      </c>
      <c r="K80" s="54"/>
      <c r="L80" s="60" t="str">
        <f aca="false">IF(K80="","",IF($K$9="","",IF($K$9=0,"",K80/$K$9)))</f>
        <v/>
      </c>
      <c r="M80" s="54"/>
      <c r="N80" s="60" t="str">
        <f aca="false">IF(M80="","",IF($M$9="","",IF($M$9=0,"",M80/$M$9)))</f>
        <v/>
      </c>
      <c r="O80" s="54"/>
      <c r="P80" s="60" t="str">
        <f aca="false">IF(O80="","",IF($O$9="","",IF($O$9=0,"",O80/$O$9)))</f>
        <v/>
      </c>
      <c r="Q80" s="54"/>
      <c r="R80" s="60" t="str">
        <f aca="false">IF(Q80="","",IF($Q$9="","",IF($Q$9=0,"",Q80/$Q$9)))</f>
        <v/>
      </c>
      <c r="S80" s="54"/>
      <c r="T80" s="60" t="str">
        <f aca="false">IF(S80="","",IF($S$9="","",IF($S$9=0,"",S80/$S$9)))</f>
        <v/>
      </c>
      <c r="U80" s="56"/>
      <c r="V80" s="60" t="str">
        <f aca="false">IF(U80="","",IF($U$9="","",IF($U$9=0,"",U80/$U$9)))</f>
        <v/>
      </c>
      <c r="W80" s="54"/>
      <c r="X80" s="60" t="str">
        <f aca="false">IF(W80="","",IF($W$9="","",IF($W$9=0,"",W80/$W$9)))</f>
        <v/>
      </c>
    </row>
    <row r="81" customFormat="false" ht="15" hidden="false" customHeight="false" outlineLevel="0" collapsed="false">
      <c r="A81" s="5" t="n">
        <v>71</v>
      </c>
      <c r="B81" s="50" t="n">
        <v>46678</v>
      </c>
      <c r="C81" s="51" t="n">
        <f aca="false">$B$5/$B$8</f>
        <v>0.123456790123457</v>
      </c>
      <c r="D81" s="52"/>
      <c r="E81" s="51" t="n">
        <f aca="false">SUM($C$11:C81)</f>
        <v>8.76543209876543</v>
      </c>
      <c r="F81" s="51" t="n">
        <f aca="false">SUM($D$11:D81)</f>
        <v>0</v>
      </c>
      <c r="G81" s="53" t="str">
        <f aca="false">IF(COUNT($D$11:D81)=0,"",F81/E81)</f>
        <v/>
      </c>
      <c r="H81" s="13" t="str">
        <f aca="false">IF(G81="","",IF(G81&gt;=0.95,"En meta",IF(G81&gt;=0.8,"Riesgo","Atrasado")))</f>
        <v/>
      </c>
      <c r="I81" s="54"/>
      <c r="J81" s="55" t="str">
        <f aca="false">IF(I81="","",IF($I$9="","",IF($I$9=0,"",I81/$I$9)))</f>
        <v/>
      </c>
      <c r="K81" s="54"/>
      <c r="L81" s="55" t="str">
        <f aca="false">IF(K81="","",IF($K$9="","",IF($K$9=0,"",K81/$K$9)))</f>
        <v/>
      </c>
      <c r="M81" s="54"/>
      <c r="N81" s="55" t="str">
        <f aca="false">IF(M81="","",IF($M$9="","",IF($M$9=0,"",M81/$M$9)))</f>
        <v/>
      </c>
      <c r="O81" s="54"/>
      <c r="P81" s="55" t="str">
        <f aca="false">IF(O81="","",IF($O$9="","",IF($O$9=0,"",O81/$O$9)))</f>
        <v/>
      </c>
      <c r="Q81" s="54"/>
      <c r="R81" s="55" t="str">
        <f aca="false">IF(Q81="","",IF($Q$9="","",IF($Q$9=0,"",Q81/$Q$9)))</f>
        <v/>
      </c>
      <c r="S81" s="54"/>
      <c r="T81" s="55" t="str">
        <f aca="false">IF(S81="","",IF($S$9="","",IF($S$9=0,"",S81/$S$9)))</f>
        <v/>
      </c>
      <c r="U81" s="56"/>
      <c r="V81" s="55" t="str">
        <f aca="false">IF(U81="","",IF($U$9="","",IF($U$9=0,"",U81/$U$9)))</f>
        <v/>
      </c>
      <c r="W81" s="54"/>
      <c r="X81" s="55" t="str">
        <f aca="false">IF(W81="","",IF($W$9="","",IF($W$9=0,"",W81/$W$9)))</f>
        <v/>
      </c>
    </row>
    <row r="82" customFormat="false" ht="15" hidden="false" customHeight="false" outlineLevel="0" collapsed="false">
      <c r="A82" s="28" t="n">
        <v>72</v>
      </c>
      <c r="B82" s="57" t="n">
        <v>46685</v>
      </c>
      <c r="C82" s="58" t="n">
        <f aca="false">$B$5/$B$8</f>
        <v>0.123456790123457</v>
      </c>
      <c r="D82" s="52"/>
      <c r="E82" s="58" t="n">
        <f aca="false">SUM($C$11:C82)</f>
        <v>8.88888888888889</v>
      </c>
      <c r="F82" s="58" t="n">
        <f aca="false">SUM($D$11:D82)</f>
        <v>0</v>
      </c>
      <c r="G82" s="59" t="str">
        <f aca="false">IF(COUNT($D$11:D82)=0,"",F82/E82)</f>
        <v/>
      </c>
      <c r="H82" s="14" t="str">
        <f aca="false">IF(G82="","",IF(G82&gt;=0.95,"En meta",IF(G82&gt;=0.8,"Riesgo","Atrasado")))</f>
        <v/>
      </c>
      <c r="I82" s="54"/>
      <c r="J82" s="60" t="str">
        <f aca="false">IF(I82="","",IF($I$9="","",IF($I$9=0,"",I82/$I$9)))</f>
        <v/>
      </c>
      <c r="K82" s="54"/>
      <c r="L82" s="60" t="str">
        <f aca="false">IF(K82="","",IF($K$9="","",IF($K$9=0,"",K82/$K$9)))</f>
        <v/>
      </c>
      <c r="M82" s="54"/>
      <c r="N82" s="60" t="str">
        <f aca="false">IF(M82="","",IF($M$9="","",IF($M$9=0,"",M82/$M$9)))</f>
        <v/>
      </c>
      <c r="O82" s="54"/>
      <c r="P82" s="60" t="str">
        <f aca="false">IF(O82="","",IF($O$9="","",IF($O$9=0,"",O82/$O$9)))</f>
        <v/>
      </c>
      <c r="Q82" s="54"/>
      <c r="R82" s="60" t="str">
        <f aca="false">IF(Q82="","",IF($Q$9="","",IF($Q$9=0,"",Q82/$Q$9)))</f>
        <v/>
      </c>
      <c r="S82" s="54"/>
      <c r="T82" s="60" t="str">
        <f aca="false">IF(S82="","",IF($S$9="","",IF($S$9=0,"",S82/$S$9)))</f>
        <v/>
      </c>
      <c r="U82" s="56"/>
      <c r="V82" s="60" t="str">
        <f aca="false">IF(U82="","",IF($U$9="","",IF($U$9=0,"",U82/$U$9)))</f>
        <v/>
      </c>
      <c r="W82" s="54"/>
      <c r="X82" s="60" t="str">
        <f aca="false">IF(W82="","",IF($W$9="","",IF($W$9=0,"",W82/$W$9)))</f>
        <v/>
      </c>
    </row>
    <row r="83" customFormat="false" ht="15" hidden="false" customHeight="false" outlineLevel="0" collapsed="false">
      <c r="A83" s="5" t="n">
        <v>73</v>
      </c>
      <c r="B83" s="50" t="n">
        <v>46692</v>
      </c>
      <c r="C83" s="51" t="n">
        <f aca="false">$B$5/$B$8</f>
        <v>0.123456790123457</v>
      </c>
      <c r="D83" s="52"/>
      <c r="E83" s="51" t="n">
        <f aca="false">SUM($C$11:C83)</f>
        <v>9.01234567901235</v>
      </c>
      <c r="F83" s="51" t="n">
        <f aca="false">SUM($D$11:D83)</f>
        <v>0</v>
      </c>
      <c r="G83" s="53" t="str">
        <f aca="false">IF(COUNT($D$11:D83)=0,"",F83/E83)</f>
        <v/>
      </c>
      <c r="H83" s="13" t="str">
        <f aca="false">IF(G83="","",IF(G83&gt;=0.95,"En meta",IF(G83&gt;=0.8,"Riesgo","Atrasado")))</f>
        <v/>
      </c>
      <c r="I83" s="54"/>
      <c r="J83" s="55" t="str">
        <f aca="false">IF(I83="","",IF($I$9="","",IF($I$9=0,"",I83/$I$9)))</f>
        <v/>
      </c>
      <c r="K83" s="54"/>
      <c r="L83" s="55" t="str">
        <f aca="false">IF(K83="","",IF($K$9="","",IF($K$9=0,"",K83/$K$9)))</f>
        <v/>
      </c>
      <c r="M83" s="54"/>
      <c r="N83" s="55" t="str">
        <f aca="false">IF(M83="","",IF($M$9="","",IF($M$9=0,"",M83/$M$9)))</f>
        <v/>
      </c>
      <c r="O83" s="54"/>
      <c r="P83" s="55" t="str">
        <f aca="false">IF(O83="","",IF($O$9="","",IF($O$9=0,"",O83/$O$9)))</f>
        <v/>
      </c>
      <c r="Q83" s="54"/>
      <c r="R83" s="55" t="str">
        <f aca="false">IF(Q83="","",IF($Q$9="","",IF($Q$9=0,"",Q83/$Q$9)))</f>
        <v/>
      </c>
      <c r="S83" s="54"/>
      <c r="T83" s="55" t="str">
        <f aca="false">IF(S83="","",IF($S$9="","",IF($S$9=0,"",S83/$S$9)))</f>
        <v/>
      </c>
      <c r="U83" s="56"/>
      <c r="V83" s="55" t="str">
        <f aca="false">IF(U83="","",IF($U$9="","",IF($U$9=0,"",U83/$U$9)))</f>
        <v/>
      </c>
      <c r="W83" s="54"/>
      <c r="X83" s="55" t="str">
        <f aca="false">IF(W83="","",IF($W$9="","",IF($W$9=0,"",W83/$W$9)))</f>
        <v/>
      </c>
    </row>
    <row r="84" customFormat="false" ht="15" hidden="false" customHeight="false" outlineLevel="0" collapsed="false">
      <c r="A84" s="28" t="n">
        <v>74</v>
      </c>
      <c r="B84" s="57" t="n">
        <v>46699</v>
      </c>
      <c r="C84" s="58" t="n">
        <f aca="false">$B$5/$B$8</f>
        <v>0.123456790123457</v>
      </c>
      <c r="D84" s="52"/>
      <c r="E84" s="58" t="n">
        <f aca="false">SUM($C$11:C84)</f>
        <v>9.1358024691358</v>
      </c>
      <c r="F84" s="58" t="n">
        <f aca="false">SUM($D$11:D84)</f>
        <v>0</v>
      </c>
      <c r="G84" s="59" t="str">
        <f aca="false">IF(COUNT($D$11:D84)=0,"",F84/E84)</f>
        <v/>
      </c>
      <c r="H84" s="14" t="str">
        <f aca="false">IF(G84="","",IF(G84&gt;=0.95,"En meta",IF(G84&gt;=0.8,"Riesgo","Atrasado")))</f>
        <v/>
      </c>
      <c r="I84" s="54"/>
      <c r="J84" s="60" t="str">
        <f aca="false">IF(I84="","",IF($I$9="","",IF($I$9=0,"",I84/$I$9)))</f>
        <v/>
      </c>
      <c r="K84" s="54"/>
      <c r="L84" s="60" t="str">
        <f aca="false">IF(K84="","",IF($K$9="","",IF($K$9=0,"",K84/$K$9)))</f>
        <v/>
      </c>
      <c r="M84" s="54"/>
      <c r="N84" s="60" t="str">
        <f aca="false">IF(M84="","",IF($M$9="","",IF($M$9=0,"",M84/$M$9)))</f>
        <v/>
      </c>
      <c r="O84" s="54"/>
      <c r="P84" s="60" t="str">
        <f aca="false">IF(O84="","",IF($O$9="","",IF($O$9=0,"",O84/$O$9)))</f>
        <v/>
      </c>
      <c r="Q84" s="54"/>
      <c r="R84" s="60" t="str">
        <f aca="false">IF(Q84="","",IF($Q$9="","",IF($Q$9=0,"",Q84/$Q$9)))</f>
        <v/>
      </c>
      <c r="S84" s="54"/>
      <c r="T84" s="60" t="str">
        <f aca="false">IF(S84="","",IF($S$9="","",IF($S$9=0,"",S84/$S$9)))</f>
        <v/>
      </c>
      <c r="U84" s="56"/>
      <c r="V84" s="60" t="str">
        <f aca="false">IF(U84="","",IF($U$9="","",IF($U$9=0,"",U84/$U$9)))</f>
        <v/>
      </c>
      <c r="W84" s="54"/>
      <c r="X84" s="60" t="str">
        <f aca="false">IF(W84="","",IF($W$9="","",IF($W$9=0,"",W84/$W$9)))</f>
        <v/>
      </c>
    </row>
    <row r="85" customFormat="false" ht="15" hidden="false" customHeight="false" outlineLevel="0" collapsed="false">
      <c r="A85" s="5" t="n">
        <v>75</v>
      </c>
      <c r="B85" s="50" t="n">
        <v>46706</v>
      </c>
      <c r="C85" s="51" t="n">
        <f aca="false">$B$5/$B$8</f>
        <v>0.123456790123457</v>
      </c>
      <c r="D85" s="52"/>
      <c r="E85" s="51" t="n">
        <f aca="false">SUM($C$11:C85)</f>
        <v>9.25925925925926</v>
      </c>
      <c r="F85" s="51" t="n">
        <f aca="false">SUM($D$11:D85)</f>
        <v>0</v>
      </c>
      <c r="G85" s="53" t="str">
        <f aca="false">IF(COUNT($D$11:D85)=0,"",F85/E85)</f>
        <v/>
      </c>
      <c r="H85" s="13" t="str">
        <f aca="false">IF(G85="","",IF(G85&gt;=0.95,"En meta",IF(G85&gt;=0.8,"Riesgo","Atrasado")))</f>
        <v/>
      </c>
      <c r="I85" s="54"/>
      <c r="J85" s="55" t="str">
        <f aca="false">IF(I85="","",IF($I$9="","",IF($I$9=0,"",I85/$I$9)))</f>
        <v/>
      </c>
      <c r="K85" s="54"/>
      <c r="L85" s="55" t="str">
        <f aca="false">IF(K85="","",IF($K$9="","",IF($K$9=0,"",K85/$K$9)))</f>
        <v/>
      </c>
      <c r="M85" s="54"/>
      <c r="N85" s="55" t="str">
        <f aca="false">IF(M85="","",IF($M$9="","",IF($M$9=0,"",M85/$M$9)))</f>
        <v/>
      </c>
      <c r="O85" s="54"/>
      <c r="P85" s="55" t="str">
        <f aca="false">IF(O85="","",IF($O$9="","",IF($O$9=0,"",O85/$O$9)))</f>
        <v/>
      </c>
      <c r="Q85" s="54"/>
      <c r="R85" s="55" t="str">
        <f aca="false">IF(Q85="","",IF($Q$9="","",IF($Q$9=0,"",Q85/$Q$9)))</f>
        <v/>
      </c>
      <c r="S85" s="54"/>
      <c r="T85" s="55" t="str">
        <f aca="false">IF(S85="","",IF($S$9="","",IF($S$9=0,"",S85/$S$9)))</f>
        <v/>
      </c>
      <c r="U85" s="56"/>
      <c r="V85" s="55" t="str">
        <f aca="false">IF(U85="","",IF($U$9="","",IF($U$9=0,"",U85/$U$9)))</f>
        <v/>
      </c>
      <c r="W85" s="54"/>
      <c r="X85" s="55" t="str">
        <f aca="false">IF(W85="","",IF($W$9="","",IF($W$9=0,"",W85/$W$9)))</f>
        <v/>
      </c>
    </row>
    <row r="86" customFormat="false" ht="15" hidden="false" customHeight="false" outlineLevel="0" collapsed="false">
      <c r="A86" s="28" t="n">
        <v>76</v>
      </c>
      <c r="B86" s="57" t="n">
        <v>46713</v>
      </c>
      <c r="C86" s="58" t="n">
        <f aca="false">$B$5/$B$8</f>
        <v>0.123456790123457</v>
      </c>
      <c r="D86" s="52"/>
      <c r="E86" s="58" t="n">
        <f aca="false">SUM($C$11:C86)</f>
        <v>9.38271604938272</v>
      </c>
      <c r="F86" s="58" t="n">
        <f aca="false">SUM($D$11:D86)</f>
        <v>0</v>
      </c>
      <c r="G86" s="59" t="str">
        <f aca="false">IF(COUNT($D$11:D86)=0,"",F86/E86)</f>
        <v/>
      </c>
      <c r="H86" s="14" t="str">
        <f aca="false">IF(G86="","",IF(G86&gt;=0.95,"En meta",IF(G86&gt;=0.8,"Riesgo","Atrasado")))</f>
        <v/>
      </c>
      <c r="I86" s="54"/>
      <c r="J86" s="60" t="str">
        <f aca="false">IF(I86="","",IF($I$9="","",IF($I$9=0,"",I86/$I$9)))</f>
        <v/>
      </c>
      <c r="K86" s="54"/>
      <c r="L86" s="60" t="str">
        <f aca="false">IF(K86="","",IF($K$9="","",IF($K$9=0,"",K86/$K$9)))</f>
        <v/>
      </c>
      <c r="M86" s="54"/>
      <c r="N86" s="60" t="str">
        <f aca="false">IF(M86="","",IF($M$9="","",IF($M$9=0,"",M86/$M$9)))</f>
        <v/>
      </c>
      <c r="O86" s="54"/>
      <c r="P86" s="60" t="str">
        <f aca="false">IF(O86="","",IF($O$9="","",IF($O$9=0,"",O86/$O$9)))</f>
        <v/>
      </c>
      <c r="Q86" s="54"/>
      <c r="R86" s="60" t="str">
        <f aca="false">IF(Q86="","",IF($Q$9="","",IF($Q$9=0,"",Q86/$Q$9)))</f>
        <v/>
      </c>
      <c r="S86" s="54"/>
      <c r="T86" s="60" t="str">
        <f aca="false">IF(S86="","",IF($S$9="","",IF($S$9=0,"",S86/$S$9)))</f>
        <v/>
      </c>
      <c r="U86" s="56"/>
      <c r="V86" s="60" t="str">
        <f aca="false">IF(U86="","",IF($U$9="","",IF($U$9=0,"",U86/$U$9)))</f>
        <v/>
      </c>
      <c r="W86" s="54"/>
      <c r="X86" s="60" t="str">
        <f aca="false">IF(W86="","",IF($W$9="","",IF($W$9=0,"",W86/$W$9)))</f>
        <v/>
      </c>
    </row>
    <row r="87" customFormat="false" ht="15" hidden="false" customHeight="false" outlineLevel="0" collapsed="false">
      <c r="A87" s="5" t="n">
        <v>77</v>
      </c>
      <c r="B87" s="50" t="n">
        <v>46720</v>
      </c>
      <c r="C87" s="51" t="n">
        <f aca="false">$B$5/$B$8</f>
        <v>0.123456790123457</v>
      </c>
      <c r="D87" s="52"/>
      <c r="E87" s="51" t="n">
        <f aca="false">SUM($C$11:C87)</f>
        <v>9.50617283950617</v>
      </c>
      <c r="F87" s="51" t="n">
        <f aca="false">SUM($D$11:D87)</f>
        <v>0</v>
      </c>
      <c r="G87" s="53" t="str">
        <f aca="false">IF(COUNT($D$11:D87)=0,"",F87/E87)</f>
        <v/>
      </c>
      <c r="H87" s="13" t="str">
        <f aca="false">IF(G87="","",IF(G87&gt;=0.95,"En meta",IF(G87&gt;=0.8,"Riesgo","Atrasado")))</f>
        <v/>
      </c>
      <c r="I87" s="54"/>
      <c r="J87" s="55" t="str">
        <f aca="false">IF(I87="","",IF($I$9="","",IF($I$9=0,"",I87/$I$9)))</f>
        <v/>
      </c>
      <c r="K87" s="54"/>
      <c r="L87" s="55" t="str">
        <f aca="false">IF(K87="","",IF($K$9="","",IF($K$9=0,"",K87/$K$9)))</f>
        <v/>
      </c>
      <c r="M87" s="54"/>
      <c r="N87" s="55" t="str">
        <f aca="false">IF(M87="","",IF($M$9="","",IF($M$9=0,"",M87/$M$9)))</f>
        <v/>
      </c>
      <c r="O87" s="54"/>
      <c r="P87" s="55" t="str">
        <f aca="false">IF(O87="","",IF($O$9="","",IF($O$9=0,"",O87/$O$9)))</f>
        <v/>
      </c>
      <c r="Q87" s="54"/>
      <c r="R87" s="55" t="str">
        <f aca="false">IF(Q87="","",IF($Q$9="","",IF($Q$9=0,"",Q87/$Q$9)))</f>
        <v/>
      </c>
      <c r="S87" s="54"/>
      <c r="T87" s="55" t="str">
        <f aca="false">IF(S87="","",IF($S$9="","",IF($S$9=0,"",S87/$S$9)))</f>
        <v/>
      </c>
      <c r="U87" s="56"/>
      <c r="V87" s="55" t="str">
        <f aca="false">IF(U87="","",IF($U$9="","",IF($U$9=0,"",U87/$U$9)))</f>
        <v/>
      </c>
      <c r="W87" s="54"/>
      <c r="X87" s="55" t="str">
        <f aca="false">IF(W87="","",IF($W$9="","",IF($W$9=0,"",W87/$W$9)))</f>
        <v/>
      </c>
    </row>
    <row r="88" customFormat="false" ht="15" hidden="false" customHeight="false" outlineLevel="0" collapsed="false">
      <c r="A88" s="28" t="n">
        <v>78</v>
      </c>
      <c r="B88" s="57" t="n">
        <v>46727</v>
      </c>
      <c r="C88" s="58" t="n">
        <f aca="false">$B$5/$B$8</f>
        <v>0.123456790123457</v>
      </c>
      <c r="D88" s="52"/>
      <c r="E88" s="58" t="n">
        <f aca="false">SUM($C$11:C88)</f>
        <v>9.62962962962963</v>
      </c>
      <c r="F88" s="58" t="n">
        <f aca="false">SUM($D$11:D88)</f>
        <v>0</v>
      </c>
      <c r="G88" s="59" t="str">
        <f aca="false">IF(COUNT($D$11:D88)=0,"",F88/E88)</f>
        <v/>
      </c>
      <c r="H88" s="14" t="str">
        <f aca="false">IF(G88="","",IF(G88&gt;=0.95,"En meta",IF(G88&gt;=0.8,"Riesgo","Atrasado")))</f>
        <v/>
      </c>
      <c r="I88" s="54"/>
      <c r="J88" s="60" t="str">
        <f aca="false">IF(I88="","",IF($I$9="","",IF($I$9=0,"",I88/$I$9)))</f>
        <v/>
      </c>
      <c r="K88" s="54"/>
      <c r="L88" s="60" t="str">
        <f aca="false">IF(K88="","",IF($K$9="","",IF($K$9=0,"",K88/$K$9)))</f>
        <v/>
      </c>
      <c r="M88" s="54"/>
      <c r="N88" s="60" t="str">
        <f aca="false">IF(M88="","",IF($M$9="","",IF($M$9=0,"",M88/$M$9)))</f>
        <v/>
      </c>
      <c r="O88" s="54"/>
      <c r="P88" s="60" t="str">
        <f aca="false">IF(O88="","",IF($O$9="","",IF($O$9=0,"",O88/$O$9)))</f>
        <v/>
      </c>
      <c r="Q88" s="54"/>
      <c r="R88" s="60" t="str">
        <f aca="false">IF(Q88="","",IF($Q$9="","",IF($Q$9=0,"",Q88/$Q$9)))</f>
        <v/>
      </c>
      <c r="S88" s="54"/>
      <c r="T88" s="60" t="str">
        <f aca="false">IF(S88="","",IF($S$9="","",IF($S$9=0,"",S88/$S$9)))</f>
        <v/>
      </c>
      <c r="U88" s="56"/>
      <c r="V88" s="60" t="str">
        <f aca="false">IF(U88="","",IF($U$9="","",IF($U$9=0,"",U88/$U$9)))</f>
        <v/>
      </c>
      <c r="W88" s="54"/>
      <c r="X88" s="60" t="str">
        <f aca="false">IF(W88="","",IF($W$9="","",IF($W$9=0,"",W88/$W$9)))</f>
        <v/>
      </c>
    </row>
    <row r="89" customFormat="false" ht="15" hidden="false" customHeight="false" outlineLevel="0" collapsed="false">
      <c r="A89" s="5" t="n">
        <v>79</v>
      </c>
      <c r="B89" s="50" t="n">
        <v>46734</v>
      </c>
      <c r="C89" s="51" t="n">
        <f aca="false">$B$5/$B$8</f>
        <v>0.123456790123457</v>
      </c>
      <c r="D89" s="52"/>
      <c r="E89" s="51" t="n">
        <f aca="false">SUM($C$11:C89)</f>
        <v>9.75308641975309</v>
      </c>
      <c r="F89" s="51" t="n">
        <f aca="false">SUM($D$11:D89)</f>
        <v>0</v>
      </c>
      <c r="G89" s="53" t="str">
        <f aca="false">IF(COUNT($D$11:D89)=0,"",F89/E89)</f>
        <v/>
      </c>
      <c r="H89" s="13" t="str">
        <f aca="false">IF(G89="","",IF(G89&gt;=0.95,"En meta",IF(G89&gt;=0.8,"Riesgo","Atrasado")))</f>
        <v/>
      </c>
      <c r="I89" s="54"/>
      <c r="J89" s="55" t="str">
        <f aca="false">IF(I89="","",IF($I$9="","",IF($I$9=0,"",I89/$I$9)))</f>
        <v/>
      </c>
      <c r="K89" s="54"/>
      <c r="L89" s="55" t="str">
        <f aca="false">IF(K89="","",IF($K$9="","",IF($K$9=0,"",K89/$K$9)))</f>
        <v/>
      </c>
      <c r="M89" s="54"/>
      <c r="N89" s="55" t="str">
        <f aca="false">IF(M89="","",IF($M$9="","",IF($M$9=0,"",M89/$M$9)))</f>
        <v/>
      </c>
      <c r="O89" s="54"/>
      <c r="P89" s="55" t="str">
        <f aca="false">IF(O89="","",IF($O$9="","",IF($O$9=0,"",O89/$O$9)))</f>
        <v/>
      </c>
      <c r="Q89" s="54"/>
      <c r="R89" s="55" t="str">
        <f aca="false">IF(Q89="","",IF($Q$9="","",IF($Q$9=0,"",Q89/$Q$9)))</f>
        <v/>
      </c>
      <c r="S89" s="54"/>
      <c r="T89" s="55" t="str">
        <f aca="false">IF(S89="","",IF($S$9="","",IF($S$9=0,"",S89/$S$9)))</f>
        <v/>
      </c>
      <c r="U89" s="56"/>
      <c r="V89" s="55" t="str">
        <f aca="false">IF(U89="","",IF($U$9="","",IF($U$9=0,"",U89/$U$9)))</f>
        <v/>
      </c>
      <c r="W89" s="54"/>
      <c r="X89" s="55" t="str">
        <f aca="false">IF(W89="","",IF($W$9="","",IF($W$9=0,"",W89/$W$9)))</f>
        <v/>
      </c>
    </row>
    <row r="90" customFormat="false" ht="15" hidden="false" customHeight="false" outlineLevel="0" collapsed="false">
      <c r="A90" s="28" t="n">
        <v>80</v>
      </c>
      <c r="B90" s="57" t="n">
        <v>46741</v>
      </c>
      <c r="C90" s="58" t="n">
        <f aca="false">$B$5/$B$8</f>
        <v>0.123456790123457</v>
      </c>
      <c r="D90" s="52"/>
      <c r="E90" s="58" t="n">
        <f aca="false">SUM($C$11:C90)</f>
        <v>9.87654320987654</v>
      </c>
      <c r="F90" s="58" t="n">
        <f aca="false">SUM($D$11:D90)</f>
        <v>0</v>
      </c>
      <c r="G90" s="59" t="str">
        <f aca="false">IF(COUNT($D$11:D90)=0,"",F90/E90)</f>
        <v/>
      </c>
      <c r="H90" s="14" t="str">
        <f aca="false">IF(G90="","",IF(G90&gt;=0.95,"En meta",IF(G90&gt;=0.8,"Riesgo","Atrasado")))</f>
        <v/>
      </c>
      <c r="I90" s="54"/>
      <c r="J90" s="60" t="str">
        <f aca="false">IF(I90="","",IF($I$9="","",IF($I$9=0,"",I90/$I$9)))</f>
        <v/>
      </c>
      <c r="K90" s="54"/>
      <c r="L90" s="60" t="str">
        <f aca="false">IF(K90="","",IF($K$9="","",IF($K$9=0,"",K90/$K$9)))</f>
        <v/>
      </c>
      <c r="M90" s="54"/>
      <c r="N90" s="60" t="str">
        <f aca="false">IF(M90="","",IF($M$9="","",IF($M$9=0,"",M90/$M$9)))</f>
        <v/>
      </c>
      <c r="O90" s="54"/>
      <c r="P90" s="60" t="str">
        <f aca="false">IF(O90="","",IF($O$9="","",IF($O$9=0,"",O90/$O$9)))</f>
        <v/>
      </c>
      <c r="Q90" s="54"/>
      <c r="R90" s="60" t="str">
        <f aca="false">IF(Q90="","",IF($Q$9="","",IF($Q$9=0,"",Q90/$Q$9)))</f>
        <v/>
      </c>
      <c r="S90" s="54"/>
      <c r="T90" s="60" t="str">
        <f aca="false">IF(S90="","",IF($S$9="","",IF($S$9=0,"",S90/$S$9)))</f>
        <v/>
      </c>
      <c r="U90" s="56"/>
      <c r="V90" s="60" t="str">
        <f aca="false">IF(U90="","",IF($U$9="","",IF($U$9=0,"",U90/$U$9)))</f>
        <v/>
      </c>
      <c r="W90" s="54"/>
      <c r="X90" s="60" t="str">
        <f aca="false">IF(W90="","",IF($W$9="","",IF($W$9=0,"",W90/$W$9)))</f>
        <v/>
      </c>
    </row>
    <row r="91" customFormat="false" ht="15" hidden="false" customHeight="false" outlineLevel="0" collapsed="false">
      <c r="A91" s="5" t="n">
        <v>81</v>
      </c>
      <c r="B91" s="50" t="n">
        <v>46748</v>
      </c>
      <c r="C91" s="51" t="n">
        <f aca="false">$B$5/$B$8</f>
        <v>0.123456790123457</v>
      </c>
      <c r="D91" s="52"/>
      <c r="E91" s="51" t="n">
        <f aca="false">SUM($C$11:C91)</f>
        <v>10</v>
      </c>
      <c r="F91" s="51" t="n">
        <f aca="false">SUM($D$11:D91)</f>
        <v>0</v>
      </c>
      <c r="G91" s="53" t="str">
        <f aca="false">IF(COUNT($D$11:D91)=0,"",F91/E91)</f>
        <v/>
      </c>
      <c r="H91" s="13" t="str">
        <f aca="false">IF(G91="","",IF(G91&gt;=0.95,"En meta",IF(G91&gt;=0.8,"Riesgo","Atrasado")))</f>
        <v/>
      </c>
      <c r="I91" s="54"/>
      <c r="J91" s="55" t="str">
        <f aca="false">IF(I91="","",IF($I$9="","",IF($I$9=0,"",I91/$I$9)))</f>
        <v/>
      </c>
      <c r="K91" s="54"/>
      <c r="L91" s="55" t="str">
        <f aca="false">IF(K91="","",IF($K$9="","",IF($K$9=0,"",K91/$K$9)))</f>
        <v/>
      </c>
      <c r="M91" s="54"/>
      <c r="N91" s="55" t="str">
        <f aca="false">IF(M91="","",IF($M$9="","",IF($M$9=0,"",M91/$M$9)))</f>
        <v/>
      </c>
      <c r="O91" s="54"/>
      <c r="P91" s="55" t="str">
        <f aca="false">IF(O91="","",IF($O$9="","",IF($O$9=0,"",O91/$O$9)))</f>
        <v/>
      </c>
      <c r="Q91" s="54"/>
      <c r="R91" s="55" t="str">
        <f aca="false">IF(Q91="","",IF($Q$9="","",IF($Q$9=0,"",Q91/$Q$9)))</f>
        <v/>
      </c>
      <c r="S91" s="54"/>
      <c r="T91" s="55" t="str">
        <f aca="false">IF(S91="","",IF($S$9="","",IF($S$9=0,"",S91/$S$9)))</f>
        <v/>
      </c>
      <c r="U91" s="56"/>
      <c r="V91" s="55" t="str">
        <f aca="false">IF(U91="","",IF($U$9="","",IF($U$9=0,"",U91/$U$9)))</f>
        <v/>
      </c>
      <c r="W91" s="54"/>
      <c r="X91" s="55" t="str">
        <f aca="false">IF(W91="","",IF($W$9="","",IF($W$9=0,"",W91/$W$9)))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124</v>
      </c>
    </row>
    <row r="3" customFormat="false" ht="15" hidden="false" customHeight="false" outlineLevel="0" collapsed="false">
      <c r="A3" s="17" t="s">
        <v>77</v>
      </c>
      <c r="B3" s="40" t="s">
        <v>125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48</v>
      </c>
    </row>
    <row r="5" customFormat="false" ht="15" hidden="false" customHeight="false" outlineLevel="0" collapsed="false">
      <c r="A5" s="17" t="s">
        <v>82</v>
      </c>
      <c r="B5" s="63" t="n">
        <v>1</v>
      </c>
      <c r="D5" s="17" t="s">
        <v>83</v>
      </c>
      <c r="E5" s="43" t="n">
        <v>46188</v>
      </c>
      <c r="G5" s="17" t="s">
        <v>84</v>
      </c>
      <c r="H5" s="43" t="n">
        <v>46748</v>
      </c>
    </row>
    <row r="6" customFormat="false" ht="15" hidden="false" customHeight="false" outlineLevel="0" collapsed="false">
      <c r="A6" s="17" t="s">
        <v>85</v>
      </c>
      <c r="B6" s="40" t="s">
        <v>86</v>
      </c>
    </row>
    <row r="8" customFormat="false" ht="42" hidden="false" customHeight="true" outlineLevel="0" collapsed="false">
      <c r="A8" s="17" t="s">
        <v>87</v>
      </c>
      <c r="B8" s="44" t="n">
        <f aca="false">COUNT(A11:A91)</f>
        <v>81</v>
      </c>
      <c r="H8" s="45" t="s">
        <v>88</v>
      </c>
      <c r="I8" s="46" t="s">
        <v>126</v>
      </c>
      <c r="J8" s="46"/>
      <c r="K8" s="46" t="s">
        <v>127</v>
      </c>
      <c r="L8" s="46"/>
      <c r="M8" s="46" t="s">
        <v>128</v>
      </c>
      <c r="N8" s="46"/>
      <c r="O8" s="46" t="s">
        <v>129</v>
      </c>
      <c r="P8" s="46"/>
      <c r="Q8" s="46" t="s">
        <v>130</v>
      </c>
      <c r="R8" s="46"/>
      <c r="S8" s="46" t="s">
        <v>131</v>
      </c>
      <c r="T8" s="46"/>
      <c r="U8" s="46" t="s">
        <v>96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8" t="n">
        <v>1</v>
      </c>
      <c r="J9" s="48"/>
      <c r="K9" s="47" t="n">
        <v>1</v>
      </c>
      <c r="L9" s="47"/>
      <c r="M9" s="48" t="n">
        <v>1</v>
      </c>
      <c r="N9" s="48"/>
      <c r="O9" s="48" t="n">
        <v>1</v>
      </c>
      <c r="P9" s="48"/>
      <c r="Q9" s="47" t="n">
        <v>5</v>
      </c>
      <c r="R9" s="47"/>
      <c r="S9" s="48" t="n">
        <v>1</v>
      </c>
      <c r="T9" s="48"/>
      <c r="U9" s="47"/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99</v>
      </c>
      <c r="C10" s="4" t="s">
        <v>36</v>
      </c>
      <c r="D10" s="4" t="s">
        <v>101</v>
      </c>
      <c r="E10" s="4"/>
      <c r="F10" s="4"/>
      <c r="G10" s="4" t="s">
        <v>132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50" t="n">
        <v>46188</v>
      </c>
      <c r="C11" s="64" t="n">
        <f aca="false">$B$5</f>
        <v>1</v>
      </c>
      <c r="D11" s="52"/>
      <c r="E11" s="5"/>
      <c r="F11" s="5"/>
      <c r="G11" s="53" t="str">
        <f aca="false">IF(D11="","",D11-C11)</f>
        <v/>
      </c>
      <c r="H11" s="13" t="str">
        <f aca="false">IF(D11="","",IF(D11&gt;=C11,"En meta",IF(D11&gt;=C11-0.05,"Riesgo","Atrasado")))</f>
        <v/>
      </c>
      <c r="I11" s="56"/>
      <c r="J11" s="55" t="str">
        <f aca="false">IF(I11="","",IF($I$9="","",IF($I$9=0,"",I11/$I$9)))</f>
        <v/>
      </c>
      <c r="K11" s="54"/>
      <c r="L11" s="55" t="str">
        <f aca="false">IF(K11="","",IF($K$9="","",IF($K$9=0,"",K11/$K$9)))</f>
        <v/>
      </c>
      <c r="M11" s="56"/>
      <c r="N11" s="55" t="str">
        <f aca="false">IF(M11="","",IF($M$9="","",IF($M$9=0,"",M11/$M$9)))</f>
        <v/>
      </c>
      <c r="O11" s="56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6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57" t="n">
        <v>46195</v>
      </c>
      <c r="C12" s="65" t="n">
        <f aca="false">$B$5</f>
        <v>1</v>
      </c>
      <c r="D12" s="52"/>
      <c r="E12" s="28"/>
      <c r="F12" s="28"/>
      <c r="G12" s="59" t="str">
        <f aca="false">IF(D12="","",D12-C12)</f>
        <v/>
      </c>
      <c r="H12" s="14" t="str">
        <f aca="false">IF(D12="","",IF(D12&gt;=C12,"En meta",IF(D12&gt;=C12-0.05,"Riesgo","Atrasado")))</f>
        <v/>
      </c>
      <c r="I12" s="56"/>
      <c r="J12" s="60" t="str">
        <f aca="false">IF(I12="","",IF($I$9="","",IF($I$9=0,"",I12/$I$9)))</f>
        <v/>
      </c>
      <c r="K12" s="54"/>
      <c r="L12" s="60" t="str">
        <f aca="false">IF(K12="","",IF($K$9="","",IF($K$9=0,"",K12/$K$9)))</f>
        <v/>
      </c>
      <c r="M12" s="56"/>
      <c r="N12" s="60" t="str">
        <f aca="false">IF(M12="","",IF($M$9="","",IF($M$9=0,"",M12/$M$9)))</f>
        <v/>
      </c>
      <c r="O12" s="56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6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50" t="n">
        <v>46202</v>
      </c>
      <c r="C13" s="64" t="n">
        <f aca="false">$B$5</f>
        <v>1</v>
      </c>
      <c r="D13" s="52"/>
      <c r="E13" s="5"/>
      <c r="F13" s="5"/>
      <c r="G13" s="53" t="str">
        <f aca="false">IF(D13="","",D13-C13)</f>
        <v/>
      </c>
      <c r="H13" s="13" t="str">
        <f aca="false">IF(D13="","",IF(D13&gt;=C13,"En meta",IF(D13&gt;=C13-0.05,"Riesgo","Atrasado")))</f>
        <v/>
      </c>
      <c r="I13" s="56"/>
      <c r="J13" s="55" t="str">
        <f aca="false">IF(I13="","",IF($I$9="","",IF($I$9=0,"",I13/$I$9)))</f>
        <v/>
      </c>
      <c r="K13" s="54"/>
      <c r="L13" s="55" t="str">
        <f aca="false">IF(K13="","",IF($K$9="","",IF($K$9=0,"",K13/$K$9)))</f>
        <v/>
      </c>
      <c r="M13" s="56"/>
      <c r="N13" s="55" t="str">
        <f aca="false">IF(M13="","",IF($M$9="","",IF($M$9=0,"",M13/$M$9)))</f>
        <v/>
      </c>
      <c r="O13" s="56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6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57" t="n">
        <v>46209</v>
      </c>
      <c r="C14" s="65" t="n">
        <f aca="false">$B$5</f>
        <v>1</v>
      </c>
      <c r="D14" s="52"/>
      <c r="E14" s="28"/>
      <c r="F14" s="28"/>
      <c r="G14" s="59" t="str">
        <f aca="false">IF(D14="","",D14-C14)</f>
        <v/>
      </c>
      <c r="H14" s="14" t="str">
        <f aca="false">IF(D14="","",IF(D14&gt;=C14,"En meta",IF(D14&gt;=C14-0.05,"Riesgo","Atrasado")))</f>
        <v/>
      </c>
      <c r="I14" s="56"/>
      <c r="J14" s="60" t="str">
        <f aca="false">IF(I14="","",IF($I$9="","",IF($I$9=0,"",I14/$I$9)))</f>
        <v/>
      </c>
      <c r="K14" s="54"/>
      <c r="L14" s="60" t="str">
        <f aca="false">IF(K14="","",IF($K$9="","",IF($K$9=0,"",K14/$K$9)))</f>
        <v/>
      </c>
      <c r="M14" s="56"/>
      <c r="N14" s="60" t="str">
        <f aca="false">IF(M14="","",IF($M$9="","",IF($M$9=0,"",M14/$M$9)))</f>
        <v/>
      </c>
      <c r="O14" s="56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6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50" t="n">
        <v>46216</v>
      </c>
      <c r="C15" s="64" t="n">
        <f aca="false">$B$5</f>
        <v>1</v>
      </c>
      <c r="D15" s="52"/>
      <c r="E15" s="5"/>
      <c r="F15" s="5"/>
      <c r="G15" s="53" t="str">
        <f aca="false">IF(D15="","",D15-C15)</f>
        <v/>
      </c>
      <c r="H15" s="13" t="str">
        <f aca="false">IF(D15="","",IF(D15&gt;=C15,"En meta",IF(D15&gt;=C15-0.05,"Riesgo","Atrasado")))</f>
        <v/>
      </c>
      <c r="I15" s="56"/>
      <c r="J15" s="55" t="str">
        <f aca="false">IF(I15="","",IF($I$9="","",IF($I$9=0,"",I15/$I$9)))</f>
        <v/>
      </c>
      <c r="K15" s="54"/>
      <c r="L15" s="55" t="str">
        <f aca="false">IF(K15="","",IF($K$9="","",IF($K$9=0,"",K15/$K$9)))</f>
        <v/>
      </c>
      <c r="M15" s="56"/>
      <c r="N15" s="55" t="str">
        <f aca="false">IF(M15="","",IF($M$9="","",IF($M$9=0,"",M15/$M$9)))</f>
        <v/>
      </c>
      <c r="O15" s="56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6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57" t="n">
        <v>46223</v>
      </c>
      <c r="C16" s="65" t="n">
        <f aca="false">$B$5</f>
        <v>1</v>
      </c>
      <c r="D16" s="52"/>
      <c r="E16" s="28"/>
      <c r="F16" s="28"/>
      <c r="G16" s="59" t="str">
        <f aca="false">IF(D16="","",D16-C16)</f>
        <v/>
      </c>
      <c r="H16" s="14" t="str">
        <f aca="false">IF(D16="","",IF(D16&gt;=C16,"En meta",IF(D16&gt;=C16-0.05,"Riesgo","Atrasado")))</f>
        <v/>
      </c>
      <c r="I16" s="56"/>
      <c r="J16" s="60" t="str">
        <f aca="false">IF(I16="","",IF($I$9="","",IF($I$9=0,"",I16/$I$9)))</f>
        <v/>
      </c>
      <c r="K16" s="54"/>
      <c r="L16" s="60" t="str">
        <f aca="false">IF(K16="","",IF($K$9="","",IF($K$9=0,"",K16/$K$9)))</f>
        <v/>
      </c>
      <c r="M16" s="56"/>
      <c r="N16" s="60" t="str">
        <f aca="false">IF(M16="","",IF($M$9="","",IF($M$9=0,"",M16/$M$9)))</f>
        <v/>
      </c>
      <c r="O16" s="56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6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50" t="n">
        <v>46230</v>
      </c>
      <c r="C17" s="64" t="n">
        <f aca="false">$B$5</f>
        <v>1</v>
      </c>
      <c r="D17" s="52"/>
      <c r="E17" s="5"/>
      <c r="F17" s="5"/>
      <c r="G17" s="53" t="str">
        <f aca="false">IF(D17="","",D17-C17)</f>
        <v/>
      </c>
      <c r="H17" s="13" t="str">
        <f aca="false">IF(D17="","",IF(D17&gt;=C17,"En meta",IF(D17&gt;=C17-0.05,"Riesgo","Atrasado")))</f>
        <v/>
      </c>
      <c r="I17" s="56"/>
      <c r="J17" s="55" t="str">
        <f aca="false">IF(I17="","",IF($I$9="","",IF($I$9=0,"",I17/$I$9)))</f>
        <v/>
      </c>
      <c r="K17" s="54"/>
      <c r="L17" s="55" t="str">
        <f aca="false">IF(K17="","",IF($K$9="","",IF($K$9=0,"",K17/$K$9)))</f>
        <v/>
      </c>
      <c r="M17" s="56"/>
      <c r="N17" s="55" t="str">
        <f aca="false">IF(M17="","",IF($M$9="","",IF($M$9=0,"",M17/$M$9)))</f>
        <v/>
      </c>
      <c r="O17" s="56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6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57" t="n">
        <v>46237</v>
      </c>
      <c r="C18" s="65" t="n">
        <f aca="false">$B$5</f>
        <v>1</v>
      </c>
      <c r="D18" s="52"/>
      <c r="E18" s="28"/>
      <c r="F18" s="28"/>
      <c r="G18" s="59" t="str">
        <f aca="false">IF(D18="","",D18-C18)</f>
        <v/>
      </c>
      <c r="H18" s="14" t="str">
        <f aca="false">IF(D18="","",IF(D18&gt;=C18,"En meta",IF(D18&gt;=C18-0.05,"Riesgo","Atrasado")))</f>
        <v/>
      </c>
      <c r="I18" s="56"/>
      <c r="J18" s="60" t="str">
        <f aca="false">IF(I18="","",IF($I$9="","",IF($I$9=0,"",I18/$I$9)))</f>
        <v/>
      </c>
      <c r="K18" s="54"/>
      <c r="L18" s="60" t="str">
        <f aca="false">IF(K18="","",IF($K$9="","",IF($K$9=0,"",K18/$K$9)))</f>
        <v/>
      </c>
      <c r="M18" s="56"/>
      <c r="N18" s="60" t="str">
        <f aca="false">IF(M18="","",IF($M$9="","",IF($M$9=0,"",M18/$M$9)))</f>
        <v/>
      </c>
      <c r="O18" s="56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6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50" t="n">
        <v>46244</v>
      </c>
      <c r="C19" s="64" t="n">
        <f aca="false">$B$5</f>
        <v>1</v>
      </c>
      <c r="D19" s="52"/>
      <c r="E19" s="5"/>
      <c r="F19" s="5"/>
      <c r="G19" s="53" t="str">
        <f aca="false">IF(D19="","",D19-C19)</f>
        <v/>
      </c>
      <c r="H19" s="13" t="str">
        <f aca="false">IF(D19="","",IF(D19&gt;=C19,"En meta",IF(D19&gt;=C19-0.05,"Riesgo","Atrasado")))</f>
        <v/>
      </c>
      <c r="I19" s="56"/>
      <c r="J19" s="55" t="str">
        <f aca="false">IF(I19="","",IF($I$9="","",IF($I$9=0,"",I19/$I$9)))</f>
        <v/>
      </c>
      <c r="K19" s="54"/>
      <c r="L19" s="55" t="str">
        <f aca="false">IF(K19="","",IF($K$9="","",IF($K$9=0,"",K19/$K$9)))</f>
        <v/>
      </c>
      <c r="M19" s="56"/>
      <c r="N19" s="55" t="str">
        <f aca="false">IF(M19="","",IF($M$9="","",IF($M$9=0,"",M19/$M$9)))</f>
        <v/>
      </c>
      <c r="O19" s="56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6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57" t="n">
        <v>46251</v>
      </c>
      <c r="C20" s="65" t="n">
        <f aca="false">$B$5</f>
        <v>1</v>
      </c>
      <c r="D20" s="52"/>
      <c r="E20" s="28"/>
      <c r="F20" s="28"/>
      <c r="G20" s="59" t="str">
        <f aca="false">IF(D20="","",D20-C20)</f>
        <v/>
      </c>
      <c r="H20" s="14" t="str">
        <f aca="false">IF(D20="","",IF(D20&gt;=C20,"En meta",IF(D20&gt;=C20-0.05,"Riesgo","Atrasado")))</f>
        <v/>
      </c>
      <c r="I20" s="56"/>
      <c r="J20" s="60" t="str">
        <f aca="false">IF(I20="","",IF($I$9="","",IF($I$9=0,"",I20/$I$9)))</f>
        <v/>
      </c>
      <c r="K20" s="54"/>
      <c r="L20" s="60" t="str">
        <f aca="false">IF(K20="","",IF($K$9="","",IF($K$9=0,"",K20/$K$9)))</f>
        <v/>
      </c>
      <c r="M20" s="56"/>
      <c r="N20" s="60" t="str">
        <f aca="false">IF(M20="","",IF($M$9="","",IF($M$9=0,"",M20/$M$9)))</f>
        <v/>
      </c>
      <c r="O20" s="56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6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50" t="n">
        <v>46258</v>
      </c>
      <c r="C21" s="64" t="n">
        <f aca="false">$B$5</f>
        <v>1</v>
      </c>
      <c r="D21" s="52"/>
      <c r="E21" s="5"/>
      <c r="F21" s="5"/>
      <c r="G21" s="53" t="str">
        <f aca="false">IF(D21="","",D21-C21)</f>
        <v/>
      </c>
      <c r="H21" s="13" t="str">
        <f aca="false">IF(D21="","",IF(D21&gt;=C21,"En meta",IF(D21&gt;=C21-0.05,"Riesgo","Atrasado")))</f>
        <v/>
      </c>
      <c r="I21" s="56"/>
      <c r="J21" s="55" t="str">
        <f aca="false">IF(I21="","",IF($I$9="","",IF($I$9=0,"",I21/$I$9)))</f>
        <v/>
      </c>
      <c r="K21" s="54"/>
      <c r="L21" s="55" t="str">
        <f aca="false">IF(K21="","",IF($K$9="","",IF($K$9=0,"",K21/$K$9)))</f>
        <v/>
      </c>
      <c r="M21" s="56"/>
      <c r="N21" s="55" t="str">
        <f aca="false">IF(M21="","",IF($M$9="","",IF($M$9=0,"",M21/$M$9)))</f>
        <v/>
      </c>
      <c r="O21" s="56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6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57" t="n">
        <v>46265</v>
      </c>
      <c r="C22" s="65" t="n">
        <f aca="false">$B$5</f>
        <v>1</v>
      </c>
      <c r="D22" s="52"/>
      <c r="E22" s="28"/>
      <c r="F22" s="28"/>
      <c r="G22" s="59" t="str">
        <f aca="false">IF(D22="","",D22-C22)</f>
        <v/>
      </c>
      <c r="H22" s="14" t="str">
        <f aca="false">IF(D22="","",IF(D22&gt;=C22,"En meta",IF(D22&gt;=C22-0.05,"Riesgo","Atrasado")))</f>
        <v/>
      </c>
      <c r="I22" s="56"/>
      <c r="J22" s="60" t="str">
        <f aca="false">IF(I22="","",IF($I$9="","",IF($I$9=0,"",I22/$I$9)))</f>
        <v/>
      </c>
      <c r="K22" s="54"/>
      <c r="L22" s="60" t="str">
        <f aca="false">IF(K22="","",IF($K$9="","",IF($K$9=0,"",K22/$K$9)))</f>
        <v/>
      </c>
      <c r="M22" s="56"/>
      <c r="N22" s="60" t="str">
        <f aca="false">IF(M22="","",IF($M$9="","",IF($M$9=0,"",M22/$M$9)))</f>
        <v/>
      </c>
      <c r="O22" s="56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6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50" t="n">
        <v>46272</v>
      </c>
      <c r="C23" s="64" t="n">
        <f aca="false">$B$5</f>
        <v>1</v>
      </c>
      <c r="D23" s="52"/>
      <c r="E23" s="5"/>
      <c r="F23" s="5"/>
      <c r="G23" s="53" t="str">
        <f aca="false">IF(D23="","",D23-C23)</f>
        <v/>
      </c>
      <c r="H23" s="13" t="str">
        <f aca="false">IF(D23="","",IF(D23&gt;=C23,"En meta",IF(D23&gt;=C23-0.05,"Riesgo","Atrasado")))</f>
        <v/>
      </c>
      <c r="I23" s="56"/>
      <c r="J23" s="55" t="str">
        <f aca="false">IF(I23="","",IF($I$9="","",IF($I$9=0,"",I23/$I$9)))</f>
        <v/>
      </c>
      <c r="K23" s="54"/>
      <c r="L23" s="55" t="str">
        <f aca="false">IF(K23="","",IF($K$9="","",IF($K$9=0,"",K23/$K$9)))</f>
        <v/>
      </c>
      <c r="M23" s="56"/>
      <c r="N23" s="55" t="str">
        <f aca="false">IF(M23="","",IF($M$9="","",IF($M$9=0,"",M23/$M$9)))</f>
        <v/>
      </c>
      <c r="O23" s="56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6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57" t="n">
        <v>46279</v>
      </c>
      <c r="C24" s="65" t="n">
        <f aca="false">$B$5</f>
        <v>1</v>
      </c>
      <c r="D24" s="52"/>
      <c r="E24" s="28"/>
      <c r="F24" s="28"/>
      <c r="G24" s="59" t="str">
        <f aca="false">IF(D24="","",D24-C24)</f>
        <v/>
      </c>
      <c r="H24" s="14" t="str">
        <f aca="false">IF(D24="","",IF(D24&gt;=C24,"En meta",IF(D24&gt;=C24-0.05,"Riesgo","Atrasado")))</f>
        <v/>
      </c>
      <c r="I24" s="56"/>
      <c r="J24" s="60" t="str">
        <f aca="false">IF(I24="","",IF($I$9="","",IF($I$9=0,"",I24/$I$9)))</f>
        <v/>
      </c>
      <c r="K24" s="54"/>
      <c r="L24" s="60" t="str">
        <f aca="false">IF(K24="","",IF($K$9="","",IF($K$9=0,"",K24/$K$9)))</f>
        <v/>
      </c>
      <c r="M24" s="56"/>
      <c r="N24" s="60" t="str">
        <f aca="false">IF(M24="","",IF($M$9="","",IF($M$9=0,"",M24/$M$9)))</f>
        <v/>
      </c>
      <c r="O24" s="56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6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50" t="n">
        <v>46286</v>
      </c>
      <c r="C25" s="64" t="n">
        <f aca="false">$B$5</f>
        <v>1</v>
      </c>
      <c r="D25" s="52"/>
      <c r="E25" s="5"/>
      <c r="F25" s="5"/>
      <c r="G25" s="53" t="str">
        <f aca="false">IF(D25="","",D25-C25)</f>
        <v/>
      </c>
      <c r="H25" s="13" t="str">
        <f aca="false">IF(D25="","",IF(D25&gt;=C25,"En meta",IF(D25&gt;=C25-0.05,"Riesgo","Atrasado")))</f>
        <v/>
      </c>
      <c r="I25" s="56"/>
      <c r="J25" s="55" t="str">
        <f aca="false">IF(I25="","",IF($I$9="","",IF($I$9=0,"",I25/$I$9)))</f>
        <v/>
      </c>
      <c r="K25" s="54"/>
      <c r="L25" s="55" t="str">
        <f aca="false">IF(K25="","",IF($K$9="","",IF($K$9=0,"",K25/$K$9)))</f>
        <v/>
      </c>
      <c r="M25" s="56"/>
      <c r="N25" s="55" t="str">
        <f aca="false">IF(M25="","",IF($M$9="","",IF($M$9=0,"",M25/$M$9)))</f>
        <v/>
      </c>
      <c r="O25" s="56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6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57" t="n">
        <v>46293</v>
      </c>
      <c r="C26" s="65" t="n">
        <f aca="false">$B$5</f>
        <v>1</v>
      </c>
      <c r="D26" s="52"/>
      <c r="E26" s="28"/>
      <c r="F26" s="28"/>
      <c r="G26" s="59" t="str">
        <f aca="false">IF(D26="","",D26-C26)</f>
        <v/>
      </c>
      <c r="H26" s="14" t="str">
        <f aca="false">IF(D26="","",IF(D26&gt;=C26,"En meta",IF(D26&gt;=C26-0.05,"Riesgo","Atrasado")))</f>
        <v/>
      </c>
      <c r="I26" s="56"/>
      <c r="J26" s="60" t="str">
        <f aca="false">IF(I26="","",IF($I$9="","",IF($I$9=0,"",I26/$I$9)))</f>
        <v/>
      </c>
      <c r="K26" s="54"/>
      <c r="L26" s="60" t="str">
        <f aca="false">IF(K26="","",IF($K$9="","",IF($K$9=0,"",K26/$K$9)))</f>
        <v/>
      </c>
      <c r="M26" s="56"/>
      <c r="N26" s="60" t="str">
        <f aca="false">IF(M26="","",IF($M$9="","",IF($M$9=0,"",M26/$M$9)))</f>
        <v/>
      </c>
      <c r="O26" s="56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6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50" t="n">
        <v>46300</v>
      </c>
      <c r="C27" s="64" t="n">
        <f aca="false">$B$5</f>
        <v>1</v>
      </c>
      <c r="D27" s="52"/>
      <c r="E27" s="5"/>
      <c r="F27" s="5"/>
      <c r="G27" s="53" t="str">
        <f aca="false">IF(D27="","",D27-C27)</f>
        <v/>
      </c>
      <c r="H27" s="13" t="str">
        <f aca="false">IF(D27="","",IF(D27&gt;=C27,"En meta",IF(D27&gt;=C27-0.05,"Riesgo","Atrasado")))</f>
        <v/>
      </c>
      <c r="I27" s="56"/>
      <c r="J27" s="55" t="str">
        <f aca="false">IF(I27="","",IF($I$9="","",IF($I$9=0,"",I27/$I$9)))</f>
        <v/>
      </c>
      <c r="K27" s="54"/>
      <c r="L27" s="55" t="str">
        <f aca="false">IF(K27="","",IF($K$9="","",IF($K$9=0,"",K27/$K$9)))</f>
        <v/>
      </c>
      <c r="M27" s="56"/>
      <c r="N27" s="55" t="str">
        <f aca="false">IF(M27="","",IF($M$9="","",IF($M$9=0,"",M27/$M$9)))</f>
        <v/>
      </c>
      <c r="O27" s="56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6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57" t="n">
        <v>46307</v>
      </c>
      <c r="C28" s="65" t="n">
        <f aca="false">$B$5</f>
        <v>1</v>
      </c>
      <c r="D28" s="52"/>
      <c r="E28" s="28"/>
      <c r="F28" s="28"/>
      <c r="G28" s="59" t="str">
        <f aca="false">IF(D28="","",D28-C28)</f>
        <v/>
      </c>
      <c r="H28" s="14" t="str">
        <f aca="false">IF(D28="","",IF(D28&gt;=C28,"En meta",IF(D28&gt;=C28-0.05,"Riesgo","Atrasado")))</f>
        <v/>
      </c>
      <c r="I28" s="56"/>
      <c r="J28" s="60" t="str">
        <f aca="false">IF(I28="","",IF($I$9="","",IF($I$9=0,"",I28/$I$9)))</f>
        <v/>
      </c>
      <c r="K28" s="54"/>
      <c r="L28" s="60" t="str">
        <f aca="false">IF(K28="","",IF($K$9="","",IF($K$9=0,"",K28/$K$9)))</f>
        <v/>
      </c>
      <c r="M28" s="56"/>
      <c r="N28" s="60" t="str">
        <f aca="false">IF(M28="","",IF($M$9="","",IF($M$9=0,"",M28/$M$9)))</f>
        <v/>
      </c>
      <c r="O28" s="56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6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  <row r="29" customFormat="false" ht="15" hidden="false" customHeight="false" outlineLevel="0" collapsed="false">
      <c r="A29" s="5" t="n">
        <v>19</v>
      </c>
      <c r="B29" s="50" t="n">
        <v>46314</v>
      </c>
      <c r="C29" s="64" t="n">
        <f aca="false">$B$5</f>
        <v>1</v>
      </c>
      <c r="D29" s="52"/>
      <c r="E29" s="5"/>
      <c r="F29" s="5"/>
      <c r="G29" s="53" t="str">
        <f aca="false">IF(D29="","",D29-C29)</f>
        <v/>
      </c>
      <c r="H29" s="13" t="str">
        <f aca="false">IF(D29="","",IF(D29&gt;=C29,"En meta",IF(D29&gt;=C29-0.05,"Riesgo","Atrasado")))</f>
        <v/>
      </c>
      <c r="I29" s="56"/>
      <c r="J29" s="55" t="str">
        <f aca="false">IF(I29="","",IF($I$9="","",IF($I$9=0,"",I29/$I$9)))</f>
        <v/>
      </c>
      <c r="K29" s="54"/>
      <c r="L29" s="55" t="str">
        <f aca="false">IF(K29="","",IF($K$9="","",IF($K$9=0,"",K29/$K$9)))</f>
        <v/>
      </c>
      <c r="M29" s="56"/>
      <c r="N29" s="55" t="str">
        <f aca="false">IF(M29="","",IF($M$9="","",IF($M$9=0,"",M29/$M$9)))</f>
        <v/>
      </c>
      <c r="O29" s="56"/>
      <c r="P29" s="55" t="str">
        <f aca="false">IF(O29="","",IF($O$9="","",IF($O$9=0,"",O29/$O$9)))</f>
        <v/>
      </c>
      <c r="Q29" s="54"/>
      <c r="R29" s="55" t="str">
        <f aca="false">IF(Q29="","",IF($Q$9="","",IF($Q$9=0,"",Q29/$Q$9)))</f>
        <v/>
      </c>
      <c r="S29" s="56"/>
      <c r="T29" s="55" t="str">
        <f aca="false">IF(S29="","",IF($S$9="","",IF($S$9=0,"",S29/$S$9)))</f>
        <v/>
      </c>
      <c r="U29" s="54"/>
      <c r="V29" s="55" t="str">
        <f aca="false">IF(U29="","",IF($U$9="","",IF($U$9=0,"",U29/$U$9)))</f>
        <v/>
      </c>
      <c r="W29" s="54"/>
      <c r="X29" s="55" t="str">
        <f aca="false">IF(W29="","",IF($W$9="","",IF($W$9=0,"",W29/$W$9)))</f>
        <v/>
      </c>
    </row>
    <row r="30" customFormat="false" ht="15" hidden="false" customHeight="false" outlineLevel="0" collapsed="false">
      <c r="A30" s="28" t="n">
        <v>20</v>
      </c>
      <c r="B30" s="57" t="n">
        <v>46321</v>
      </c>
      <c r="C30" s="65" t="n">
        <f aca="false">$B$5</f>
        <v>1</v>
      </c>
      <c r="D30" s="52"/>
      <c r="E30" s="28"/>
      <c r="F30" s="28"/>
      <c r="G30" s="59" t="str">
        <f aca="false">IF(D30="","",D30-C30)</f>
        <v/>
      </c>
      <c r="H30" s="14" t="str">
        <f aca="false">IF(D30="","",IF(D30&gt;=C30,"En meta",IF(D30&gt;=C30-0.05,"Riesgo","Atrasado")))</f>
        <v/>
      </c>
      <c r="I30" s="56"/>
      <c r="J30" s="60" t="str">
        <f aca="false">IF(I30="","",IF($I$9="","",IF($I$9=0,"",I30/$I$9)))</f>
        <v/>
      </c>
      <c r="K30" s="54"/>
      <c r="L30" s="60" t="str">
        <f aca="false">IF(K30="","",IF($K$9="","",IF($K$9=0,"",K30/$K$9)))</f>
        <v/>
      </c>
      <c r="M30" s="56"/>
      <c r="N30" s="60" t="str">
        <f aca="false">IF(M30="","",IF($M$9="","",IF($M$9=0,"",M30/$M$9)))</f>
        <v/>
      </c>
      <c r="O30" s="56"/>
      <c r="P30" s="60" t="str">
        <f aca="false">IF(O30="","",IF($O$9="","",IF($O$9=0,"",O30/$O$9)))</f>
        <v/>
      </c>
      <c r="Q30" s="54"/>
      <c r="R30" s="60" t="str">
        <f aca="false">IF(Q30="","",IF($Q$9="","",IF($Q$9=0,"",Q30/$Q$9)))</f>
        <v/>
      </c>
      <c r="S30" s="56"/>
      <c r="T30" s="60" t="str">
        <f aca="false">IF(S30="","",IF($S$9="","",IF($S$9=0,"",S30/$S$9)))</f>
        <v/>
      </c>
      <c r="U30" s="54"/>
      <c r="V30" s="60" t="str">
        <f aca="false">IF(U30="","",IF($U$9="","",IF($U$9=0,"",U30/$U$9)))</f>
        <v/>
      </c>
      <c r="W30" s="54"/>
      <c r="X30" s="60" t="str">
        <f aca="false">IF(W30="","",IF($W$9="","",IF($W$9=0,"",W30/$W$9)))</f>
        <v/>
      </c>
    </row>
    <row r="31" customFormat="false" ht="15" hidden="false" customHeight="false" outlineLevel="0" collapsed="false">
      <c r="A31" s="5" t="n">
        <v>21</v>
      </c>
      <c r="B31" s="50" t="n">
        <v>46328</v>
      </c>
      <c r="C31" s="64" t="n">
        <f aca="false">$B$5</f>
        <v>1</v>
      </c>
      <c r="D31" s="52"/>
      <c r="E31" s="5"/>
      <c r="F31" s="5"/>
      <c r="G31" s="53" t="str">
        <f aca="false">IF(D31="","",D31-C31)</f>
        <v/>
      </c>
      <c r="H31" s="13" t="str">
        <f aca="false">IF(D31="","",IF(D31&gt;=C31,"En meta",IF(D31&gt;=C31-0.05,"Riesgo","Atrasado")))</f>
        <v/>
      </c>
      <c r="I31" s="56"/>
      <c r="J31" s="55" t="str">
        <f aca="false">IF(I31="","",IF($I$9="","",IF($I$9=0,"",I31/$I$9)))</f>
        <v/>
      </c>
      <c r="K31" s="54"/>
      <c r="L31" s="55" t="str">
        <f aca="false">IF(K31="","",IF($K$9="","",IF($K$9=0,"",K31/$K$9)))</f>
        <v/>
      </c>
      <c r="M31" s="56"/>
      <c r="N31" s="55" t="str">
        <f aca="false">IF(M31="","",IF($M$9="","",IF($M$9=0,"",M31/$M$9)))</f>
        <v/>
      </c>
      <c r="O31" s="56"/>
      <c r="P31" s="55" t="str">
        <f aca="false">IF(O31="","",IF($O$9="","",IF($O$9=0,"",O31/$O$9)))</f>
        <v/>
      </c>
      <c r="Q31" s="54"/>
      <c r="R31" s="55" t="str">
        <f aca="false">IF(Q31="","",IF($Q$9="","",IF($Q$9=0,"",Q31/$Q$9)))</f>
        <v/>
      </c>
      <c r="S31" s="56"/>
      <c r="T31" s="55" t="str">
        <f aca="false">IF(S31="","",IF($S$9="","",IF($S$9=0,"",S31/$S$9)))</f>
        <v/>
      </c>
      <c r="U31" s="54"/>
      <c r="V31" s="55" t="str">
        <f aca="false">IF(U31="","",IF($U$9="","",IF($U$9=0,"",U31/$U$9)))</f>
        <v/>
      </c>
      <c r="W31" s="54"/>
      <c r="X31" s="55" t="str">
        <f aca="false">IF(W31="","",IF($W$9="","",IF($W$9=0,"",W31/$W$9)))</f>
        <v/>
      </c>
    </row>
    <row r="32" customFormat="false" ht="15" hidden="false" customHeight="false" outlineLevel="0" collapsed="false">
      <c r="A32" s="28" t="n">
        <v>22</v>
      </c>
      <c r="B32" s="57" t="n">
        <v>46335</v>
      </c>
      <c r="C32" s="65" t="n">
        <f aca="false">$B$5</f>
        <v>1</v>
      </c>
      <c r="D32" s="52"/>
      <c r="E32" s="28"/>
      <c r="F32" s="28"/>
      <c r="G32" s="59" t="str">
        <f aca="false">IF(D32="","",D32-C32)</f>
        <v/>
      </c>
      <c r="H32" s="14" t="str">
        <f aca="false">IF(D32="","",IF(D32&gt;=C32,"En meta",IF(D32&gt;=C32-0.05,"Riesgo","Atrasado")))</f>
        <v/>
      </c>
      <c r="I32" s="56"/>
      <c r="J32" s="60" t="str">
        <f aca="false">IF(I32="","",IF($I$9="","",IF($I$9=0,"",I32/$I$9)))</f>
        <v/>
      </c>
      <c r="K32" s="54"/>
      <c r="L32" s="60" t="str">
        <f aca="false">IF(K32="","",IF($K$9="","",IF($K$9=0,"",K32/$K$9)))</f>
        <v/>
      </c>
      <c r="M32" s="56"/>
      <c r="N32" s="60" t="str">
        <f aca="false">IF(M32="","",IF($M$9="","",IF($M$9=0,"",M32/$M$9)))</f>
        <v/>
      </c>
      <c r="O32" s="56"/>
      <c r="P32" s="60" t="str">
        <f aca="false">IF(O32="","",IF($O$9="","",IF($O$9=0,"",O32/$O$9)))</f>
        <v/>
      </c>
      <c r="Q32" s="54"/>
      <c r="R32" s="60" t="str">
        <f aca="false">IF(Q32="","",IF($Q$9="","",IF($Q$9=0,"",Q32/$Q$9)))</f>
        <v/>
      </c>
      <c r="S32" s="56"/>
      <c r="T32" s="60" t="str">
        <f aca="false">IF(S32="","",IF($S$9="","",IF($S$9=0,"",S32/$S$9)))</f>
        <v/>
      </c>
      <c r="U32" s="54"/>
      <c r="V32" s="60" t="str">
        <f aca="false">IF(U32="","",IF($U$9="","",IF($U$9=0,"",U32/$U$9)))</f>
        <v/>
      </c>
      <c r="W32" s="54"/>
      <c r="X32" s="60" t="str">
        <f aca="false">IF(W32="","",IF($W$9="","",IF($W$9=0,"",W32/$W$9)))</f>
        <v/>
      </c>
    </row>
    <row r="33" customFormat="false" ht="15" hidden="false" customHeight="false" outlineLevel="0" collapsed="false">
      <c r="A33" s="5" t="n">
        <v>23</v>
      </c>
      <c r="B33" s="50" t="n">
        <v>46342</v>
      </c>
      <c r="C33" s="64" t="n">
        <f aca="false">$B$5</f>
        <v>1</v>
      </c>
      <c r="D33" s="52"/>
      <c r="E33" s="5"/>
      <c r="F33" s="5"/>
      <c r="G33" s="53" t="str">
        <f aca="false">IF(D33="","",D33-C33)</f>
        <v/>
      </c>
      <c r="H33" s="13" t="str">
        <f aca="false">IF(D33="","",IF(D33&gt;=C33,"En meta",IF(D33&gt;=C33-0.05,"Riesgo","Atrasado")))</f>
        <v/>
      </c>
      <c r="I33" s="56"/>
      <c r="J33" s="55" t="str">
        <f aca="false">IF(I33="","",IF($I$9="","",IF($I$9=0,"",I33/$I$9)))</f>
        <v/>
      </c>
      <c r="K33" s="54"/>
      <c r="L33" s="55" t="str">
        <f aca="false">IF(K33="","",IF($K$9="","",IF($K$9=0,"",K33/$K$9)))</f>
        <v/>
      </c>
      <c r="M33" s="56"/>
      <c r="N33" s="55" t="str">
        <f aca="false">IF(M33="","",IF($M$9="","",IF($M$9=0,"",M33/$M$9)))</f>
        <v/>
      </c>
      <c r="O33" s="56"/>
      <c r="P33" s="55" t="str">
        <f aca="false">IF(O33="","",IF($O$9="","",IF($O$9=0,"",O33/$O$9)))</f>
        <v/>
      </c>
      <c r="Q33" s="54"/>
      <c r="R33" s="55" t="str">
        <f aca="false">IF(Q33="","",IF($Q$9="","",IF($Q$9=0,"",Q33/$Q$9)))</f>
        <v/>
      </c>
      <c r="S33" s="56"/>
      <c r="T33" s="55" t="str">
        <f aca="false">IF(S33="","",IF($S$9="","",IF($S$9=0,"",S33/$S$9)))</f>
        <v/>
      </c>
      <c r="U33" s="54"/>
      <c r="V33" s="55" t="str">
        <f aca="false">IF(U33="","",IF($U$9="","",IF($U$9=0,"",U33/$U$9)))</f>
        <v/>
      </c>
      <c r="W33" s="54"/>
      <c r="X33" s="55" t="str">
        <f aca="false">IF(W33="","",IF($W$9="","",IF($W$9=0,"",W33/$W$9)))</f>
        <v/>
      </c>
    </row>
    <row r="34" customFormat="false" ht="15" hidden="false" customHeight="false" outlineLevel="0" collapsed="false">
      <c r="A34" s="28" t="n">
        <v>24</v>
      </c>
      <c r="B34" s="57" t="n">
        <v>46349</v>
      </c>
      <c r="C34" s="65" t="n">
        <f aca="false">$B$5</f>
        <v>1</v>
      </c>
      <c r="D34" s="52"/>
      <c r="E34" s="28"/>
      <c r="F34" s="28"/>
      <c r="G34" s="59" t="str">
        <f aca="false">IF(D34="","",D34-C34)</f>
        <v/>
      </c>
      <c r="H34" s="14" t="str">
        <f aca="false">IF(D34="","",IF(D34&gt;=C34,"En meta",IF(D34&gt;=C34-0.05,"Riesgo","Atrasado")))</f>
        <v/>
      </c>
      <c r="I34" s="56"/>
      <c r="J34" s="60" t="str">
        <f aca="false">IF(I34="","",IF($I$9="","",IF($I$9=0,"",I34/$I$9)))</f>
        <v/>
      </c>
      <c r="K34" s="54"/>
      <c r="L34" s="60" t="str">
        <f aca="false">IF(K34="","",IF($K$9="","",IF($K$9=0,"",K34/$K$9)))</f>
        <v/>
      </c>
      <c r="M34" s="56"/>
      <c r="N34" s="60" t="str">
        <f aca="false">IF(M34="","",IF($M$9="","",IF($M$9=0,"",M34/$M$9)))</f>
        <v/>
      </c>
      <c r="O34" s="56"/>
      <c r="P34" s="60" t="str">
        <f aca="false">IF(O34="","",IF($O$9="","",IF($O$9=0,"",O34/$O$9)))</f>
        <v/>
      </c>
      <c r="Q34" s="54"/>
      <c r="R34" s="60" t="str">
        <f aca="false">IF(Q34="","",IF($Q$9="","",IF($Q$9=0,"",Q34/$Q$9)))</f>
        <v/>
      </c>
      <c r="S34" s="56"/>
      <c r="T34" s="60" t="str">
        <f aca="false">IF(S34="","",IF($S$9="","",IF($S$9=0,"",S34/$S$9)))</f>
        <v/>
      </c>
      <c r="U34" s="54"/>
      <c r="V34" s="60" t="str">
        <f aca="false">IF(U34="","",IF($U$9="","",IF($U$9=0,"",U34/$U$9)))</f>
        <v/>
      </c>
      <c r="W34" s="54"/>
      <c r="X34" s="60" t="str">
        <f aca="false">IF(W34="","",IF($W$9="","",IF($W$9=0,"",W34/$W$9)))</f>
        <v/>
      </c>
    </row>
    <row r="35" customFormat="false" ht="15" hidden="false" customHeight="false" outlineLevel="0" collapsed="false">
      <c r="A35" s="5" t="n">
        <v>25</v>
      </c>
      <c r="B35" s="50" t="n">
        <v>46356</v>
      </c>
      <c r="C35" s="64" t="n">
        <f aca="false">$B$5</f>
        <v>1</v>
      </c>
      <c r="D35" s="52"/>
      <c r="E35" s="5"/>
      <c r="F35" s="5"/>
      <c r="G35" s="53" t="str">
        <f aca="false">IF(D35="","",D35-C35)</f>
        <v/>
      </c>
      <c r="H35" s="13" t="str">
        <f aca="false">IF(D35="","",IF(D35&gt;=C35,"En meta",IF(D35&gt;=C35-0.05,"Riesgo","Atrasado")))</f>
        <v/>
      </c>
      <c r="I35" s="56"/>
      <c r="J35" s="55" t="str">
        <f aca="false">IF(I35="","",IF($I$9="","",IF($I$9=0,"",I35/$I$9)))</f>
        <v/>
      </c>
      <c r="K35" s="54"/>
      <c r="L35" s="55" t="str">
        <f aca="false">IF(K35="","",IF($K$9="","",IF($K$9=0,"",K35/$K$9)))</f>
        <v/>
      </c>
      <c r="M35" s="56"/>
      <c r="N35" s="55" t="str">
        <f aca="false">IF(M35="","",IF($M$9="","",IF($M$9=0,"",M35/$M$9)))</f>
        <v/>
      </c>
      <c r="O35" s="56"/>
      <c r="P35" s="55" t="str">
        <f aca="false">IF(O35="","",IF($O$9="","",IF($O$9=0,"",O35/$O$9)))</f>
        <v/>
      </c>
      <c r="Q35" s="54"/>
      <c r="R35" s="55" t="str">
        <f aca="false">IF(Q35="","",IF($Q$9="","",IF($Q$9=0,"",Q35/$Q$9)))</f>
        <v/>
      </c>
      <c r="S35" s="56"/>
      <c r="T35" s="55" t="str">
        <f aca="false">IF(S35="","",IF($S$9="","",IF($S$9=0,"",S35/$S$9)))</f>
        <v/>
      </c>
      <c r="U35" s="54"/>
      <c r="V35" s="55" t="str">
        <f aca="false">IF(U35="","",IF($U$9="","",IF($U$9=0,"",U35/$U$9)))</f>
        <v/>
      </c>
      <c r="W35" s="54"/>
      <c r="X35" s="55" t="str">
        <f aca="false">IF(W35="","",IF($W$9="","",IF($W$9=0,"",W35/$W$9)))</f>
        <v/>
      </c>
    </row>
    <row r="36" customFormat="false" ht="15" hidden="false" customHeight="false" outlineLevel="0" collapsed="false">
      <c r="A36" s="28" t="n">
        <v>26</v>
      </c>
      <c r="B36" s="57" t="n">
        <v>46363</v>
      </c>
      <c r="C36" s="65" t="n">
        <f aca="false">$B$5</f>
        <v>1</v>
      </c>
      <c r="D36" s="52"/>
      <c r="E36" s="28"/>
      <c r="F36" s="28"/>
      <c r="G36" s="59" t="str">
        <f aca="false">IF(D36="","",D36-C36)</f>
        <v/>
      </c>
      <c r="H36" s="14" t="str">
        <f aca="false">IF(D36="","",IF(D36&gt;=C36,"En meta",IF(D36&gt;=C36-0.05,"Riesgo","Atrasado")))</f>
        <v/>
      </c>
      <c r="I36" s="56"/>
      <c r="J36" s="60" t="str">
        <f aca="false">IF(I36="","",IF($I$9="","",IF($I$9=0,"",I36/$I$9)))</f>
        <v/>
      </c>
      <c r="K36" s="54"/>
      <c r="L36" s="60" t="str">
        <f aca="false">IF(K36="","",IF($K$9="","",IF($K$9=0,"",K36/$K$9)))</f>
        <v/>
      </c>
      <c r="M36" s="56"/>
      <c r="N36" s="60" t="str">
        <f aca="false">IF(M36="","",IF($M$9="","",IF($M$9=0,"",M36/$M$9)))</f>
        <v/>
      </c>
      <c r="O36" s="56"/>
      <c r="P36" s="60" t="str">
        <f aca="false">IF(O36="","",IF($O$9="","",IF($O$9=0,"",O36/$O$9)))</f>
        <v/>
      </c>
      <c r="Q36" s="54"/>
      <c r="R36" s="60" t="str">
        <f aca="false">IF(Q36="","",IF($Q$9="","",IF($Q$9=0,"",Q36/$Q$9)))</f>
        <v/>
      </c>
      <c r="S36" s="56"/>
      <c r="T36" s="60" t="str">
        <f aca="false">IF(S36="","",IF($S$9="","",IF($S$9=0,"",S36/$S$9)))</f>
        <v/>
      </c>
      <c r="U36" s="54"/>
      <c r="V36" s="60" t="str">
        <f aca="false">IF(U36="","",IF($U$9="","",IF($U$9=0,"",U36/$U$9)))</f>
        <v/>
      </c>
      <c r="W36" s="54"/>
      <c r="X36" s="60" t="str">
        <f aca="false">IF(W36="","",IF($W$9="","",IF($W$9=0,"",W36/$W$9)))</f>
        <v/>
      </c>
    </row>
    <row r="37" customFormat="false" ht="15" hidden="false" customHeight="false" outlineLevel="0" collapsed="false">
      <c r="A37" s="5" t="n">
        <v>27</v>
      </c>
      <c r="B37" s="50" t="n">
        <v>46370</v>
      </c>
      <c r="C37" s="64" t="n">
        <f aca="false">$B$5</f>
        <v>1</v>
      </c>
      <c r="D37" s="52"/>
      <c r="E37" s="5"/>
      <c r="F37" s="5"/>
      <c r="G37" s="53" t="str">
        <f aca="false">IF(D37="","",D37-C37)</f>
        <v/>
      </c>
      <c r="H37" s="13" t="str">
        <f aca="false">IF(D37="","",IF(D37&gt;=C37,"En meta",IF(D37&gt;=C37-0.05,"Riesgo","Atrasado")))</f>
        <v/>
      </c>
      <c r="I37" s="56"/>
      <c r="J37" s="55" t="str">
        <f aca="false">IF(I37="","",IF($I$9="","",IF($I$9=0,"",I37/$I$9)))</f>
        <v/>
      </c>
      <c r="K37" s="54"/>
      <c r="L37" s="55" t="str">
        <f aca="false">IF(K37="","",IF($K$9="","",IF($K$9=0,"",K37/$K$9)))</f>
        <v/>
      </c>
      <c r="M37" s="56"/>
      <c r="N37" s="55" t="str">
        <f aca="false">IF(M37="","",IF($M$9="","",IF($M$9=0,"",M37/$M$9)))</f>
        <v/>
      </c>
      <c r="O37" s="56"/>
      <c r="P37" s="55" t="str">
        <f aca="false">IF(O37="","",IF($O$9="","",IF($O$9=0,"",O37/$O$9)))</f>
        <v/>
      </c>
      <c r="Q37" s="54"/>
      <c r="R37" s="55" t="str">
        <f aca="false">IF(Q37="","",IF($Q$9="","",IF($Q$9=0,"",Q37/$Q$9)))</f>
        <v/>
      </c>
      <c r="S37" s="56"/>
      <c r="T37" s="55" t="str">
        <f aca="false">IF(S37="","",IF($S$9="","",IF($S$9=0,"",S37/$S$9)))</f>
        <v/>
      </c>
      <c r="U37" s="54"/>
      <c r="V37" s="55" t="str">
        <f aca="false">IF(U37="","",IF($U$9="","",IF($U$9=0,"",U37/$U$9)))</f>
        <v/>
      </c>
      <c r="W37" s="54"/>
      <c r="X37" s="55" t="str">
        <f aca="false">IF(W37="","",IF($W$9="","",IF($W$9=0,"",W37/$W$9)))</f>
        <v/>
      </c>
    </row>
    <row r="38" customFormat="false" ht="15" hidden="false" customHeight="false" outlineLevel="0" collapsed="false">
      <c r="A38" s="28" t="n">
        <v>28</v>
      </c>
      <c r="B38" s="57" t="n">
        <v>46377</v>
      </c>
      <c r="C38" s="65" t="n">
        <f aca="false">$B$5</f>
        <v>1</v>
      </c>
      <c r="D38" s="52"/>
      <c r="E38" s="28"/>
      <c r="F38" s="28"/>
      <c r="G38" s="59" t="str">
        <f aca="false">IF(D38="","",D38-C38)</f>
        <v/>
      </c>
      <c r="H38" s="14" t="str">
        <f aca="false">IF(D38="","",IF(D38&gt;=C38,"En meta",IF(D38&gt;=C38-0.05,"Riesgo","Atrasado")))</f>
        <v/>
      </c>
      <c r="I38" s="56"/>
      <c r="J38" s="60" t="str">
        <f aca="false">IF(I38="","",IF($I$9="","",IF($I$9=0,"",I38/$I$9)))</f>
        <v/>
      </c>
      <c r="K38" s="54"/>
      <c r="L38" s="60" t="str">
        <f aca="false">IF(K38="","",IF($K$9="","",IF($K$9=0,"",K38/$K$9)))</f>
        <v/>
      </c>
      <c r="M38" s="56"/>
      <c r="N38" s="60" t="str">
        <f aca="false">IF(M38="","",IF($M$9="","",IF($M$9=0,"",M38/$M$9)))</f>
        <v/>
      </c>
      <c r="O38" s="56"/>
      <c r="P38" s="60" t="str">
        <f aca="false">IF(O38="","",IF($O$9="","",IF($O$9=0,"",O38/$O$9)))</f>
        <v/>
      </c>
      <c r="Q38" s="54"/>
      <c r="R38" s="60" t="str">
        <f aca="false">IF(Q38="","",IF($Q$9="","",IF($Q$9=0,"",Q38/$Q$9)))</f>
        <v/>
      </c>
      <c r="S38" s="56"/>
      <c r="T38" s="60" t="str">
        <f aca="false">IF(S38="","",IF($S$9="","",IF($S$9=0,"",S38/$S$9)))</f>
        <v/>
      </c>
      <c r="U38" s="54"/>
      <c r="V38" s="60" t="str">
        <f aca="false">IF(U38="","",IF($U$9="","",IF($U$9=0,"",U38/$U$9)))</f>
        <v/>
      </c>
      <c r="W38" s="54"/>
      <c r="X38" s="60" t="str">
        <f aca="false">IF(W38="","",IF($W$9="","",IF($W$9=0,"",W38/$W$9)))</f>
        <v/>
      </c>
    </row>
    <row r="39" customFormat="false" ht="15" hidden="false" customHeight="false" outlineLevel="0" collapsed="false">
      <c r="A39" s="5" t="n">
        <v>29</v>
      </c>
      <c r="B39" s="50" t="n">
        <v>46384</v>
      </c>
      <c r="C39" s="64" t="n">
        <f aca="false">$B$5</f>
        <v>1</v>
      </c>
      <c r="D39" s="52"/>
      <c r="E39" s="5"/>
      <c r="F39" s="5"/>
      <c r="G39" s="53" t="str">
        <f aca="false">IF(D39="","",D39-C39)</f>
        <v/>
      </c>
      <c r="H39" s="13" t="str">
        <f aca="false">IF(D39="","",IF(D39&gt;=C39,"En meta",IF(D39&gt;=C39-0.05,"Riesgo","Atrasado")))</f>
        <v/>
      </c>
      <c r="I39" s="56"/>
      <c r="J39" s="55" t="str">
        <f aca="false">IF(I39="","",IF($I$9="","",IF($I$9=0,"",I39/$I$9)))</f>
        <v/>
      </c>
      <c r="K39" s="54"/>
      <c r="L39" s="55" t="str">
        <f aca="false">IF(K39="","",IF($K$9="","",IF($K$9=0,"",K39/$K$9)))</f>
        <v/>
      </c>
      <c r="M39" s="56"/>
      <c r="N39" s="55" t="str">
        <f aca="false">IF(M39="","",IF($M$9="","",IF($M$9=0,"",M39/$M$9)))</f>
        <v/>
      </c>
      <c r="O39" s="56"/>
      <c r="P39" s="55" t="str">
        <f aca="false">IF(O39="","",IF($O$9="","",IF($O$9=0,"",O39/$O$9)))</f>
        <v/>
      </c>
      <c r="Q39" s="54"/>
      <c r="R39" s="55" t="str">
        <f aca="false">IF(Q39="","",IF($Q$9="","",IF($Q$9=0,"",Q39/$Q$9)))</f>
        <v/>
      </c>
      <c r="S39" s="56"/>
      <c r="T39" s="55" t="str">
        <f aca="false">IF(S39="","",IF($S$9="","",IF($S$9=0,"",S39/$S$9)))</f>
        <v/>
      </c>
      <c r="U39" s="54"/>
      <c r="V39" s="55" t="str">
        <f aca="false">IF(U39="","",IF($U$9="","",IF($U$9=0,"",U39/$U$9)))</f>
        <v/>
      </c>
      <c r="W39" s="54"/>
      <c r="X39" s="55" t="str">
        <f aca="false">IF(W39="","",IF($W$9="","",IF($W$9=0,"",W39/$W$9)))</f>
        <v/>
      </c>
    </row>
    <row r="40" customFormat="false" ht="15" hidden="false" customHeight="false" outlineLevel="0" collapsed="false">
      <c r="A40" s="28" t="n">
        <v>30</v>
      </c>
      <c r="B40" s="57" t="n">
        <v>46391</v>
      </c>
      <c r="C40" s="65" t="n">
        <f aca="false">$B$5</f>
        <v>1</v>
      </c>
      <c r="D40" s="52"/>
      <c r="E40" s="28"/>
      <c r="F40" s="28"/>
      <c r="G40" s="59" t="str">
        <f aca="false">IF(D40="","",D40-C40)</f>
        <v/>
      </c>
      <c r="H40" s="14" t="str">
        <f aca="false">IF(D40="","",IF(D40&gt;=C40,"En meta",IF(D40&gt;=C40-0.05,"Riesgo","Atrasado")))</f>
        <v/>
      </c>
      <c r="I40" s="56"/>
      <c r="J40" s="60" t="str">
        <f aca="false">IF(I40="","",IF($I$9="","",IF($I$9=0,"",I40/$I$9)))</f>
        <v/>
      </c>
      <c r="K40" s="54"/>
      <c r="L40" s="60" t="str">
        <f aca="false">IF(K40="","",IF($K$9="","",IF($K$9=0,"",K40/$K$9)))</f>
        <v/>
      </c>
      <c r="M40" s="56"/>
      <c r="N40" s="60" t="str">
        <f aca="false">IF(M40="","",IF($M$9="","",IF($M$9=0,"",M40/$M$9)))</f>
        <v/>
      </c>
      <c r="O40" s="56"/>
      <c r="P40" s="60" t="str">
        <f aca="false">IF(O40="","",IF($O$9="","",IF($O$9=0,"",O40/$O$9)))</f>
        <v/>
      </c>
      <c r="Q40" s="54"/>
      <c r="R40" s="60" t="str">
        <f aca="false">IF(Q40="","",IF($Q$9="","",IF($Q$9=0,"",Q40/$Q$9)))</f>
        <v/>
      </c>
      <c r="S40" s="56"/>
      <c r="T40" s="60" t="str">
        <f aca="false">IF(S40="","",IF($S$9="","",IF($S$9=0,"",S40/$S$9)))</f>
        <v/>
      </c>
      <c r="U40" s="54"/>
      <c r="V40" s="60" t="str">
        <f aca="false">IF(U40="","",IF($U$9="","",IF($U$9=0,"",U40/$U$9)))</f>
        <v/>
      </c>
      <c r="W40" s="54"/>
      <c r="X40" s="60" t="str">
        <f aca="false">IF(W40="","",IF($W$9="","",IF($W$9=0,"",W40/$W$9)))</f>
        <v/>
      </c>
    </row>
    <row r="41" customFormat="false" ht="15" hidden="false" customHeight="false" outlineLevel="0" collapsed="false">
      <c r="A41" s="5" t="n">
        <v>31</v>
      </c>
      <c r="B41" s="50" t="n">
        <v>46398</v>
      </c>
      <c r="C41" s="64" t="n">
        <f aca="false">$B$5</f>
        <v>1</v>
      </c>
      <c r="D41" s="52"/>
      <c r="E41" s="5"/>
      <c r="F41" s="5"/>
      <c r="G41" s="53" t="str">
        <f aca="false">IF(D41="","",D41-C41)</f>
        <v/>
      </c>
      <c r="H41" s="13" t="str">
        <f aca="false">IF(D41="","",IF(D41&gt;=C41,"En meta",IF(D41&gt;=C41-0.05,"Riesgo","Atrasado")))</f>
        <v/>
      </c>
      <c r="I41" s="56"/>
      <c r="J41" s="55" t="str">
        <f aca="false">IF(I41="","",IF($I$9="","",IF($I$9=0,"",I41/$I$9)))</f>
        <v/>
      </c>
      <c r="K41" s="54"/>
      <c r="L41" s="55" t="str">
        <f aca="false">IF(K41="","",IF($K$9="","",IF($K$9=0,"",K41/$K$9)))</f>
        <v/>
      </c>
      <c r="M41" s="56"/>
      <c r="N41" s="55" t="str">
        <f aca="false">IF(M41="","",IF($M$9="","",IF($M$9=0,"",M41/$M$9)))</f>
        <v/>
      </c>
      <c r="O41" s="56"/>
      <c r="P41" s="55" t="str">
        <f aca="false">IF(O41="","",IF($O$9="","",IF($O$9=0,"",O41/$O$9)))</f>
        <v/>
      </c>
      <c r="Q41" s="54"/>
      <c r="R41" s="55" t="str">
        <f aca="false">IF(Q41="","",IF($Q$9="","",IF($Q$9=0,"",Q41/$Q$9)))</f>
        <v/>
      </c>
      <c r="S41" s="56"/>
      <c r="T41" s="55" t="str">
        <f aca="false">IF(S41="","",IF($S$9="","",IF($S$9=0,"",S41/$S$9)))</f>
        <v/>
      </c>
      <c r="U41" s="54"/>
      <c r="V41" s="55" t="str">
        <f aca="false">IF(U41="","",IF($U$9="","",IF($U$9=0,"",U41/$U$9)))</f>
        <v/>
      </c>
      <c r="W41" s="54"/>
      <c r="X41" s="55" t="str">
        <f aca="false">IF(W41="","",IF($W$9="","",IF($W$9=0,"",W41/$W$9)))</f>
        <v/>
      </c>
    </row>
    <row r="42" customFormat="false" ht="15" hidden="false" customHeight="false" outlineLevel="0" collapsed="false">
      <c r="A42" s="28" t="n">
        <v>32</v>
      </c>
      <c r="B42" s="57" t="n">
        <v>46405</v>
      </c>
      <c r="C42" s="65" t="n">
        <f aca="false">$B$5</f>
        <v>1</v>
      </c>
      <c r="D42" s="52"/>
      <c r="E42" s="28"/>
      <c r="F42" s="28"/>
      <c r="G42" s="59" t="str">
        <f aca="false">IF(D42="","",D42-C42)</f>
        <v/>
      </c>
      <c r="H42" s="14" t="str">
        <f aca="false">IF(D42="","",IF(D42&gt;=C42,"En meta",IF(D42&gt;=C42-0.05,"Riesgo","Atrasado")))</f>
        <v/>
      </c>
      <c r="I42" s="56"/>
      <c r="J42" s="60" t="str">
        <f aca="false">IF(I42="","",IF($I$9="","",IF($I$9=0,"",I42/$I$9)))</f>
        <v/>
      </c>
      <c r="K42" s="54"/>
      <c r="L42" s="60" t="str">
        <f aca="false">IF(K42="","",IF($K$9="","",IF($K$9=0,"",K42/$K$9)))</f>
        <v/>
      </c>
      <c r="M42" s="56"/>
      <c r="N42" s="60" t="str">
        <f aca="false">IF(M42="","",IF($M$9="","",IF($M$9=0,"",M42/$M$9)))</f>
        <v/>
      </c>
      <c r="O42" s="56"/>
      <c r="P42" s="60" t="str">
        <f aca="false">IF(O42="","",IF($O$9="","",IF($O$9=0,"",O42/$O$9)))</f>
        <v/>
      </c>
      <c r="Q42" s="54"/>
      <c r="R42" s="60" t="str">
        <f aca="false">IF(Q42="","",IF($Q$9="","",IF($Q$9=0,"",Q42/$Q$9)))</f>
        <v/>
      </c>
      <c r="S42" s="56"/>
      <c r="T42" s="60" t="str">
        <f aca="false">IF(S42="","",IF($S$9="","",IF($S$9=0,"",S42/$S$9)))</f>
        <v/>
      </c>
      <c r="U42" s="54"/>
      <c r="V42" s="60" t="str">
        <f aca="false">IF(U42="","",IF($U$9="","",IF($U$9=0,"",U42/$U$9)))</f>
        <v/>
      </c>
      <c r="W42" s="54"/>
      <c r="X42" s="60" t="str">
        <f aca="false">IF(W42="","",IF($W$9="","",IF($W$9=0,"",W42/$W$9)))</f>
        <v/>
      </c>
    </row>
    <row r="43" customFormat="false" ht="15" hidden="false" customHeight="false" outlineLevel="0" collapsed="false">
      <c r="A43" s="5" t="n">
        <v>33</v>
      </c>
      <c r="B43" s="50" t="n">
        <v>46412</v>
      </c>
      <c r="C43" s="64" t="n">
        <f aca="false">$B$5</f>
        <v>1</v>
      </c>
      <c r="D43" s="52"/>
      <c r="E43" s="5"/>
      <c r="F43" s="5"/>
      <c r="G43" s="53" t="str">
        <f aca="false">IF(D43="","",D43-C43)</f>
        <v/>
      </c>
      <c r="H43" s="13" t="str">
        <f aca="false">IF(D43="","",IF(D43&gt;=C43,"En meta",IF(D43&gt;=C43-0.05,"Riesgo","Atrasado")))</f>
        <v/>
      </c>
      <c r="I43" s="56"/>
      <c r="J43" s="55" t="str">
        <f aca="false">IF(I43="","",IF($I$9="","",IF($I$9=0,"",I43/$I$9)))</f>
        <v/>
      </c>
      <c r="K43" s="54"/>
      <c r="L43" s="55" t="str">
        <f aca="false">IF(K43="","",IF($K$9="","",IF($K$9=0,"",K43/$K$9)))</f>
        <v/>
      </c>
      <c r="M43" s="56"/>
      <c r="N43" s="55" t="str">
        <f aca="false">IF(M43="","",IF($M$9="","",IF($M$9=0,"",M43/$M$9)))</f>
        <v/>
      </c>
      <c r="O43" s="56"/>
      <c r="P43" s="55" t="str">
        <f aca="false">IF(O43="","",IF($O$9="","",IF($O$9=0,"",O43/$O$9)))</f>
        <v/>
      </c>
      <c r="Q43" s="54"/>
      <c r="R43" s="55" t="str">
        <f aca="false">IF(Q43="","",IF($Q$9="","",IF($Q$9=0,"",Q43/$Q$9)))</f>
        <v/>
      </c>
      <c r="S43" s="56"/>
      <c r="T43" s="55" t="str">
        <f aca="false">IF(S43="","",IF($S$9="","",IF($S$9=0,"",S43/$S$9)))</f>
        <v/>
      </c>
      <c r="U43" s="54"/>
      <c r="V43" s="55" t="str">
        <f aca="false">IF(U43="","",IF($U$9="","",IF($U$9=0,"",U43/$U$9)))</f>
        <v/>
      </c>
      <c r="W43" s="54"/>
      <c r="X43" s="55" t="str">
        <f aca="false">IF(W43="","",IF($W$9="","",IF($W$9=0,"",W43/$W$9)))</f>
        <v/>
      </c>
    </row>
    <row r="44" customFormat="false" ht="15" hidden="false" customHeight="false" outlineLevel="0" collapsed="false">
      <c r="A44" s="28" t="n">
        <v>34</v>
      </c>
      <c r="B44" s="57" t="n">
        <v>46419</v>
      </c>
      <c r="C44" s="65" t="n">
        <f aca="false">$B$5</f>
        <v>1</v>
      </c>
      <c r="D44" s="52"/>
      <c r="E44" s="28"/>
      <c r="F44" s="28"/>
      <c r="G44" s="59" t="str">
        <f aca="false">IF(D44="","",D44-C44)</f>
        <v/>
      </c>
      <c r="H44" s="14" t="str">
        <f aca="false">IF(D44="","",IF(D44&gt;=C44,"En meta",IF(D44&gt;=C44-0.05,"Riesgo","Atrasado")))</f>
        <v/>
      </c>
      <c r="I44" s="56"/>
      <c r="J44" s="60" t="str">
        <f aca="false">IF(I44="","",IF($I$9="","",IF($I$9=0,"",I44/$I$9)))</f>
        <v/>
      </c>
      <c r="K44" s="54"/>
      <c r="L44" s="60" t="str">
        <f aca="false">IF(K44="","",IF($K$9="","",IF($K$9=0,"",K44/$K$9)))</f>
        <v/>
      </c>
      <c r="M44" s="56"/>
      <c r="N44" s="60" t="str">
        <f aca="false">IF(M44="","",IF($M$9="","",IF($M$9=0,"",M44/$M$9)))</f>
        <v/>
      </c>
      <c r="O44" s="56"/>
      <c r="P44" s="60" t="str">
        <f aca="false">IF(O44="","",IF($O$9="","",IF($O$9=0,"",O44/$O$9)))</f>
        <v/>
      </c>
      <c r="Q44" s="54"/>
      <c r="R44" s="60" t="str">
        <f aca="false">IF(Q44="","",IF($Q$9="","",IF($Q$9=0,"",Q44/$Q$9)))</f>
        <v/>
      </c>
      <c r="S44" s="56"/>
      <c r="T44" s="60" t="str">
        <f aca="false">IF(S44="","",IF($S$9="","",IF($S$9=0,"",S44/$S$9)))</f>
        <v/>
      </c>
      <c r="U44" s="54"/>
      <c r="V44" s="60" t="str">
        <f aca="false">IF(U44="","",IF($U$9="","",IF($U$9=0,"",U44/$U$9)))</f>
        <v/>
      </c>
      <c r="W44" s="54"/>
      <c r="X44" s="60" t="str">
        <f aca="false">IF(W44="","",IF($W$9="","",IF($W$9=0,"",W44/$W$9)))</f>
        <v/>
      </c>
    </row>
    <row r="45" customFormat="false" ht="15" hidden="false" customHeight="false" outlineLevel="0" collapsed="false">
      <c r="A45" s="5" t="n">
        <v>35</v>
      </c>
      <c r="B45" s="50" t="n">
        <v>46426</v>
      </c>
      <c r="C45" s="64" t="n">
        <f aca="false">$B$5</f>
        <v>1</v>
      </c>
      <c r="D45" s="52"/>
      <c r="E45" s="5"/>
      <c r="F45" s="5"/>
      <c r="G45" s="53" t="str">
        <f aca="false">IF(D45="","",D45-C45)</f>
        <v/>
      </c>
      <c r="H45" s="13" t="str">
        <f aca="false">IF(D45="","",IF(D45&gt;=C45,"En meta",IF(D45&gt;=C45-0.05,"Riesgo","Atrasado")))</f>
        <v/>
      </c>
      <c r="I45" s="56"/>
      <c r="J45" s="55" t="str">
        <f aca="false">IF(I45="","",IF($I$9="","",IF($I$9=0,"",I45/$I$9)))</f>
        <v/>
      </c>
      <c r="K45" s="54"/>
      <c r="L45" s="55" t="str">
        <f aca="false">IF(K45="","",IF($K$9="","",IF($K$9=0,"",K45/$K$9)))</f>
        <v/>
      </c>
      <c r="M45" s="56"/>
      <c r="N45" s="55" t="str">
        <f aca="false">IF(M45="","",IF($M$9="","",IF($M$9=0,"",M45/$M$9)))</f>
        <v/>
      </c>
      <c r="O45" s="56"/>
      <c r="P45" s="55" t="str">
        <f aca="false">IF(O45="","",IF($O$9="","",IF($O$9=0,"",O45/$O$9)))</f>
        <v/>
      </c>
      <c r="Q45" s="54"/>
      <c r="R45" s="55" t="str">
        <f aca="false">IF(Q45="","",IF($Q$9="","",IF($Q$9=0,"",Q45/$Q$9)))</f>
        <v/>
      </c>
      <c r="S45" s="56"/>
      <c r="T45" s="55" t="str">
        <f aca="false">IF(S45="","",IF($S$9="","",IF($S$9=0,"",S45/$S$9)))</f>
        <v/>
      </c>
      <c r="U45" s="54"/>
      <c r="V45" s="55" t="str">
        <f aca="false">IF(U45="","",IF($U$9="","",IF($U$9=0,"",U45/$U$9)))</f>
        <v/>
      </c>
      <c r="W45" s="54"/>
      <c r="X45" s="55" t="str">
        <f aca="false">IF(W45="","",IF($W$9="","",IF($W$9=0,"",W45/$W$9)))</f>
        <v/>
      </c>
    </row>
    <row r="46" customFormat="false" ht="15" hidden="false" customHeight="false" outlineLevel="0" collapsed="false">
      <c r="A46" s="28" t="n">
        <v>36</v>
      </c>
      <c r="B46" s="57" t="n">
        <v>46433</v>
      </c>
      <c r="C46" s="65" t="n">
        <f aca="false">$B$5</f>
        <v>1</v>
      </c>
      <c r="D46" s="52"/>
      <c r="E46" s="28"/>
      <c r="F46" s="28"/>
      <c r="G46" s="59" t="str">
        <f aca="false">IF(D46="","",D46-C46)</f>
        <v/>
      </c>
      <c r="H46" s="14" t="str">
        <f aca="false">IF(D46="","",IF(D46&gt;=C46,"En meta",IF(D46&gt;=C46-0.05,"Riesgo","Atrasado")))</f>
        <v/>
      </c>
      <c r="I46" s="56"/>
      <c r="J46" s="60" t="str">
        <f aca="false">IF(I46="","",IF($I$9="","",IF($I$9=0,"",I46/$I$9)))</f>
        <v/>
      </c>
      <c r="K46" s="54"/>
      <c r="L46" s="60" t="str">
        <f aca="false">IF(K46="","",IF($K$9="","",IF($K$9=0,"",K46/$K$9)))</f>
        <v/>
      </c>
      <c r="M46" s="56"/>
      <c r="N46" s="60" t="str">
        <f aca="false">IF(M46="","",IF($M$9="","",IF($M$9=0,"",M46/$M$9)))</f>
        <v/>
      </c>
      <c r="O46" s="56"/>
      <c r="P46" s="60" t="str">
        <f aca="false">IF(O46="","",IF($O$9="","",IF($O$9=0,"",O46/$O$9)))</f>
        <v/>
      </c>
      <c r="Q46" s="54"/>
      <c r="R46" s="60" t="str">
        <f aca="false">IF(Q46="","",IF($Q$9="","",IF($Q$9=0,"",Q46/$Q$9)))</f>
        <v/>
      </c>
      <c r="S46" s="56"/>
      <c r="T46" s="60" t="str">
        <f aca="false">IF(S46="","",IF($S$9="","",IF($S$9=0,"",S46/$S$9)))</f>
        <v/>
      </c>
      <c r="U46" s="54"/>
      <c r="V46" s="60" t="str">
        <f aca="false">IF(U46="","",IF($U$9="","",IF($U$9=0,"",U46/$U$9)))</f>
        <v/>
      </c>
      <c r="W46" s="54"/>
      <c r="X46" s="60" t="str">
        <f aca="false">IF(W46="","",IF($W$9="","",IF($W$9=0,"",W46/$W$9)))</f>
        <v/>
      </c>
    </row>
    <row r="47" customFormat="false" ht="15" hidden="false" customHeight="false" outlineLevel="0" collapsed="false">
      <c r="A47" s="5" t="n">
        <v>37</v>
      </c>
      <c r="B47" s="50" t="n">
        <v>46440</v>
      </c>
      <c r="C47" s="64" t="n">
        <f aca="false">$B$5</f>
        <v>1</v>
      </c>
      <c r="D47" s="52"/>
      <c r="E47" s="5"/>
      <c r="F47" s="5"/>
      <c r="G47" s="53" t="str">
        <f aca="false">IF(D47="","",D47-C47)</f>
        <v/>
      </c>
      <c r="H47" s="13" t="str">
        <f aca="false">IF(D47="","",IF(D47&gt;=C47,"En meta",IF(D47&gt;=C47-0.05,"Riesgo","Atrasado")))</f>
        <v/>
      </c>
      <c r="I47" s="56"/>
      <c r="J47" s="55" t="str">
        <f aca="false">IF(I47="","",IF($I$9="","",IF($I$9=0,"",I47/$I$9)))</f>
        <v/>
      </c>
      <c r="K47" s="54"/>
      <c r="L47" s="55" t="str">
        <f aca="false">IF(K47="","",IF($K$9="","",IF($K$9=0,"",K47/$K$9)))</f>
        <v/>
      </c>
      <c r="M47" s="56"/>
      <c r="N47" s="55" t="str">
        <f aca="false">IF(M47="","",IF($M$9="","",IF($M$9=0,"",M47/$M$9)))</f>
        <v/>
      </c>
      <c r="O47" s="56"/>
      <c r="P47" s="55" t="str">
        <f aca="false">IF(O47="","",IF($O$9="","",IF($O$9=0,"",O47/$O$9)))</f>
        <v/>
      </c>
      <c r="Q47" s="54"/>
      <c r="R47" s="55" t="str">
        <f aca="false">IF(Q47="","",IF($Q$9="","",IF($Q$9=0,"",Q47/$Q$9)))</f>
        <v/>
      </c>
      <c r="S47" s="56"/>
      <c r="T47" s="55" t="str">
        <f aca="false">IF(S47="","",IF($S$9="","",IF($S$9=0,"",S47/$S$9)))</f>
        <v/>
      </c>
      <c r="U47" s="54"/>
      <c r="V47" s="55" t="str">
        <f aca="false">IF(U47="","",IF($U$9="","",IF($U$9=0,"",U47/$U$9)))</f>
        <v/>
      </c>
      <c r="W47" s="54"/>
      <c r="X47" s="55" t="str">
        <f aca="false">IF(W47="","",IF($W$9="","",IF($W$9=0,"",W47/$W$9)))</f>
        <v/>
      </c>
    </row>
    <row r="48" customFormat="false" ht="15" hidden="false" customHeight="false" outlineLevel="0" collapsed="false">
      <c r="A48" s="28" t="n">
        <v>38</v>
      </c>
      <c r="B48" s="57" t="n">
        <v>46447</v>
      </c>
      <c r="C48" s="65" t="n">
        <f aca="false">$B$5</f>
        <v>1</v>
      </c>
      <c r="D48" s="52"/>
      <c r="E48" s="28"/>
      <c r="F48" s="28"/>
      <c r="G48" s="59" t="str">
        <f aca="false">IF(D48="","",D48-C48)</f>
        <v/>
      </c>
      <c r="H48" s="14" t="str">
        <f aca="false">IF(D48="","",IF(D48&gt;=C48,"En meta",IF(D48&gt;=C48-0.05,"Riesgo","Atrasado")))</f>
        <v/>
      </c>
      <c r="I48" s="56"/>
      <c r="J48" s="60" t="str">
        <f aca="false">IF(I48="","",IF($I$9="","",IF($I$9=0,"",I48/$I$9)))</f>
        <v/>
      </c>
      <c r="K48" s="54"/>
      <c r="L48" s="60" t="str">
        <f aca="false">IF(K48="","",IF($K$9="","",IF($K$9=0,"",K48/$K$9)))</f>
        <v/>
      </c>
      <c r="M48" s="56"/>
      <c r="N48" s="60" t="str">
        <f aca="false">IF(M48="","",IF($M$9="","",IF($M$9=0,"",M48/$M$9)))</f>
        <v/>
      </c>
      <c r="O48" s="56"/>
      <c r="P48" s="60" t="str">
        <f aca="false">IF(O48="","",IF($O$9="","",IF($O$9=0,"",O48/$O$9)))</f>
        <v/>
      </c>
      <c r="Q48" s="54"/>
      <c r="R48" s="60" t="str">
        <f aca="false">IF(Q48="","",IF($Q$9="","",IF($Q$9=0,"",Q48/$Q$9)))</f>
        <v/>
      </c>
      <c r="S48" s="56"/>
      <c r="T48" s="60" t="str">
        <f aca="false">IF(S48="","",IF($S$9="","",IF($S$9=0,"",S48/$S$9)))</f>
        <v/>
      </c>
      <c r="U48" s="54"/>
      <c r="V48" s="60" t="str">
        <f aca="false">IF(U48="","",IF($U$9="","",IF($U$9=0,"",U48/$U$9)))</f>
        <v/>
      </c>
      <c r="W48" s="54"/>
      <c r="X48" s="60" t="str">
        <f aca="false">IF(W48="","",IF($W$9="","",IF($W$9=0,"",W48/$W$9)))</f>
        <v/>
      </c>
    </row>
    <row r="49" customFormat="false" ht="15" hidden="false" customHeight="false" outlineLevel="0" collapsed="false">
      <c r="A49" s="5" t="n">
        <v>39</v>
      </c>
      <c r="B49" s="50" t="n">
        <v>46454</v>
      </c>
      <c r="C49" s="64" t="n">
        <f aca="false">$B$5</f>
        <v>1</v>
      </c>
      <c r="D49" s="52"/>
      <c r="E49" s="5"/>
      <c r="F49" s="5"/>
      <c r="G49" s="53" t="str">
        <f aca="false">IF(D49="","",D49-C49)</f>
        <v/>
      </c>
      <c r="H49" s="13" t="str">
        <f aca="false">IF(D49="","",IF(D49&gt;=C49,"En meta",IF(D49&gt;=C49-0.05,"Riesgo","Atrasado")))</f>
        <v/>
      </c>
      <c r="I49" s="56"/>
      <c r="J49" s="55" t="str">
        <f aca="false">IF(I49="","",IF($I$9="","",IF($I$9=0,"",I49/$I$9)))</f>
        <v/>
      </c>
      <c r="K49" s="54"/>
      <c r="L49" s="55" t="str">
        <f aca="false">IF(K49="","",IF($K$9="","",IF($K$9=0,"",K49/$K$9)))</f>
        <v/>
      </c>
      <c r="M49" s="56"/>
      <c r="N49" s="55" t="str">
        <f aca="false">IF(M49="","",IF($M$9="","",IF($M$9=0,"",M49/$M$9)))</f>
        <v/>
      </c>
      <c r="O49" s="56"/>
      <c r="P49" s="55" t="str">
        <f aca="false">IF(O49="","",IF($O$9="","",IF($O$9=0,"",O49/$O$9)))</f>
        <v/>
      </c>
      <c r="Q49" s="54"/>
      <c r="R49" s="55" t="str">
        <f aca="false">IF(Q49="","",IF($Q$9="","",IF($Q$9=0,"",Q49/$Q$9)))</f>
        <v/>
      </c>
      <c r="S49" s="56"/>
      <c r="T49" s="55" t="str">
        <f aca="false">IF(S49="","",IF($S$9="","",IF($S$9=0,"",S49/$S$9)))</f>
        <v/>
      </c>
      <c r="U49" s="54"/>
      <c r="V49" s="55" t="str">
        <f aca="false">IF(U49="","",IF($U$9="","",IF($U$9=0,"",U49/$U$9)))</f>
        <v/>
      </c>
      <c r="W49" s="54"/>
      <c r="X49" s="55" t="str">
        <f aca="false">IF(W49="","",IF($W$9="","",IF($W$9=0,"",W49/$W$9)))</f>
        <v/>
      </c>
    </row>
    <row r="50" customFormat="false" ht="15" hidden="false" customHeight="false" outlineLevel="0" collapsed="false">
      <c r="A50" s="28" t="n">
        <v>40</v>
      </c>
      <c r="B50" s="57" t="n">
        <v>46461</v>
      </c>
      <c r="C50" s="65" t="n">
        <f aca="false">$B$5</f>
        <v>1</v>
      </c>
      <c r="D50" s="52"/>
      <c r="E50" s="28"/>
      <c r="F50" s="28"/>
      <c r="G50" s="59" t="str">
        <f aca="false">IF(D50="","",D50-C50)</f>
        <v/>
      </c>
      <c r="H50" s="14" t="str">
        <f aca="false">IF(D50="","",IF(D50&gt;=C50,"En meta",IF(D50&gt;=C50-0.05,"Riesgo","Atrasado")))</f>
        <v/>
      </c>
      <c r="I50" s="56"/>
      <c r="J50" s="60" t="str">
        <f aca="false">IF(I50="","",IF($I$9="","",IF($I$9=0,"",I50/$I$9)))</f>
        <v/>
      </c>
      <c r="K50" s="54"/>
      <c r="L50" s="60" t="str">
        <f aca="false">IF(K50="","",IF($K$9="","",IF($K$9=0,"",K50/$K$9)))</f>
        <v/>
      </c>
      <c r="M50" s="56"/>
      <c r="N50" s="60" t="str">
        <f aca="false">IF(M50="","",IF($M$9="","",IF($M$9=0,"",M50/$M$9)))</f>
        <v/>
      </c>
      <c r="O50" s="56"/>
      <c r="P50" s="60" t="str">
        <f aca="false">IF(O50="","",IF($O$9="","",IF($O$9=0,"",O50/$O$9)))</f>
        <v/>
      </c>
      <c r="Q50" s="54"/>
      <c r="R50" s="60" t="str">
        <f aca="false">IF(Q50="","",IF($Q$9="","",IF($Q$9=0,"",Q50/$Q$9)))</f>
        <v/>
      </c>
      <c r="S50" s="56"/>
      <c r="T50" s="60" t="str">
        <f aca="false">IF(S50="","",IF($S$9="","",IF($S$9=0,"",S50/$S$9)))</f>
        <v/>
      </c>
      <c r="U50" s="54"/>
      <c r="V50" s="60" t="str">
        <f aca="false">IF(U50="","",IF($U$9="","",IF($U$9=0,"",U50/$U$9)))</f>
        <v/>
      </c>
      <c r="W50" s="54"/>
      <c r="X50" s="60" t="str">
        <f aca="false">IF(W50="","",IF($W$9="","",IF($W$9=0,"",W50/$W$9)))</f>
        <v/>
      </c>
    </row>
    <row r="51" customFormat="false" ht="15" hidden="false" customHeight="false" outlineLevel="0" collapsed="false">
      <c r="A51" s="5" t="n">
        <v>41</v>
      </c>
      <c r="B51" s="50" t="n">
        <v>46468</v>
      </c>
      <c r="C51" s="64" t="n">
        <f aca="false">$B$5</f>
        <v>1</v>
      </c>
      <c r="D51" s="52"/>
      <c r="E51" s="5"/>
      <c r="F51" s="5"/>
      <c r="G51" s="53" t="str">
        <f aca="false">IF(D51="","",D51-C51)</f>
        <v/>
      </c>
      <c r="H51" s="13" t="str">
        <f aca="false">IF(D51="","",IF(D51&gt;=C51,"En meta",IF(D51&gt;=C51-0.05,"Riesgo","Atrasado")))</f>
        <v/>
      </c>
      <c r="I51" s="56"/>
      <c r="J51" s="55" t="str">
        <f aca="false">IF(I51="","",IF($I$9="","",IF($I$9=0,"",I51/$I$9)))</f>
        <v/>
      </c>
      <c r="K51" s="54"/>
      <c r="L51" s="55" t="str">
        <f aca="false">IF(K51="","",IF($K$9="","",IF($K$9=0,"",K51/$K$9)))</f>
        <v/>
      </c>
      <c r="M51" s="56"/>
      <c r="N51" s="55" t="str">
        <f aca="false">IF(M51="","",IF($M$9="","",IF($M$9=0,"",M51/$M$9)))</f>
        <v/>
      </c>
      <c r="O51" s="56"/>
      <c r="P51" s="55" t="str">
        <f aca="false">IF(O51="","",IF($O$9="","",IF($O$9=0,"",O51/$O$9)))</f>
        <v/>
      </c>
      <c r="Q51" s="54"/>
      <c r="R51" s="55" t="str">
        <f aca="false">IF(Q51="","",IF($Q$9="","",IF($Q$9=0,"",Q51/$Q$9)))</f>
        <v/>
      </c>
      <c r="S51" s="56"/>
      <c r="T51" s="55" t="str">
        <f aca="false">IF(S51="","",IF($S$9="","",IF($S$9=0,"",S51/$S$9)))</f>
        <v/>
      </c>
      <c r="U51" s="54"/>
      <c r="V51" s="55" t="str">
        <f aca="false">IF(U51="","",IF($U$9="","",IF($U$9=0,"",U51/$U$9)))</f>
        <v/>
      </c>
      <c r="W51" s="54"/>
      <c r="X51" s="55" t="str">
        <f aca="false">IF(W51="","",IF($W$9="","",IF($W$9=0,"",W51/$W$9)))</f>
        <v/>
      </c>
    </row>
    <row r="52" customFormat="false" ht="15" hidden="false" customHeight="false" outlineLevel="0" collapsed="false">
      <c r="A52" s="28" t="n">
        <v>42</v>
      </c>
      <c r="B52" s="57" t="n">
        <v>46475</v>
      </c>
      <c r="C52" s="65" t="n">
        <f aca="false">$B$5</f>
        <v>1</v>
      </c>
      <c r="D52" s="52"/>
      <c r="E52" s="28"/>
      <c r="F52" s="28"/>
      <c r="G52" s="59" t="str">
        <f aca="false">IF(D52="","",D52-C52)</f>
        <v/>
      </c>
      <c r="H52" s="14" t="str">
        <f aca="false">IF(D52="","",IF(D52&gt;=C52,"En meta",IF(D52&gt;=C52-0.05,"Riesgo","Atrasado")))</f>
        <v/>
      </c>
      <c r="I52" s="56"/>
      <c r="J52" s="60" t="str">
        <f aca="false">IF(I52="","",IF($I$9="","",IF($I$9=0,"",I52/$I$9)))</f>
        <v/>
      </c>
      <c r="K52" s="54"/>
      <c r="L52" s="60" t="str">
        <f aca="false">IF(K52="","",IF($K$9="","",IF($K$9=0,"",K52/$K$9)))</f>
        <v/>
      </c>
      <c r="M52" s="56"/>
      <c r="N52" s="60" t="str">
        <f aca="false">IF(M52="","",IF($M$9="","",IF($M$9=0,"",M52/$M$9)))</f>
        <v/>
      </c>
      <c r="O52" s="56"/>
      <c r="P52" s="60" t="str">
        <f aca="false">IF(O52="","",IF($O$9="","",IF($O$9=0,"",O52/$O$9)))</f>
        <v/>
      </c>
      <c r="Q52" s="54"/>
      <c r="R52" s="60" t="str">
        <f aca="false">IF(Q52="","",IF($Q$9="","",IF($Q$9=0,"",Q52/$Q$9)))</f>
        <v/>
      </c>
      <c r="S52" s="56"/>
      <c r="T52" s="60" t="str">
        <f aca="false">IF(S52="","",IF($S$9="","",IF($S$9=0,"",S52/$S$9)))</f>
        <v/>
      </c>
      <c r="U52" s="54"/>
      <c r="V52" s="60" t="str">
        <f aca="false">IF(U52="","",IF($U$9="","",IF($U$9=0,"",U52/$U$9)))</f>
        <v/>
      </c>
      <c r="W52" s="54"/>
      <c r="X52" s="60" t="str">
        <f aca="false">IF(W52="","",IF($W$9="","",IF($W$9=0,"",W52/$W$9)))</f>
        <v/>
      </c>
    </row>
    <row r="53" customFormat="false" ht="15" hidden="false" customHeight="false" outlineLevel="0" collapsed="false">
      <c r="A53" s="5" t="n">
        <v>43</v>
      </c>
      <c r="B53" s="50" t="n">
        <v>46482</v>
      </c>
      <c r="C53" s="64" t="n">
        <f aca="false">$B$5</f>
        <v>1</v>
      </c>
      <c r="D53" s="52"/>
      <c r="E53" s="5"/>
      <c r="F53" s="5"/>
      <c r="G53" s="53" t="str">
        <f aca="false">IF(D53="","",D53-C53)</f>
        <v/>
      </c>
      <c r="H53" s="13" t="str">
        <f aca="false">IF(D53="","",IF(D53&gt;=C53,"En meta",IF(D53&gt;=C53-0.05,"Riesgo","Atrasado")))</f>
        <v/>
      </c>
      <c r="I53" s="56"/>
      <c r="J53" s="55" t="str">
        <f aca="false">IF(I53="","",IF($I$9="","",IF($I$9=0,"",I53/$I$9)))</f>
        <v/>
      </c>
      <c r="K53" s="54"/>
      <c r="L53" s="55" t="str">
        <f aca="false">IF(K53="","",IF($K$9="","",IF($K$9=0,"",K53/$K$9)))</f>
        <v/>
      </c>
      <c r="M53" s="56"/>
      <c r="N53" s="55" t="str">
        <f aca="false">IF(M53="","",IF($M$9="","",IF($M$9=0,"",M53/$M$9)))</f>
        <v/>
      </c>
      <c r="O53" s="56"/>
      <c r="P53" s="55" t="str">
        <f aca="false">IF(O53="","",IF($O$9="","",IF($O$9=0,"",O53/$O$9)))</f>
        <v/>
      </c>
      <c r="Q53" s="54"/>
      <c r="R53" s="55" t="str">
        <f aca="false">IF(Q53="","",IF($Q$9="","",IF($Q$9=0,"",Q53/$Q$9)))</f>
        <v/>
      </c>
      <c r="S53" s="56"/>
      <c r="T53" s="55" t="str">
        <f aca="false">IF(S53="","",IF($S$9="","",IF($S$9=0,"",S53/$S$9)))</f>
        <v/>
      </c>
      <c r="U53" s="54"/>
      <c r="V53" s="55" t="str">
        <f aca="false">IF(U53="","",IF($U$9="","",IF($U$9=0,"",U53/$U$9)))</f>
        <v/>
      </c>
      <c r="W53" s="54"/>
      <c r="X53" s="55" t="str">
        <f aca="false">IF(W53="","",IF($W$9="","",IF($W$9=0,"",W53/$W$9)))</f>
        <v/>
      </c>
    </row>
    <row r="54" customFormat="false" ht="15" hidden="false" customHeight="false" outlineLevel="0" collapsed="false">
      <c r="A54" s="28" t="n">
        <v>44</v>
      </c>
      <c r="B54" s="57" t="n">
        <v>46489</v>
      </c>
      <c r="C54" s="65" t="n">
        <f aca="false">$B$5</f>
        <v>1</v>
      </c>
      <c r="D54" s="52"/>
      <c r="E54" s="28"/>
      <c r="F54" s="28"/>
      <c r="G54" s="59" t="str">
        <f aca="false">IF(D54="","",D54-C54)</f>
        <v/>
      </c>
      <c r="H54" s="14" t="str">
        <f aca="false">IF(D54="","",IF(D54&gt;=C54,"En meta",IF(D54&gt;=C54-0.05,"Riesgo","Atrasado")))</f>
        <v/>
      </c>
      <c r="I54" s="56"/>
      <c r="J54" s="60" t="str">
        <f aca="false">IF(I54="","",IF($I$9="","",IF($I$9=0,"",I54/$I$9)))</f>
        <v/>
      </c>
      <c r="K54" s="54"/>
      <c r="L54" s="60" t="str">
        <f aca="false">IF(K54="","",IF($K$9="","",IF($K$9=0,"",K54/$K$9)))</f>
        <v/>
      </c>
      <c r="M54" s="56"/>
      <c r="N54" s="60" t="str">
        <f aca="false">IF(M54="","",IF($M$9="","",IF($M$9=0,"",M54/$M$9)))</f>
        <v/>
      </c>
      <c r="O54" s="56"/>
      <c r="P54" s="60" t="str">
        <f aca="false">IF(O54="","",IF($O$9="","",IF($O$9=0,"",O54/$O$9)))</f>
        <v/>
      </c>
      <c r="Q54" s="54"/>
      <c r="R54" s="60" t="str">
        <f aca="false">IF(Q54="","",IF($Q$9="","",IF($Q$9=0,"",Q54/$Q$9)))</f>
        <v/>
      </c>
      <c r="S54" s="56"/>
      <c r="T54" s="60" t="str">
        <f aca="false">IF(S54="","",IF($S$9="","",IF($S$9=0,"",S54/$S$9)))</f>
        <v/>
      </c>
      <c r="U54" s="54"/>
      <c r="V54" s="60" t="str">
        <f aca="false">IF(U54="","",IF($U$9="","",IF($U$9=0,"",U54/$U$9)))</f>
        <v/>
      </c>
      <c r="W54" s="54"/>
      <c r="X54" s="60" t="str">
        <f aca="false">IF(W54="","",IF($W$9="","",IF($W$9=0,"",W54/$W$9)))</f>
        <v/>
      </c>
    </row>
    <row r="55" customFormat="false" ht="15" hidden="false" customHeight="false" outlineLevel="0" collapsed="false">
      <c r="A55" s="5" t="n">
        <v>45</v>
      </c>
      <c r="B55" s="50" t="n">
        <v>46496</v>
      </c>
      <c r="C55" s="64" t="n">
        <f aca="false">$B$5</f>
        <v>1</v>
      </c>
      <c r="D55" s="52"/>
      <c r="E55" s="5"/>
      <c r="F55" s="5"/>
      <c r="G55" s="53" t="str">
        <f aca="false">IF(D55="","",D55-C55)</f>
        <v/>
      </c>
      <c r="H55" s="13" t="str">
        <f aca="false">IF(D55="","",IF(D55&gt;=C55,"En meta",IF(D55&gt;=C55-0.05,"Riesgo","Atrasado")))</f>
        <v/>
      </c>
      <c r="I55" s="56"/>
      <c r="J55" s="55" t="str">
        <f aca="false">IF(I55="","",IF($I$9="","",IF($I$9=0,"",I55/$I$9)))</f>
        <v/>
      </c>
      <c r="K55" s="54"/>
      <c r="L55" s="55" t="str">
        <f aca="false">IF(K55="","",IF($K$9="","",IF($K$9=0,"",K55/$K$9)))</f>
        <v/>
      </c>
      <c r="M55" s="56"/>
      <c r="N55" s="55" t="str">
        <f aca="false">IF(M55="","",IF($M$9="","",IF($M$9=0,"",M55/$M$9)))</f>
        <v/>
      </c>
      <c r="O55" s="56"/>
      <c r="P55" s="55" t="str">
        <f aca="false">IF(O55="","",IF($O$9="","",IF($O$9=0,"",O55/$O$9)))</f>
        <v/>
      </c>
      <c r="Q55" s="54"/>
      <c r="R55" s="55" t="str">
        <f aca="false">IF(Q55="","",IF($Q$9="","",IF($Q$9=0,"",Q55/$Q$9)))</f>
        <v/>
      </c>
      <c r="S55" s="56"/>
      <c r="T55" s="55" t="str">
        <f aca="false">IF(S55="","",IF($S$9="","",IF($S$9=0,"",S55/$S$9)))</f>
        <v/>
      </c>
      <c r="U55" s="54"/>
      <c r="V55" s="55" t="str">
        <f aca="false">IF(U55="","",IF($U$9="","",IF($U$9=0,"",U55/$U$9)))</f>
        <v/>
      </c>
      <c r="W55" s="54"/>
      <c r="X55" s="55" t="str">
        <f aca="false">IF(W55="","",IF($W$9="","",IF($W$9=0,"",W55/$W$9)))</f>
        <v/>
      </c>
    </row>
    <row r="56" customFormat="false" ht="15" hidden="false" customHeight="false" outlineLevel="0" collapsed="false">
      <c r="A56" s="28" t="n">
        <v>46</v>
      </c>
      <c r="B56" s="57" t="n">
        <v>46503</v>
      </c>
      <c r="C56" s="65" t="n">
        <f aca="false">$B$5</f>
        <v>1</v>
      </c>
      <c r="D56" s="52"/>
      <c r="E56" s="28"/>
      <c r="F56" s="28"/>
      <c r="G56" s="59" t="str">
        <f aca="false">IF(D56="","",D56-C56)</f>
        <v/>
      </c>
      <c r="H56" s="14" t="str">
        <f aca="false">IF(D56="","",IF(D56&gt;=C56,"En meta",IF(D56&gt;=C56-0.05,"Riesgo","Atrasado")))</f>
        <v/>
      </c>
      <c r="I56" s="56"/>
      <c r="J56" s="60" t="str">
        <f aca="false">IF(I56="","",IF($I$9="","",IF($I$9=0,"",I56/$I$9)))</f>
        <v/>
      </c>
      <c r="K56" s="54"/>
      <c r="L56" s="60" t="str">
        <f aca="false">IF(K56="","",IF($K$9="","",IF($K$9=0,"",K56/$K$9)))</f>
        <v/>
      </c>
      <c r="M56" s="56"/>
      <c r="N56" s="60" t="str">
        <f aca="false">IF(M56="","",IF($M$9="","",IF($M$9=0,"",M56/$M$9)))</f>
        <v/>
      </c>
      <c r="O56" s="56"/>
      <c r="P56" s="60" t="str">
        <f aca="false">IF(O56="","",IF($O$9="","",IF($O$9=0,"",O56/$O$9)))</f>
        <v/>
      </c>
      <c r="Q56" s="54"/>
      <c r="R56" s="60" t="str">
        <f aca="false">IF(Q56="","",IF($Q$9="","",IF($Q$9=0,"",Q56/$Q$9)))</f>
        <v/>
      </c>
      <c r="S56" s="56"/>
      <c r="T56" s="60" t="str">
        <f aca="false">IF(S56="","",IF($S$9="","",IF($S$9=0,"",S56/$S$9)))</f>
        <v/>
      </c>
      <c r="U56" s="54"/>
      <c r="V56" s="60" t="str">
        <f aca="false">IF(U56="","",IF($U$9="","",IF($U$9=0,"",U56/$U$9)))</f>
        <v/>
      </c>
      <c r="W56" s="54"/>
      <c r="X56" s="60" t="str">
        <f aca="false">IF(W56="","",IF($W$9="","",IF($W$9=0,"",W56/$W$9)))</f>
        <v/>
      </c>
    </row>
    <row r="57" customFormat="false" ht="15" hidden="false" customHeight="false" outlineLevel="0" collapsed="false">
      <c r="A57" s="5" t="n">
        <v>47</v>
      </c>
      <c r="B57" s="50" t="n">
        <v>46510</v>
      </c>
      <c r="C57" s="64" t="n">
        <f aca="false">$B$5</f>
        <v>1</v>
      </c>
      <c r="D57" s="52"/>
      <c r="E57" s="5"/>
      <c r="F57" s="5"/>
      <c r="G57" s="53" t="str">
        <f aca="false">IF(D57="","",D57-C57)</f>
        <v/>
      </c>
      <c r="H57" s="13" t="str">
        <f aca="false">IF(D57="","",IF(D57&gt;=C57,"En meta",IF(D57&gt;=C57-0.05,"Riesgo","Atrasado")))</f>
        <v/>
      </c>
      <c r="I57" s="56"/>
      <c r="J57" s="55" t="str">
        <f aca="false">IF(I57="","",IF($I$9="","",IF($I$9=0,"",I57/$I$9)))</f>
        <v/>
      </c>
      <c r="K57" s="54"/>
      <c r="L57" s="55" t="str">
        <f aca="false">IF(K57="","",IF($K$9="","",IF($K$9=0,"",K57/$K$9)))</f>
        <v/>
      </c>
      <c r="M57" s="56"/>
      <c r="N57" s="55" t="str">
        <f aca="false">IF(M57="","",IF($M$9="","",IF($M$9=0,"",M57/$M$9)))</f>
        <v/>
      </c>
      <c r="O57" s="56"/>
      <c r="P57" s="55" t="str">
        <f aca="false">IF(O57="","",IF($O$9="","",IF($O$9=0,"",O57/$O$9)))</f>
        <v/>
      </c>
      <c r="Q57" s="54"/>
      <c r="R57" s="55" t="str">
        <f aca="false">IF(Q57="","",IF($Q$9="","",IF($Q$9=0,"",Q57/$Q$9)))</f>
        <v/>
      </c>
      <c r="S57" s="56"/>
      <c r="T57" s="55" t="str">
        <f aca="false">IF(S57="","",IF($S$9="","",IF($S$9=0,"",S57/$S$9)))</f>
        <v/>
      </c>
      <c r="U57" s="54"/>
      <c r="V57" s="55" t="str">
        <f aca="false">IF(U57="","",IF($U$9="","",IF($U$9=0,"",U57/$U$9)))</f>
        <v/>
      </c>
      <c r="W57" s="54"/>
      <c r="X57" s="55" t="str">
        <f aca="false">IF(W57="","",IF($W$9="","",IF($W$9=0,"",W57/$W$9)))</f>
        <v/>
      </c>
    </row>
    <row r="58" customFormat="false" ht="15" hidden="false" customHeight="false" outlineLevel="0" collapsed="false">
      <c r="A58" s="28" t="n">
        <v>48</v>
      </c>
      <c r="B58" s="57" t="n">
        <v>46517</v>
      </c>
      <c r="C58" s="65" t="n">
        <f aca="false">$B$5</f>
        <v>1</v>
      </c>
      <c r="D58" s="52"/>
      <c r="E58" s="28"/>
      <c r="F58" s="28"/>
      <c r="G58" s="59" t="str">
        <f aca="false">IF(D58="","",D58-C58)</f>
        <v/>
      </c>
      <c r="H58" s="14" t="str">
        <f aca="false">IF(D58="","",IF(D58&gt;=C58,"En meta",IF(D58&gt;=C58-0.05,"Riesgo","Atrasado")))</f>
        <v/>
      </c>
      <c r="I58" s="56"/>
      <c r="J58" s="60" t="str">
        <f aca="false">IF(I58="","",IF($I$9="","",IF($I$9=0,"",I58/$I$9)))</f>
        <v/>
      </c>
      <c r="K58" s="54"/>
      <c r="L58" s="60" t="str">
        <f aca="false">IF(K58="","",IF($K$9="","",IF($K$9=0,"",K58/$K$9)))</f>
        <v/>
      </c>
      <c r="M58" s="56"/>
      <c r="N58" s="60" t="str">
        <f aca="false">IF(M58="","",IF($M$9="","",IF($M$9=0,"",M58/$M$9)))</f>
        <v/>
      </c>
      <c r="O58" s="56"/>
      <c r="P58" s="60" t="str">
        <f aca="false">IF(O58="","",IF($O$9="","",IF($O$9=0,"",O58/$O$9)))</f>
        <v/>
      </c>
      <c r="Q58" s="54"/>
      <c r="R58" s="60" t="str">
        <f aca="false">IF(Q58="","",IF($Q$9="","",IF($Q$9=0,"",Q58/$Q$9)))</f>
        <v/>
      </c>
      <c r="S58" s="56"/>
      <c r="T58" s="60" t="str">
        <f aca="false">IF(S58="","",IF($S$9="","",IF($S$9=0,"",S58/$S$9)))</f>
        <v/>
      </c>
      <c r="U58" s="54"/>
      <c r="V58" s="60" t="str">
        <f aca="false">IF(U58="","",IF($U$9="","",IF($U$9=0,"",U58/$U$9)))</f>
        <v/>
      </c>
      <c r="W58" s="54"/>
      <c r="X58" s="60" t="str">
        <f aca="false">IF(W58="","",IF($W$9="","",IF($W$9=0,"",W58/$W$9)))</f>
        <v/>
      </c>
    </row>
    <row r="59" customFormat="false" ht="15" hidden="false" customHeight="false" outlineLevel="0" collapsed="false">
      <c r="A59" s="5" t="n">
        <v>49</v>
      </c>
      <c r="B59" s="50" t="n">
        <v>46524</v>
      </c>
      <c r="C59" s="64" t="n">
        <f aca="false">$B$5</f>
        <v>1</v>
      </c>
      <c r="D59" s="52"/>
      <c r="E59" s="5"/>
      <c r="F59" s="5"/>
      <c r="G59" s="53" t="str">
        <f aca="false">IF(D59="","",D59-C59)</f>
        <v/>
      </c>
      <c r="H59" s="13" t="str">
        <f aca="false">IF(D59="","",IF(D59&gt;=C59,"En meta",IF(D59&gt;=C59-0.05,"Riesgo","Atrasado")))</f>
        <v/>
      </c>
      <c r="I59" s="56"/>
      <c r="J59" s="55" t="str">
        <f aca="false">IF(I59="","",IF($I$9="","",IF($I$9=0,"",I59/$I$9)))</f>
        <v/>
      </c>
      <c r="K59" s="54"/>
      <c r="L59" s="55" t="str">
        <f aca="false">IF(K59="","",IF($K$9="","",IF($K$9=0,"",K59/$K$9)))</f>
        <v/>
      </c>
      <c r="M59" s="56"/>
      <c r="N59" s="55" t="str">
        <f aca="false">IF(M59="","",IF($M$9="","",IF($M$9=0,"",M59/$M$9)))</f>
        <v/>
      </c>
      <c r="O59" s="56"/>
      <c r="P59" s="55" t="str">
        <f aca="false">IF(O59="","",IF($O$9="","",IF($O$9=0,"",O59/$O$9)))</f>
        <v/>
      </c>
      <c r="Q59" s="54"/>
      <c r="R59" s="55" t="str">
        <f aca="false">IF(Q59="","",IF($Q$9="","",IF($Q$9=0,"",Q59/$Q$9)))</f>
        <v/>
      </c>
      <c r="S59" s="56"/>
      <c r="T59" s="55" t="str">
        <f aca="false">IF(S59="","",IF($S$9="","",IF($S$9=0,"",S59/$S$9)))</f>
        <v/>
      </c>
      <c r="U59" s="54"/>
      <c r="V59" s="55" t="str">
        <f aca="false">IF(U59="","",IF($U$9="","",IF($U$9=0,"",U59/$U$9)))</f>
        <v/>
      </c>
      <c r="W59" s="54"/>
      <c r="X59" s="55" t="str">
        <f aca="false">IF(W59="","",IF($W$9="","",IF($W$9=0,"",W59/$W$9)))</f>
        <v/>
      </c>
    </row>
    <row r="60" customFormat="false" ht="15" hidden="false" customHeight="false" outlineLevel="0" collapsed="false">
      <c r="A60" s="28" t="n">
        <v>50</v>
      </c>
      <c r="B60" s="57" t="n">
        <v>46531</v>
      </c>
      <c r="C60" s="65" t="n">
        <f aca="false">$B$5</f>
        <v>1</v>
      </c>
      <c r="D60" s="52"/>
      <c r="E60" s="28"/>
      <c r="F60" s="28"/>
      <c r="G60" s="59" t="str">
        <f aca="false">IF(D60="","",D60-C60)</f>
        <v/>
      </c>
      <c r="H60" s="14" t="str">
        <f aca="false">IF(D60="","",IF(D60&gt;=C60,"En meta",IF(D60&gt;=C60-0.05,"Riesgo","Atrasado")))</f>
        <v/>
      </c>
      <c r="I60" s="56"/>
      <c r="J60" s="60" t="str">
        <f aca="false">IF(I60="","",IF($I$9="","",IF($I$9=0,"",I60/$I$9)))</f>
        <v/>
      </c>
      <c r="K60" s="54"/>
      <c r="L60" s="60" t="str">
        <f aca="false">IF(K60="","",IF($K$9="","",IF($K$9=0,"",K60/$K$9)))</f>
        <v/>
      </c>
      <c r="M60" s="56"/>
      <c r="N60" s="60" t="str">
        <f aca="false">IF(M60="","",IF($M$9="","",IF($M$9=0,"",M60/$M$9)))</f>
        <v/>
      </c>
      <c r="O60" s="56"/>
      <c r="P60" s="60" t="str">
        <f aca="false">IF(O60="","",IF($O$9="","",IF($O$9=0,"",O60/$O$9)))</f>
        <v/>
      </c>
      <c r="Q60" s="54"/>
      <c r="R60" s="60" t="str">
        <f aca="false">IF(Q60="","",IF($Q$9="","",IF($Q$9=0,"",Q60/$Q$9)))</f>
        <v/>
      </c>
      <c r="S60" s="56"/>
      <c r="T60" s="60" t="str">
        <f aca="false">IF(S60="","",IF($S$9="","",IF($S$9=0,"",S60/$S$9)))</f>
        <v/>
      </c>
      <c r="U60" s="54"/>
      <c r="V60" s="60" t="str">
        <f aca="false">IF(U60="","",IF($U$9="","",IF($U$9=0,"",U60/$U$9)))</f>
        <v/>
      </c>
      <c r="W60" s="54"/>
      <c r="X60" s="60" t="str">
        <f aca="false">IF(W60="","",IF($W$9="","",IF($W$9=0,"",W60/$W$9)))</f>
        <v/>
      </c>
    </row>
    <row r="61" customFormat="false" ht="15" hidden="false" customHeight="false" outlineLevel="0" collapsed="false">
      <c r="A61" s="5" t="n">
        <v>51</v>
      </c>
      <c r="B61" s="50" t="n">
        <v>46538</v>
      </c>
      <c r="C61" s="64" t="n">
        <f aca="false">$B$5</f>
        <v>1</v>
      </c>
      <c r="D61" s="52"/>
      <c r="E61" s="5"/>
      <c r="F61" s="5"/>
      <c r="G61" s="53" t="str">
        <f aca="false">IF(D61="","",D61-C61)</f>
        <v/>
      </c>
      <c r="H61" s="13" t="str">
        <f aca="false">IF(D61="","",IF(D61&gt;=C61,"En meta",IF(D61&gt;=C61-0.05,"Riesgo","Atrasado")))</f>
        <v/>
      </c>
      <c r="I61" s="56"/>
      <c r="J61" s="55" t="str">
        <f aca="false">IF(I61="","",IF($I$9="","",IF($I$9=0,"",I61/$I$9)))</f>
        <v/>
      </c>
      <c r="K61" s="54"/>
      <c r="L61" s="55" t="str">
        <f aca="false">IF(K61="","",IF($K$9="","",IF($K$9=0,"",K61/$K$9)))</f>
        <v/>
      </c>
      <c r="M61" s="56"/>
      <c r="N61" s="55" t="str">
        <f aca="false">IF(M61="","",IF($M$9="","",IF($M$9=0,"",M61/$M$9)))</f>
        <v/>
      </c>
      <c r="O61" s="56"/>
      <c r="P61" s="55" t="str">
        <f aca="false">IF(O61="","",IF($O$9="","",IF($O$9=0,"",O61/$O$9)))</f>
        <v/>
      </c>
      <c r="Q61" s="54"/>
      <c r="R61" s="55" t="str">
        <f aca="false">IF(Q61="","",IF($Q$9="","",IF($Q$9=0,"",Q61/$Q$9)))</f>
        <v/>
      </c>
      <c r="S61" s="56"/>
      <c r="T61" s="55" t="str">
        <f aca="false">IF(S61="","",IF($S$9="","",IF($S$9=0,"",S61/$S$9)))</f>
        <v/>
      </c>
      <c r="U61" s="54"/>
      <c r="V61" s="55" t="str">
        <f aca="false">IF(U61="","",IF($U$9="","",IF($U$9=0,"",U61/$U$9)))</f>
        <v/>
      </c>
      <c r="W61" s="54"/>
      <c r="X61" s="55" t="str">
        <f aca="false">IF(W61="","",IF($W$9="","",IF($W$9=0,"",W61/$W$9)))</f>
        <v/>
      </c>
    </row>
    <row r="62" customFormat="false" ht="15" hidden="false" customHeight="false" outlineLevel="0" collapsed="false">
      <c r="A62" s="28" t="n">
        <v>52</v>
      </c>
      <c r="B62" s="57" t="n">
        <v>46545</v>
      </c>
      <c r="C62" s="65" t="n">
        <f aca="false">$B$5</f>
        <v>1</v>
      </c>
      <c r="D62" s="52"/>
      <c r="E62" s="28"/>
      <c r="F62" s="28"/>
      <c r="G62" s="59" t="str">
        <f aca="false">IF(D62="","",D62-C62)</f>
        <v/>
      </c>
      <c r="H62" s="14" t="str">
        <f aca="false">IF(D62="","",IF(D62&gt;=C62,"En meta",IF(D62&gt;=C62-0.05,"Riesgo","Atrasado")))</f>
        <v/>
      </c>
      <c r="I62" s="56"/>
      <c r="J62" s="60" t="str">
        <f aca="false">IF(I62="","",IF($I$9="","",IF($I$9=0,"",I62/$I$9)))</f>
        <v/>
      </c>
      <c r="K62" s="54"/>
      <c r="L62" s="60" t="str">
        <f aca="false">IF(K62="","",IF($K$9="","",IF($K$9=0,"",K62/$K$9)))</f>
        <v/>
      </c>
      <c r="M62" s="56"/>
      <c r="N62" s="60" t="str">
        <f aca="false">IF(M62="","",IF($M$9="","",IF($M$9=0,"",M62/$M$9)))</f>
        <v/>
      </c>
      <c r="O62" s="56"/>
      <c r="P62" s="60" t="str">
        <f aca="false">IF(O62="","",IF($O$9="","",IF($O$9=0,"",O62/$O$9)))</f>
        <v/>
      </c>
      <c r="Q62" s="54"/>
      <c r="R62" s="60" t="str">
        <f aca="false">IF(Q62="","",IF($Q$9="","",IF($Q$9=0,"",Q62/$Q$9)))</f>
        <v/>
      </c>
      <c r="S62" s="56"/>
      <c r="T62" s="60" t="str">
        <f aca="false">IF(S62="","",IF($S$9="","",IF($S$9=0,"",S62/$S$9)))</f>
        <v/>
      </c>
      <c r="U62" s="54"/>
      <c r="V62" s="60" t="str">
        <f aca="false">IF(U62="","",IF($U$9="","",IF($U$9=0,"",U62/$U$9)))</f>
        <v/>
      </c>
      <c r="W62" s="54"/>
      <c r="X62" s="60" t="str">
        <f aca="false">IF(W62="","",IF($W$9="","",IF($W$9=0,"",W62/$W$9)))</f>
        <v/>
      </c>
    </row>
    <row r="63" customFormat="false" ht="15" hidden="false" customHeight="false" outlineLevel="0" collapsed="false">
      <c r="A63" s="5" t="n">
        <v>53</v>
      </c>
      <c r="B63" s="50" t="n">
        <v>46552</v>
      </c>
      <c r="C63" s="64" t="n">
        <f aca="false">$B$5</f>
        <v>1</v>
      </c>
      <c r="D63" s="52"/>
      <c r="E63" s="5"/>
      <c r="F63" s="5"/>
      <c r="G63" s="53" t="str">
        <f aca="false">IF(D63="","",D63-C63)</f>
        <v/>
      </c>
      <c r="H63" s="13" t="str">
        <f aca="false">IF(D63="","",IF(D63&gt;=C63,"En meta",IF(D63&gt;=C63-0.05,"Riesgo","Atrasado")))</f>
        <v/>
      </c>
      <c r="I63" s="56"/>
      <c r="J63" s="55" t="str">
        <f aca="false">IF(I63="","",IF($I$9="","",IF($I$9=0,"",I63/$I$9)))</f>
        <v/>
      </c>
      <c r="K63" s="54"/>
      <c r="L63" s="55" t="str">
        <f aca="false">IF(K63="","",IF($K$9="","",IF($K$9=0,"",K63/$K$9)))</f>
        <v/>
      </c>
      <c r="M63" s="56"/>
      <c r="N63" s="55" t="str">
        <f aca="false">IF(M63="","",IF($M$9="","",IF($M$9=0,"",M63/$M$9)))</f>
        <v/>
      </c>
      <c r="O63" s="56"/>
      <c r="P63" s="55" t="str">
        <f aca="false">IF(O63="","",IF($O$9="","",IF($O$9=0,"",O63/$O$9)))</f>
        <v/>
      </c>
      <c r="Q63" s="54"/>
      <c r="R63" s="55" t="str">
        <f aca="false">IF(Q63="","",IF($Q$9="","",IF($Q$9=0,"",Q63/$Q$9)))</f>
        <v/>
      </c>
      <c r="S63" s="56"/>
      <c r="T63" s="55" t="str">
        <f aca="false">IF(S63="","",IF($S$9="","",IF($S$9=0,"",S63/$S$9)))</f>
        <v/>
      </c>
      <c r="U63" s="54"/>
      <c r="V63" s="55" t="str">
        <f aca="false">IF(U63="","",IF($U$9="","",IF($U$9=0,"",U63/$U$9)))</f>
        <v/>
      </c>
      <c r="W63" s="54"/>
      <c r="X63" s="55" t="str">
        <f aca="false">IF(W63="","",IF($W$9="","",IF($W$9=0,"",W63/$W$9)))</f>
        <v/>
      </c>
    </row>
    <row r="64" customFormat="false" ht="15" hidden="false" customHeight="false" outlineLevel="0" collapsed="false">
      <c r="A64" s="28" t="n">
        <v>54</v>
      </c>
      <c r="B64" s="57" t="n">
        <v>46559</v>
      </c>
      <c r="C64" s="65" t="n">
        <f aca="false">$B$5</f>
        <v>1</v>
      </c>
      <c r="D64" s="52"/>
      <c r="E64" s="28"/>
      <c r="F64" s="28"/>
      <c r="G64" s="59" t="str">
        <f aca="false">IF(D64="","",D64-C64)</f>
        <v/>
      </c>
      <c r="H64" s="14" t="str">
        <f aca="false">IF(D64="","",IF(D64&gt;=C64,"En meta",IF(D64&gt;=C64-0.05,"Riesgo","Atrasado")))</f>
        <v/>
      </c>
      <c r="I64" s="56"/>
      <c r="J64" s="60" t="str">
        <f aca="false">IF(I64="","",IF($I$9="","",IF($I$9=0,"",I64/$I$9)))</f>
        <v/>
      </c>
      <c r="K64" s="54"/>
      <c r="L64" s="60" t="str">
        <f aca="false">IF(K64="","",IF($K$9="","",IF($K$9=0,"",K64/$K$9)))</f>
        <v/>
      </c>
      <c r="M64" s="56"/>
      <c r="N64" s="60" t="str">
        <f aca="false">IF(M64="","",IF($M$9="","",IF($M$9=0,"",M64/$M$9)))</f>
        <v/>
      </c>
      <c r="O64" s="56"/>
      <c r="P64" s="60" t="str">
        <f aca="false">IF(O64="","",IF($O$9="","",IF($O$9=0,"",O64/$O$9)))</f>
        <v/>
      </c>
      <c r="Q64" s="54"/>
      <c r="R64" s="60" t="str">
        <f aca="false">IF(Q64="","",IF($Q$9="","",IF($Q$9=0,"",Q64/$Q$9)))</f>
        <v/>
      </c>
      <c r="S64" s="56"/>
      <c r="T64" s="60" t="str">
        <f aca="false">IF(S64="","",IF($S$9="","",IF($S$9=0,"",S64/$S$9)))</f>
        <v/>
      </c>
      <c r="U64" s="54"/>
      <c r="V64" s="60" t="str">
        <f aca="false">IF(U64="","",IF($U$9="","",IF($U$9=0,"",U64/$U$9)))</f>
        <v/>
      </c>
      <c r="W64" s="54"/>
      <c r="X64" s="60" t="str">
        <f aca="false">IF(W64="","",IF($W$9="","",IF($W$9=0,"",W64/$W$9)))</f>
        <v/>
      </c>
    </row>
    <row r="65" customFormat="false" ht="15" hidden="false" customHeight="false" outlineLevel="0" collapsed="false">
      <c r="A65" s="5" t="n">
        <v>55</v>
      </c>
      <c r="B65" s="50" t="n">
        <v>46566</v>
      </c>
      <c r="C65" s="64" t="n">
        <f aca="false">$B$5</f>
        <v>1</v>
      </c>
      <c r="D65" s="52"/>
      <c r="E65" s="5"/>
      <c r="F65" s="5"/>
      <c r="G65" s="53" t="str">
        <f aca="false">IF(D65="","",D65-C65)</f>
        <v/>
      </c>
      <c r="H65" s="13" t="str">
        <f aca="false">IF(D65="","",IF(D65&gt;=C65,"En meta",IF(D65&gt;=C65-0.05,"Riesgo","Atrasado")))</f>
        <v/>
      </c>
      <c r="I65" s="56"/>
      <c r="J65" s="55" t="str">
        <f aca="false">IF(I65="","",IF($I$9="","",IF($I$9=0,"",I65/$I$9)))</f>
        <v/>
      </c>
      <c r="K65" s="54"/>
      <c r="L65" s="55" t="str">
        <f aca="false">IF(K65="","",IF($K$9="","",IF($K$9=0,"",K65/$K$9)))</f>
        <v/>
      </c>
      <c r="M65" s="56"/>
      <c r="N65" s="55" t="str">
        <f aca="false">IF(M65="","",IF($M$9="","",IF($M$9=0,"",M65/$M$9)))</f>
        <v/>
      </c>
      <c r="O65" s="56"/>
      <c r="P65" s="55" t="str">
        <f aca="false">IF(O65="","",IF($O$9="","",IF($O$9=0,"",O65/$O$9)))</f>
        <v/>
      </c>
      <c r="Q65" s="54"/>
      <c r="R65" s="55" t="str">
        <f aca="false">IF(Q65="","",IF($Q$9="","",IF($Q$9=0,"",Q65/$Q$9)))</f>
        <v/>
      </c>
      <c r="S65" s="56"/>
      <c r="T65" s="55" t="str">
        <f aca="false">IF(S65="","",IF($S$9="","",IF($S$9=0,"",S65/$S$9)))</f>
        <v/>
      </c>
      <c r="U65" s="54"/>
      <c r="V65" s="55" t="str">
        <f aca="false">IF(U65="","",IF($U$9="","",IF($U$9=0,"",U65/$U$9)))</f>
        <v/>
      </c>
      <c r="W65" s="54"/>
      <c r="X65" s="55" t="str">
        <f aca="false">IF(W65="","",IF($W$9="","",IF($W$9=0,"",W65/$W$9)))</f>
        <v/>
      </c>
    </row>
    <row r="66" customFormat="false" ht="15" hidden="false" customHeight="false" outlineLevel="0" collapsed="false">
      <c r="A66" s="28" t="n">
        <v>56</v>
      </c>
      <c r="B66" s="57" t="n">
        <v>46573</v>
      </c>
      <c r="C66" s="65" t="n">
        <f aca="false">$B$5</f>
        <v>1</v>
      </c>
      <c r="D66" s="52"/>
      <c r="E66" s="28"/>
      <c r="F66" s="28"/>
      <c r="G66" s="59" t="str">
        <f aca="false">IF(D66="","",D66-C66)</f>
        <v/>
      </c>
      <c r="H66" s="14" t="str">
        <f aca="false">IF(D66="","",IF(D66&gt;=C66,"En meta",IF(D66&gt;=C66-0.05,"Riesgo","Atrasado")))</f>
        <v/>
      </c>
      <c r="I66" s="56"/>
      <c r="J66" s="60" t="str">
        <f aca="false">IF(I66="","",IF($I$9="","",IF($I$9=0,"",I66/$I$9)))</f>
        <v/>
      </c>
      <c r="K66" s="54"/>
      <c r="L66" s="60" t="str">
        <f aca="false">IF(K66="","",IF($K$9="","",IF($K$9=0,"",K66/$K$9)))</f>
        <v/>
      </c>
      <c r="M66" s="56"/>
      <c r="N66" s="60" t="str">
        <f aca="false">IF(M66="","",IF($M$9="","",IF($M$9=0,"",M66/$M$9)))</f>
        <v/>
      </c>
      <c r="O66" s="56"/>
      <c r="P66" s="60" t="str">
        <f aca="false">IF(O66="","",IF($O$9="","",IF($O$9=0,"",O66/$O$9)))</f>
        <v/>
      </c>
      <c r="Q66" s="54"/>
      <c r="R66" s="60" t="str">
        <f aca="false">IF(Q66="","",IF($Q$9="","",IF($Q$9=0,"",Q66/$Q$9)))</f>
        <v/>
      </c>
      <c r="S66" s="56"/>
      <c r="T66" s="60" t="str">
        <f aca="false">IF(S66="","",IF($S$9="","",IF($S$9=0,"",S66/$S$9)))</f>
        <v/>
      </c>
      <c r="U66" s="54"/>
      <c r="V66" s="60" t="str">
        <f aca="false">IF(U66="","",IF($U$9="","",IF($U$9=0,"",U66/$U$9)))</f>
        <v/>
      </c>
      <c r="W66" s="54"/>
      <c r="X66" s="60" t="str">
        <f aca="false">IF(W66="","",IF($W$9="","",IF($W$9=0,"",W66/$W$9)))</f>
        <v/>
      </c>
    </row>
    <row r="67" customFormat="false" ht="15" hidden="false" customHeight="false" outlineLevel="0" collapsed="false">
      <c r="A67" s="5" t="n">
        <v>57</v>
      </c>
      <c r="B67" s="50" t="n">
        <v>46580</v>
      </c>
      <c r="C67" s="64" t="n">
        <f aca="false">$B$5</f>
        <v>1</v>
      </c>
      <c r="D67" s="52"/>
      <c r="E67" s="5"/>
      <c r="F67" s="5"/>
      <c r="G67" s="53" t="str">
        <f aca="false">IF(D67="","",D67-C67)</f>
        <v/>
      </c>
      <c r="H67" s="13" t="str">
        <f aca="false">IF(D67="","",IF(D67&gt;=C67,"En meta",IF(D67&gt;=C67-0.05,"Riesgo","Atrasado")))</f>
        <v/>
      </c>
      <c r="I67" s="56"/>
      <c r="J67" s="55" t="str">
        <f aca="false">IF(I67="","",IF($I$9="","",IF($I$9=0,"",I67/$I$9)))</f>
        <v/>
      </c>
      <c r="K67" s="54"/>
      <c r="L67" s="55" t="str">
        <f aca="false">IF(K67="","",IF($K$9="","",IF($K$9=0,"",K67/$K$9)))</f>
        <v/>
      </c>
      <c r="M67" s="56"/>
      <c r="N67" s="55" t="str">
        <f aca="false">IF(M67="","",IF($M$9="","",IF($M$9=0,"",M67/$M$9)))</f>
        <v/>
      </c>
      <c r="O67" s="56"/>
      <c r="P67" s="55" t="str">
        <f aca="false">IF(O67="","",IF($O$9="","",IF($O$9=0,"",O67/$O$9)))</f>
        <v/>
      </c>
      <c r="Q67" s="54"/>
      <c r="R67" s="55" t="str">
        <f aca="false">IF(Q67="","",IF($Q$9="","",IF($Q$9=0,"",Q67/$Q$9)))</f>
        <v/>
      </c>
      <c r="S67" s="56"/>
      <c r="T67" s="55" t="str">
        <f aca="false">IF(S67="","",IF($S$9="","",IF($S$9=0,"",S67/$S$9)))</f>
        <v/>
      </c>
      <c r="U67" s="54"/>
      <c r="V67" s="55" t="str">
        <f aca="false">IF(U67="","",IF($U$9="","",IF($U$9=0,"",U67/$U$9)))</f>
        <v/>
      </c>
      <c r="W67" s="54"/>
      <c r="X67" s="55" t="str">
        <f aca="false">IF(W67="","",IF($W$9="","",IF($W$9=0,"",W67/$W$9)))</f>
        <v/>
      </c>
    </row>
    <row r="68" customFormat="false" ht="15" hidden="false" customHeight="false" outlineLevel="0" collapsed="false">
      <c r="A68" s="28" t="n">
        <v>58</v>
      </c>
      <c r="B68" s="57" t="n">
        <v>46587</v>
      </c>
      <c r="C68" s="65" t="n">
        <f aca="false">$B$5</f>
        <v>1</v>
      </c>
      <c r="D68" s="52"/>
      <c r="E68" s="28"/>
      <c r="F68" s="28"/>
      <c r="G68" s="59" t="str">
        <f aca="false">IF(D68="","",D68-C68)</f>
        <v/>
      </c>
      <c r="H68" s="14" t="str">
        <f aca="false">IF(D68="","",IF(D68&gt;=C68,"En meta",IF(D68&gt;=C68-0.05,"Riesgo","Atrasado")))</f>
        <v/>
      </c>
      <c r="I68" s="56"/>
      <c r="J68" s="60" t="str">
        <f aca="false">IF(I68="","",IF($I$9="","",IF($I$9=0,"",I68/$I$9)))</f>
        <v/>
      </c>
      <c r="K68" s="54"/>
      <c r="L68" s="60" t="str">
        <f aca="false">IF(K68="","",IF($K$9="","",IF($K$9=0,"",K68/$K$9)))</f>
        <v/>
      </c>
      <c r="M68" s="56"/>
      <c r="N68" s="60" t="str">
        <f aca="false">IF(M68="","",IF($M$9="","",IF($M$9=0,"",M68/$M$9)))</f>
        <v/>
      </c>
      <c r="O68" s="56"/>
      <c r="P68" s="60" t="str">
        <f aca="false">IF(O68="","",IF($O$9="","",IF($O$9=0,"",O68/$O$9)))</f>
        <v/>
      </c>
      <c r="Q68" s="54"/>
      <c r="R68" s="60" t="str">
        <f aca="false">IF(Q68="","",IF($Q$9="","",IF($Q$9=0,"",Q68/$Q$9)))</f>
        <v/>
      </c>
      <c r="S68" s="56"/>
      <c r="T68" s="60" t="str">
        <f aca="false">IF(S68="","",IF($S$9="","",IF($S$9=0,"",S68/$S$9)))</f>
        <v/>
      </c>
      <c r="U68" s="54"/>
      <c r="V68" s="60" t="str">
        <f aca="false">IF(U68="","",IF($U$9="","",IF($U$9=0,"",U68/$U$9)))</f>
        <v/>
      </c>
      <c r="W68" s="54"/>
      <c r="X68" s="60" t="str">
        <f aca="false">IF(W68="","",IF($W$9="","",IF($W$9=0,"",W68/$W$9)))</f>
        <v/>
      </c>
    </row>
    <row r="69" customFormat="false" ht="15" hidden="false" customHeight="false" outlineLevel="0" collapsed="false">
      <c r="A69" s="5" t="n">
        <v>59</v>
      </c>
      <c r="B69" s="50" t="n">
        <v>46594</v>
      </c>
      <c r="C69" s="64" t="n">
        <f aca="false">$B$5</f>
        <v>1</v>
      </c>
      <c r="D69" s="52"/>
      <c r="E69" s="5"/>
      <c r="F69" s="5"/>
      <c r="G69" s="53" t="str">
        <f aca="false">IF(D69="","",D69-C69)</f>
        <v/>
      </c>
      <c r="H69" s="13" t="str">
        <f aca="false">IF(D69="","",IF(D69&gt;=C69,"En meta",IF(D69&gt;=C69-0.05,"Riesgo","Atrasado")))</f>
        <v/>
      </c>
      <c r="I69" s="56"/>
      <c r="J69" s="55" t="str">
        <f aca="false">IF(I69="","",IF($I$9="","",IF($I$9=0,"",I69/$I$9)))</f>
        <v/>
      </c>
      <c r="K69" s="54"/>
      <c r="L69" s="55" t="str">
        <f aca="false">IF(K69="","",IF($K$9="","",IF($K$9=0,"",K69/$K$9)))</f>
        <v/>
      </c>
      <c r="M69" s="56"/>
      <c r="N69" s="55" t="str">
        <f aca="false">IF(M69="","",IF($M$9="","",IF($M$9=0,"",M69/$M$9)))</f>
        <v/>
      </c>
      <c r="O69" s="56"/>
      <c r="P69" s="55" t="str">
        <f aca="false">IF(O69="","",IF($O$9="","",IF($O$9=0,"",O69/$O$9)))</f>
        <v/>
      </c>
      <c r="Q69" s="54"/>
      <c r="R69" s="55" t="str">
        <f aca="false">IF(Q69="","",IF($Q$9="","",IF($Q$9=0,"",Q69/$Q$9)))</f>
        <v/>
      </c>
      <c r="S69" s="56"/>
      <c r="T69" s="55" t="str">
        <f aca="false">IF(S69="","",IF($S$9="","",IF($S$9=0,"",S69/$S$9)))</f>
        <v/>
      </c>
      <c r="U69" s="54"/>
      <c r="V69" s="55" t="str">
        <f aca="false">IF(U69="","",IF($U$9="","",IF($U$9=0,"",U69/$U$9)))</f>
        <v/>
      </c>
      <c r="W69" s="54"/>
      <c r="X69" s="55" t="str">
        <f aca="false">IF(W69="","",IF($W$9="","",IF($W$9=0,"",W69/$W$9)))</f>
        <v/>
      </c>
    </row>
    <row r="70" customFormat="false" ht="15" hidden="false" customHeight="false" outlineLevel="0" collapsed="false">
      <c r="A70" s="28" t="n">
        <v>60</v>
      </c>
      <c r="B70" s="57" t="n">
        <v>46601</v>
      </c>
      <c r="C70" s="65" t="n">
        <f aca="false">$B$5</f>
        <v>1</v>
      </c>
      <c r="D70" s="52"/>
      <c r="E70" s="28"/>
      <c r="F70" s="28"/>
      <c r="G70" s="59" t="str">
        <f aca="false">IF(D70="","",D70-C70)</f>
        <v/>
      </c>
      <c r="H70" s="14" t="str">
        <f aca="false">IF(D70="","",IF(D70&gt;=C70,"En meta",IF(D70&gt;=C70-0.05,"Riesgo","Atrasado")))</f>
        <v/>
      </c>
      <c r="I70" s="56"/>
      <c r="J70" s="60" t="str">
        <f aca="false">IF(I70="","",IF($I$9="","",IF($I$9=0,"",I70/$I$9)))</f>
        <v/>
      </c>
      <c r="K70" s="54"/>
      <c r="L70" s="60" t="str">
        <f aca="false">IF(K70="","",IF($K$9="","",IF($K$9=0,"",K70/$K$9)))</f>
        <v/>
      </c>
      <c r="M70" s="56"/>
      <c r="N70" s="60" t="str">
        <f aca="false">IF(M70="","",IF($M$9="","",IF($M$9=0,"",M70/$M$9)))</f>
        <v/>
      </c>
      <c r="O70" s="56"/>
      <c r="P70" s="60" t="str">
        <f aca="false">IF(O70="","",IF($O$9="","",IF($O$9=0,"",O70/$O$9)))</f>
        <v/>
      </c>
      <c r="Q70" s="54"/>
      <c r="R70" s="60" t="str">
        <f aca="false">IF(Q70="","",IF($Q$9="","",IF($Q$9=0,"",Q70/$Q$9)))</f>
        <v/>
      </c>
      <c r="S70" s="56"/>
      <c r="T70" s="60" t="str">
        <f aca="false">IF(S70="","",IF($S$9="","",IF($S$9=0,"",S70/$S$9)))</f>
        <v/>
      </c>
      <c r="U70" s="54"/>
      <c r="V70" s="60" t="str">
        <f aca="false">IF(U70="","",IF($U$9="","",IF($U$9=0,"",U70/$U$9)))</f>
        <v/>
      </c>
      <c r="W70" s="54"/>
      <c r="X70" s="60" t="str">
        <f aca="false">IF(W70="","",IF($W$9="","",IF($W$9=0,"",W70/$W$9)))</f>
        <v/>
      </c>
    </row>
    <row r="71" customFormat="false" ht="15" hidden="false" customHeight="false" outlineLevel="0" collapsed="false">
      <c r="A71" s="5" t="n">
        <v>61</v>
      </c>
      <c r="B71" s="50" t="n">
        <v>46608</v>
      </c>
      <c r="C71" s="64" t="n">
        <f aca="false">$B$5</f>
        <v>1</v>
      </c>
      <c r="D71" s="52"/>
      <c r="E71" s="5"/>
      <c r="F71" s="5"/>
      <c r="G71" s="53" t="str">
        <f aca="false">IF(D71="","",D71-C71)</f>
        <v/>
      </c>
      <c r="H71" s="13" t="str">
        <f aca="false">IF(D71="","",IF(D71&gt;=C71,"En meta",IF(D71&gt;=C71-0.05,"Riesgo","Atrasado")))</f>
        <v/>
      </c>
      <c r="I71" s="56"/>
      <c r="J71" s="55" t="str">
        <f aca="false">IF(I71="","",IF($I$9="","",IF($I$9=0,"",I71/$I$9)))</f>
        <v/>
      </c>
      <c r="K71" s="54"/>
      <c r="L71" s="55" t="str">
        <f aca="false">IF(K71="","",IF($K$9="","",IF($K$9=0,"",K71/$K$9)))</f>
        <v/>
      </c>
      <c r="M71" s="56"/>
      <c r="N71" s="55" t="str">
        <f aca="false">IF(M71="","",IF($M$9="","",IF($M$9=0,"",M71/$M$9)))</f>
        <v/>
      </c>
      <c r="O71" s="56"/>
      <c r="P71" s="55" t="str">
        <f aca="false">IF(O71="","",IF($O$9="","",IF($O$9=0,"",O71/$O$9)))</f>
        <v/>
      </c>
      <c r="Q71" s="54"/>
      <c r="R71" s="55" t="str">
        <f aca="false">IF(Q71="","",IF($Q$9="","",IF($Q$9=0,"",Q71/$Q$9)))</f>
        <v/>
      </c>
      <c r="S71" s="56"/>
      <c r="T71" s="55" t="str">
        <f aca="false">IF(S71="","",IF($S$9="","",IF($S$9=0,"",S71/$S$9)))</f>
        <v/>
      </c>
      <c r="U71" s="54"/>
      <c r="V71" s="55" t="str">
        <f aca="false">IF(U71="","",IF($U$9="","",IF($U$9=0,"",U71/$U$9)))</f>
        <v/>
      </c>
      <c r="W71" s="54"/>
      <c r="X71" s="55" t="str">
        <f aca="false">IF(W71="","",IF($W$9="","",IF($W$9=0,"",W71/$W$9)))</f>
        <v/>
      </c>
    </row>
    <row r="72" customFormat="false" ht="15" hidden="false" customHeight="false" outlineLevel="0" collapsed="false">
      <c r="A72" s="28" t="n">
        <v>62</v>
      </c>
      <c r="B72" s="57" t="n">
        <v>46615</v>
      </c>
      <c r="C72" s="65" t="n">
        <f aca="false">$B$5</f>
        <v>1</v>
      </c>
      <c r="D72" s="52"/>
      <c r="E72" s="28"/>
      <c r="F72" s="28"/>
      <c r="G72" s="59" t="str">
        <f aca="false">IF(D72="","",D72-C72)</f>
        <v/>
      </c>
      <c r="H72" s="14" t="str">
        <f aca="false">IF(D72="","",IF(D72&gt;=C72,"En meta",IF(D72&gt;=C72-0.05,"Riesgo","Atrasado")))</f>
        <v/>
      </c>
      <c r="I72" s="56"/>
      <c r="J72" s="60" t="str">
        <f aca="false">IF(I72="","",IF($I$9="","",IF($I$9=0,"",I72/$I$9)))</f>
        <v/>
      </c>
      <c r="K72" s="54"/>
      <c r="L72" s="60" t="str">
        <f aca="false">IF(K72="","",IF($K$9="","",IF($K$9=0,"",K72/$K$9)))</f>
        <v/>
      </c>
      <c r="M72" s="56"/>
      <c r="N72" s="60" t="str">
        <f aca="false">IF(M72="","",IF($M$9="","",IF($M$9=0,"",M72/$M$9)))</f>
        <v/>
      </c>
      <c r="O72" s="56"/>
      <c r="P72" s="60" t="str">
        <f aca="false">IF(O72="","",IF($O$9="","",IF($O$9=0,"",O72/$O$9)))</f>
        <v/>
      </c>
      <c r="Q72" s="54"/>
      <c r="R72" s="60" t="str">
        <f aca="false">IF(Q72="","",IF($Q$9="","",IF($Q$9=0,"",Q72/$Q$9)))</f>
        <v/>
      </c>
      <c r="S72" s="56"/>
      <c r="T72" s="60" t="str">
        <f aca="false">IF(S72="","",IF($S$9="","",IF($S$9=0,"",S72/$S$9)))</f>
        <v/>
      </c>
      <c r="U72" s="54"/>
      <c r="V72" s="60" t="str">
        <f aca="false">IF(U72="","",IF($U$9="","",IF($U$9=0,"",U72/$U$9)))</f>
        <v/>
      </c>
      <c r="W72" s="54"/>
      <c r="X72" s="60" t="str">
        <f aca="false">IF(W72="","",IF($W$9="","",IF($W$9=0,"",W72/$W$9)))</f>
        <v/>
      </c>
    </row>
    <row r="73" customFormat="false" ht="15" hidden="false" customHeight="false" outlineLevel="0" collapsed="false">
      <c r="A73" s="5" t="n">
        <v>63</v>
      </c>
      <c r="B73" s="50" t="n">
        <v>46622</v>
      </c>
      <c r="C73" s="64" t="n">
        <f aca="false">$B$5</f>
        <v>1</v>
      </c>
      <c r="D73" s="52"/>
      <c r="E73" s="5"/>
      <c r="F73" s="5"/>
      <c r="G73" s="53" t="str">
        <f aca="false">IF(D73="","",D73-C73)</f>
        <v/>
      </c>
      <c r="H73" s="13" t="str">
        <f aca="false">IF(D73="","",IF(D73&gt;=C73,"En meta",IF(D73&gt;=C73-0.05,"Riesgo","Atrasado")))</f>
        <v/>
      </c>
      <c r="I73" s="56"/>
      <c r="J73" s="55" t="str">
        <f aca="false">IF(I73="","",IF($I$9="","",IF($I$9=0,"",I73/$I$9)))</f>
        <v/>
      </c>
      <c r="K73" s="54"/>
      <c r="L73" s="55" t="str">
        <f aca="false">IF(K73="","",IF($K$9="","",IF($K$9=0,"",K73/$K$9)))</f>
        <v/>
      </c>
      <c r="M73" s="56"/>
      <c r="N73" s="55" t="str">
        <f aca="false">IF(M73="","",IF($M$9="","",IF($M$9=0,"",M73/$M$9)))</f>
        <v/>
      </c>
      <c r="O73" s="56"/>
      <c r="P73" s="55" t="str">
        <f aca="false">IF(O73="","",IF($O$9="","",IF($O$9=0,"",O73/$O$9)))</f>
        <v/>
      </c>
      <c r="Q73" s="54"/>
      <c r="R73" s="55" t="str">
        <f aca="false">IF(Q73="","",IF($Q$9="","",IF($Q$9=0,"",Q73/$Q$9)))</f>
        <v/>
      </c>
      <c r="S73" s="56"/>
      <c r="T73" s="55" t="str">
        <f aca="false">IF(S73="","",IF($S$9="","",IF($S$9=0,"",S73/$S$9)))</f>
        <v/>
      </c>
      <c r="U73" s="54"/>
      <c r="V73" s="55" t="str">
        <f aca="false">IF(U73="","",IF($U$9="","",IF($U$9=0,"",U73/$U$9)))</f>
        <v/>
      </c>
      <c r="W73" s="54"/>
      <c r="X73" s="55" t="str">
        <f aca="false">IF(W73="","",IF($W$9="","",IF($W$9=0,"",W73/$W$9)))</f>
        <v/>
      </c>
    </row>
    <row r="74" customFormat="false" ht="15" hidden="false" customHeight="false" outlineLevel="0" collapsed="false">
      <c r="A74" s="28" t="n">
        <v>64</v>
      </c>
      <c r="B74" s="57" t="n">
        <v>46629</v>
      </c>
      <c r="C74" s="65" t="n">
        <f aca="false">$B$5</f>
        <v>1</v>
      </c>
      <c r="D74" s="52"/>
      <c r="E74" s="28"/>
      <c r="F74" s="28"/>
      <c r="G74" s="59" t="str">
        <f aca="false">IF(D74="","",D74-C74)</f>
        <v/>
      </c>
      <c r="H74" s="14" t="str">
        <f aca="false">IF(D74="","",IF(D74&gt;=C74,"En meta",IF(D74&gt;=C74-0.05,"Riesgo","Atrasado")))</f>
        <v/>
      </c>
      <c r="I74" s="56"/>
      <c r="J74" s="60" t="str">
        <f aca="false">IF(I74="","",IF($I$9="","",IF($I$9=0,"",I74/$I$9)))</f>
        <v/>
      </c>
      <c r="K74" s="54"/>
      <c r="L74" s="60" t="str">
        <f aca="false">IF(K74="","",IF($K$9="","",IF($K$9=0,"",K74/$K$9)))</f>
        <v/>
      </c>
      <c r="M74" s="56"/>
      <c r="N74" s="60" t="str">
        <f aca="false">IF(M74="","",IF($M$9="","",IF($M$9=0,"",M74/$M$9)))</f>
        <v/>
      </c>
      <c r="O74" s="56"/>
      <c r="P74" s="60" t="str">
        <f aca="false">IF(O74="","",IF($O$9="","",IF($O$9=0,"",O74/$O$9)))</f>
        <v/>
      </c>
      <c r="Q74" s="54"/>
      <c r="R74" s="60" t="str">
        <f aca="false">IF(Q74="","",IF($Q$9="","",IF($Q$9=0,"",Q74/$Q$9)))</f>
        <v/>
      </c>
      <c r="S74" s="56"/>
      <c r="T74" s="60" t="str">
        <f aca="false">IF(S74="","",IF($S$9="","",IF($S$9=0,"",S74/$S$9)))</f>
        <v/>
      </c>
      <c r="U74" s="54"/>
      <c r="V74" s="60" t="str">
        <f aca="false">IF(U74="","",IF($U$9="","",IF($U$9=0,"",U74/$U$9)))</f>
        <v/>
      </c>
      <c r="W74" s="54"/>
      <c r="X74" s="60" t="str">
        <f aca="false">IF(W74="","",IF($W$9="","",IF($W$9=0,"",W74/$W$9)))</f>
        <v/>
      </c>
    </row>
    <row r="75" customFormat="false" ht="15" hidden="false" customHeight="false" outlineLevel="0" collapsed="false">
      <c r="A75" s="5" t="n">
        <v>65</v>
      </c>
      <c r="B75" s="50" t="n">
        <v>46636</v>
      </c>
      <c r="C75" s="64" t="n">
        <f aca="false">$B$5</f>
        <v>1</v>
      </c>
      <c r="D75" s="52"/>
      <c r="E75" s="5"/>
      <c r="F75" s="5"/>
      <c r="G75" s="53" t="str">
        <f aca="false">IF(D75="","",D75-C75)</f>
        <v/>
      </c>
      <c r="H75" s="13" t="str">
        <f aca="false">IF(D75="","",IF(D75&gt;=C75,"En meta",IF(D75&gt;=C75-0.05,"Riesgo","Atrasado")))</f>
        <v/>
      </c>
      <c r="I75" s="56"/>
      <c r="J75" s="55" t="str">
        <f aca="false">IF(I75="","",IF($I$9="","",IF($I$9=0,"",I75/$I$9)))</f>
        <v/>
      </c>
      <c r="K75" s="54"/>
      <c r="L75" s="55" t="str">
        <f aca="false">IF(K75="","",IF($K$9="","",IF($K$9=0,"",K75/$K$9)))</f>
        <v/>
      </c>
      <c r="M75" s="56"/>
      <c r="N75" s="55" t="str">
        <f aca="false">IF(M75="","",IF($M$9="","",IF($M$9=0,"",M75/$M$9)))</f>
        <v/>
      </c>
      <c r="O75" s="56"/>
      <c r="P75" s="55" t="str">
        <f aca="false">IF(O75="","",IF($O$9="","",IF($O$9=0,"",O75/$O$9)))</f>
        <v/>
      </c>
      <c r="Q75" s="54"/>
      <c r="R75" s="55" t="str">
        <f aca="false">IF(Q75="","",IF($Q$9="","",IF($Q$9=0,"",Q75/$Q$9)))</f>
        <v/>
      </c>
      <c r="S75" s="56"/>
      <c r="T75" s="55" t="str">
        <f aca="false">IF(S75="","",IF($S$9="","",IF($S$9=0,"",S75/$S$9)))</f>
        <v/>
      </c>
      <c r="U75" s="54"/>
      <c r="V75" s="55" t="str">
        <f aca="false">IF(U75="","",IF($U$9="","",IF($U$9=0,"",U75/$U$9)))</f>
        <v/>
      </c>
      <c r="W75" s="54"/>
      <c r="X75" s="55" t="str">
        <f aca="false">IF(W75="","",IF($W$9="","",IF($W$9=0,"",W75/$W$9)))</f>
        <v/>
      </c>
    </row>
    <row r="76" customFormat="false" ht="15" hidden="false" customHeight="false" outlineLevel="0" collapsed="false">
      <c r="A76" s="28" t="n">
        <v>66</v>
      </c>
      <c r="B76" s="57" t="n">
        <v>46643</v>
      </c>
      <c r="C76" s="65" t="n">
        <f aca="false">$B$5</f>
        <v>1</v>
      </c>
      <c r="D76" s="52"/>
      <c r="E76" s="28"/>
      <c r="F76" s="28"/>
      <c r="G76" s="59" t="str">
        <f aca="false">IF(D76="","",D76-C76)</f>
        <v/>
      </c>
      <c r="H76" s="14" t="str">
        <f aca="false">IF(D76="","",IF(D76&gt;=C76,"En meta",IF(D76&gt;=C76-0.05,"Riesgo","Atrasado")))</f>
        <v/>
      </c>
      <c r="I76" s="56"/>
      <c r="J76" s="60" t="str">
        <f aca="false">IF(I76="","",IF($I$9="","",IF($I$9=0,"",I76/$I$9)))</f>
        <v/>
      </c>
      <c r="K76" s="54"/>
      <c r="L76" s="60" t="str">
        <f aca="false">IF(K76="","",IF($K$9="","",IF($K$9=0,"",K76/$K$9)))</f>
        <v/>
      </c>
      <c r="M76" s="56"/>
      <c r="N76" s="60" t="str">
        <f aca="false">IF(M76="","",IF($M$9="","",IF($M$9=0,"",M76/$M$9)))</f>
        <v/>
      </c>
      <c r="O76" s="56"/>
      <c r="P76" s="60" t="str">
        <f aca="false">IF(O76="","",IF($O$9="","",IF($O$9=0,"",O76/$O$9)))</f>
        <v/>
      </c>
      <c r="Q76" s="54"/>
      <c r="R76" s="60" t="str">
        <f aca="false">IF(Q76="","",IF($Q$9="","",IF($Q$9=0,"",Q76/$Q$9)))</f>
        <v/>
      </c>
      <c r="S76" s="56"/>
      <c r="T76" s="60" t="str">
        <f aca="false">IF(S76="","",IF($S$9="","",IF($S$9=0,"",S76/$S$9)))</f>
        <v/>
      </c>
      <c r="U76" s="54"/>
      <c r="V76" s="60" t="str">
        <f aca="false">IF(U76="","",IF($U$9="","",IF($U$9=0,"",U76/$U$9)))</f>
        <v/>
      </c>
      <c r="W76" s="54"/>
      <c r="X76" s="60" t="str">
        <f aca="false">IF(W76="","",IF($W$9="","",IF($W$9=0,"",W76/$W$9)))</f>
        <v/>
      </c>
    </row>
    <row r="77" customFormat="false" ht="15" hidden="false" customHeight="false" outlineLevel="0" collapsed="false">
      <c r="A77" s="5" t="n">
        <v>67</v>
      </c>
      <c r="B77" s="50" t="n">
        <v>46650</v>
      </c>
      <c r="C77" s="64" t="n">
        <f aca="false">$B$5</f>
        <v>1</v>
      </c>
      <c r="D77" s="52"/>
      <c r="E77" s="5"/>
      <c r="F77" s="5"/>
      <c r="G77" s="53" t="str">
        <f aca="false">IF(D77="","",D77-C77)</f>
        <v/>
      </c>
      <c r="H77" s="13" t="str">
        <f aca="false">IF(D77="","",IF(D77&gt;=C77,"En meta",IF(D77&gt;=C77-0.05,"Riesgo","Atrasado")))</f>
        <v/>
      </c>
      <c r="I77" s="56"/>
      <c r="J77" s="55" t="str">
        <f aca="false">IF(I77="","",IF($I$9="","",IF($I$9=0,"",I77/$I$9)))</f>
        <v/>
      </c>
      <c r="K77" s="54"/>
      <c r="L77" s="55" t="str">
        <f aca="false">IF(K77="","",IF($K$9="","",IF($K$9=0,"",K77/$K$9)))</f>
        <v/>
      </c>
      <c r="M77" s="56"/>
      <c r="N77" s="55" t="str">
        <f aca="false">IF(M77="","",IF($M$9="","",IF($M$9=0,"",M77/$M$9)))</f>
        <v/>
      </c>
      <c r="O77" s="56"/>
      <c r="P77" s="55" t="str">
        <f aca="false">IF(O77="","",IF($O$9="","",IF($O$9=0,"",O77/$O$9)))</f>
        <v/>
      </c>
      <c r="Q77" s="54"/>
      <c r="R77" s="55" t="str">
        <f aca="false">IF(Q77="","",IF($Q$9="","",IF($Q$9=0,"",Q77/$Q$9)))</f>
        <v/>
      </c>
      <c r="S77" s="56"/>
      <c r="T77" s="55" t="str">
        <f aca="false">IF(S77="","",IF($S$9="","",IF($S$9=0,"",S77/$S$9)))</f>
        <v/>
      </c>
      <c r="U77" s="54"/>
      <c r="V77" s="55" t="str">
        <f aca="false">IF(U77="","",IF($U$9="","",IF($U$9=0,"",U77/$U$9)))</f>
        <v/>
      </c>
      <c r="W77" s="54"/>
      <c r="X77" s="55" t="str">
        <f aca="false">IF(W77="","",IF($W$9="","",IF($W$9=0,"",W77/$W$9)))</f>
        <v/>
      </c>
    </row>
    <row r="78" customFormat="false" ht="15" hidden="false" customHeight="false" outlineLevel="0" collapsed="false">
      <c r="A78" s="28" t="n">
        <v>68</v>
      </c>
      <c r="B78" s="57" t="n">
        <v>46657</v>
      </c>
      <c r="C78" s="65" t="n">
        <f aca="false">$B$5</f>
        <v>1</v>
      </c>
      <c r="D78" s="52"/>
      <c r="E78" s="28"/>
      <c r="F78" s="28"/>
      <c r="G78" s="59" t="str">
        <f aca="false">IF(D78="","",D78-C78)</f>
        <v/>
      </c>
      <c r="H78" s="14" t="str">
        <f aca="false">IF(D78="","",IF(D78&gt;=C78,"En meta",IF(D78&gt;=C78-0.05,"Riesgo","Atrasado")))</f>
        <v/>
      </c>
      <c r="I78" s="56"/>
      <c r="J78" s="60" t="str">
        <f aca="false">IF(I78="","",IF($I$9="","",IF($I$9=0,"",I78/$I$9)))</f>
        <v/>
      </c>
      <c r="K78" s="54"/>
      <c r="L78" s="60" t="str">
        <f aca="false">IF(K78="","",IF($K$9="","",IF($K$9=0,"",K78/$K$9)))</f>
        <v/>
      </c>
      <c r="M78" s="56"/>
      <c r="N78" s="60" t="str">
        <f aca="false">IF(M78="","",IF($M$9="","",IF($M$9=0,"",M78/$M$9)))</f>
        <v/>
      </c>
      <c r="O78" s="56"/>
      <c r="P78" s="60" t="str">
        <f aca="false">IF(O78="","",IF($O$9="","",IF($O$9=0,"",O78/$O$9)))</f>
        <v/>
      </c>
      <c r="Q78" s="54"/>
      <c r="R78" s="60" t="str">
        <f aca="false">IF(Q78="","",IF($Q$9="","",IF($Q$9=0,"",Q78/$Q$9)))</f>
        <v/>
      </c>
      <c r="S78" s="56"/>
      <c r="T78" s="60" t="str">
        <f aca="false">IF(S78="","",IF($S$9="","",IF($S$9=0,"",S78/$S$9)))</f>
        <v/>
      </c>
      <c r="U78" s="54"/>
      <c r="V78" s="60" t="str">
        <f aca="false">IF(U78="","",IF($U$9="","",IF($U$9=0,"",U78/$U$9)))</f>
        <v/>
      </c>
      <c r="W78" s="54"/>
      <c r="X78" s="60" t="str">
        <f aca="false">IF(W78="","",IF($W$9="","",IF($W$9=0,"",W78/$W$9)))</f>
        <v/>
      </c>
    </row>
    <row r="79" customFormat="false" ht="15" hidden="false" customHeight="false" outlineLevel="0" collapsed="false">
      <c r="A79" s="5" t="n">
        <v>69</v>
      </c>
      <c r="B79" s="50" t="n">
        <v>46664</v>
      </c>
      <c r="C79" s="64" t="n">
        <f aca="false">$B$5</f>
        <v>1</v>
      </c>
      <c r="D79" s="52"/>
      <c r="E79" s="5"/>
      <c r="F79" s="5"/>
      <c r="G79" s="53" t="str">
        <f aca="false">IF(D79="","",D79-C79)</f>
        <v/>
      </c>
      <c r="H79" s="13" t="str">
        <f aca="false">IF(D79="","",IF(D79&gt;=C79,"En meta",IF(D79&gt;=C79-0.05,"Riesgo","Atrasado")))</f>
        <v/>
      </c>
      <c r="I79" s="56"/>
      <c r="J79" s="55" t="str">
        <f aca="false">IF(I79="","",IF($I$9="","",IF($I$9=0,"",I79/$I$9)))</f>
        <v/>
      </c>
      <c r="K79" s="54"/>
      <c r="L79" s="55" t="str">
        <f aca="false">IF(K79="","",IF($K$9="","",IF($K$9=0,"",K79/$K$9)))</f>
        <v/>
      </c>
      <c r="M79" s="56"/>
      <c r="N79" s="55" t="str">
        <f aca="false">IF(M79="","",IF($M$9="","",IF($M$9=0,"",M79/$M$9)))</f>
        <v/>
      </c>
      <c r="O79" s="56"/>
      <c r="P79" s="55" t="str">
        <f aca="false">IF(O79="","",IF($O$9="","",IF($O$9=0,"",O79/$O$9)))</f>
        <v/>
      </c>
      <c r="Q79" s="54"/>
      <c r="R79" s="55" t="str">
        <f aca="false">IF(Q79="","",IF($Q$9="","",IF($Q$9=0,"",Q79/$Q$9)))</f>
        <v/>
      </c>
      <c r="S79" s="56"/>
      <c r="T79" s="55" t="str">
        <f aca="false">IF(S79="","",IF($S$9="","",IF($S$9=0,"",S79/$S$9)))</f>
        <v/>
      </c>
      <c r="U79" s="54"/>
      <c r="V79" s="55" t="str">
        <f aca="false">IF(U79="","",IF($U$9="","",IF($U$9=0,"",U79/$U$9)))</f>
        <v/>
      </c>
      <c r="W79" s="54"/>
      <c r="X79" s="55" t="str">
        <f aca="false">IF(W79="","",IF($W$9="","",IF($W$9=0,"",W79/$W$9)))</f>
        <v/>
      </c>
    </row>
    <row r="80" customFormat="false" ht="15" hidden="false" customHeight="false" outlineLevel="0" collapsed="false">
      <c r="A80" s="28" t="n">
        <v>70</v>
      </c>
      <c r="B80" s="57" t="n">
        <v>46671</v>
      </c>
      <c r="C80" s="65" t="n">
        <f aca="false">$B$5</f>
        <v>1</v>
      </c>
      <c r="D80" s="52"/>
      <c r="E80" s="28"/>
      <c r="F80" s="28"/>
      <c r="G80" s="59" t="str">
        <f aca="false">IF(D80="","",D80-C80)</f>
        <v/>
      </c>
      <c r="H80" s="14" t="str">
        <f aca="false">IF(D80="","",IF(D80&gt;=C80,"En meta",IF(D80&gt;=C80-0.05,"Riesgo","Atrasado")))</f>
        <v/>
      </c>
      <c r="I80" s="56"/>
      <c r="J80" s="60" t="str">
        <f aca="false">IF(I80="","",IF($I$9="","",IF($I$9=0,"",I80/$I$9)))</f>
        <v/>
      </c>
      <c r="K80" s="54"/>
      <c r="L80" s="60" t="str">
        <f aca="false">IF(K80="","",IF($K$9="","",IF($K$9=0,"",K80/$K$9)))</f>
        <v/>
      </c>
      <c r="M80" s="56"/>
      <c r="N80" s="60" t="str">
        <f aca="false">IF(M80="","",IF($M$9="","",IF($M$9=0,"",M80/$M$9)))</f>
        <v/>
      </c>
      <c r="O80" s="56"/>
      <c r="P80" s="60" t="str">
        <f aca="false">IF(O80="","",IF($O$9="","",IF($O$9=0,"",O80/$O$9)))</f>
        <v/>
      </c>
      <c r="Q80" s="54"/>
      <c r="R80" s="60" t="str">
        <f aca="false">IF(Q80="","",IF($Q$9="","",IF($Q$9=0,"",Q80/$Q$9)))</f>
        <v/>
      </c>
      <c r="S80" s="56"/>
      <c r="T80" s="60" t="str">
        <f aca="false">IF(S80="","",IF($S$9="","",IF($S$9=0,"",S80/$S$9)))</f>
        <v/>
      </c>
      <c r="U80" s="54"/>
      <c r="V80" s="60" t="str">
        <f aca="false">IF(U80="","",IF($U$9="","",IF($U$9=0,"",U80/$U$9)))</f>
        <v/>
      </c>
      <c r="W80" s="54"/>
      <c r="X80" s="60" t="str">
        <f aca="false">IF(W80="","",IF($W$9="","",IF($W$9=0,"",W80/$W$9)))</f>
        <v/>
      </c>
    </row>
    <row r="81" customFormat="false" ht="15" hidden="false" customHeight="false" outlineLevel="0" collapsed="false">
      <c r="A81" s="5" t="n">
        <v>71</v>
      </c>
      <c r="B81" s="50" t="n">
        <v>46678</v>
      </c>
      <c r="C81" s="64" t="n">
        <f aca="false">$B$5</f>
        <v>1</v>
      </c>
      <c r="D81" s="52"/>
      <c r="E81" s="5"/>
      <c r="F81" s="5"/>
      <c r="G81" s="53" t="str">
        <f aca="false">IF(D81="","",D81-C81)</f>
        <v/>
      </c>
      <c r="H81" s="13" t="str">
        <f aca="false">IF(D81="","",IF(D81&gt;=C81,"En meta",IF(D81&gt;=C81-0.05,"Riesgo","Atrasado")))</f>
        <v/>
      </c>
      <c r="I81" s="56"/>
      <c r="J81" s="55" t="str">
        <f aca="false">IF(I81="","",IF($I$9="","",IF($I$9=0,"",I81/$I$9)))</f>
        <v/>
      </c>
      <c r="K81" s="54"/>
      <c r="L81" s="55" t="str">
        <f aca="false">IF(K81="","",IF($K$9="","",IF($K$9=0,"",K81/$K$9)))</f>
        <v/>
      </c>
      <c r="M81" s="56"/>
      <c r="N81" s="55" t="str">
        <f aca="false">IF(M81="","",IF($M$9="","",IF($M$9=0,"",M81/$M$9)))</f>
        <v/>
      </c>
      <c r="O81" s="56"/>
      <c r="P81" s="55" t="str">
        <f aca="false">IF(O81="","",IF($O$9="","",IF($O$9=0,"",O81/$O$9)))</f>
        <v/>
      </c>
      <c r="Q81" s="54"/>
      <c r="R81" s="55" t="str">
        <f aca="false">IF(Q81="","",IF($Q$9="","",IF($Q$9=0,"",Q81/$Q$9)))</f>
        <v/>
      </c>
      <c r="S81" s="56"/>
      <c r="T81" s="55" t="str">
        <f aca="false">IF(S81="","",IF($S$9="","",IF($S$9=0,"",S81/$S$9)))</f>
        <v/>
      </c>
      <c r="U81" s="54"/>
      <c r="V81" s="55" t="str">
        <f aca="false">IF(U81="","",IF($U$9="","",IF($U$9=0,"",U81/$U$9)))</f>
        <v/>
      </c>
      <c r="W81" s="54"/>
      <c r="X81" s="55" t="str">
        <f aca="false">IF(W81="","",IF($W$9="","",IF($W$9=0,"",W81/$W$9)))</f>
        <v/>
      </c>
    </row>
    <row r="82" customFormat="false" ht="15" hidden="false" customHeight="false" outlineLevel="0" collapsed="false">
      <c r="A82" s="28" t="n">
        <v>72</v>
      </c>
      <c r="B82" s="57" t="n">
        <v>46685</v>
      </c>
      <c r="C82" s="65" t="n">
        <f aca="false">$B$5</f>
        <v>1</v>
      </c>
      <c r="D82" s="52"/>
      <c r="E82" s="28"/>
      <c r="F82" s="28"/>
      <c r="G82" s="59" t="str">
        <f aca="false">IF(D82="","",D82-C82)</f>
        <v/>
      </c>
      <c r="H82" s="14" t="str">
        <f aca="false">IF(D82="","",IF(D82&gt;=C82,"En meta",IF(D82&gt;=C82-0.05,"Riesgo","Atrasado")))</f>
        <v/>
      </c>
      <c r="I82" s="56"/>
      <c r="J82" s="60" t="str">
        <f aca="false">IF(I82="","",IF($I$9="","",IF($I$9=0,"",I82/$I$9)))</f>
        <v/>
      </c>
      <c r="K82" s="54"/>
      <c r="L82" s="60" t="str">
        <f aca="false">IF(K82="","",IF($K$9="","",IF($K$9=0,"",K82/$K$9)))</f>
        <v/>
      </c>
      <c r="M82" s="56"/>
      <c r="N82" s="60" t="str">
        <f aca="false">IF(M82="","",IF($M$9="","",IF($M$9=0,"",M82/$M$9)))</f>
        <v/>
      </c>
      <c r="O82" s="56"/>
      <c r="P82" s="60" t="str">
        <f aca="false">IF(O82="","",IF($O$9="","",IF($O$9=0,"",O82/$O$9)))</f>
        <v/>
      </c>
      <c r="Q82" s="54"/>
      <c r="R82" s="60" t="str">
        <f aca="false">IF(Q82="","",IF($Q$9="","",IF($Q$9=0,"",Q82/$Q$9)))</f>
        <v/>
      </c>
      <c r="S82" s="56"/>
      <c r="T82" s="60" t="str">
        <f aca="false">IF(S82="","",IF($S$9="","",IF($S$9=0,"",S82/$S$9)))</f>
        <v/>
      </c>
      <c r="U82" s="54"/>
      <c r="V82" s="60" t="str">
        <f aca="false">IF(U82="","",IF($U$9="","",IF($U$9=0,"",U82/$U$9)))</f>
        <v/>
      </c>
      <c r="W82" s="54"/>
      <c r="X82" s="60" t="str">
        <f aca="false">IF(W82="","",IF($W$9="","",IF($W$9=0,"",W82/$W$9)))</f>
        <v/>
      </c>
    </row>
    <row r="83" customFormat="false" ht="15" hidden="false" customHeight="false" outlineLevel="0" collapsed="false">
      <c r="A83" s="5" t="n">
        <v>73</v>
      </c>
      <c r="B83" s="50" t="n">
        <v>46692</v>
      </c>
      <c r="C83" s="64" t="n">
        <f aca="false">$B$5</f>
        <v>1</v>
      </c>
      <c r="D83" s="52"/>
      <c r="E83" s="5"/>
      <c r="F83" s="5"/>
      <c r="G83" s="53" t="str">
        <f aca="false">IF(D83="","",D83-C83)</f>
        <v/>
      </c>
      <c r="H83" s="13" t="str">
        <f aca="false">IF(D83="","",IF(D83&gt;=C83,"En meta",IF(D83&gt;=C83-0.05,"Riesgo","Atrasado")))</f>
        <v/>
      </c>
      <c r="I83" s="56"/>
      <c r="J83" s="55" t="str">
        <f aca="false">IF(I83="","",IF($I$9="","",IF($I$9=0,"",I83/$I$9)))</f>
        <v/>
      </c>
      <c r="K83" s="54"/>
      <c r="L83" s="55" t="str">
        <f aca="false">IF(K83="","",IF($K$9="","",IF($K$9=0,"",K83/$K$9)))</f>
        <v/>
      </c>
      <c r="M83" s="56"/>
      <c r="N83" s="55" t="str">
        <f aca="false">IF(M83="","",IF($M$9="","",IF($M$9=0,"",M83/$M$9)))</f>
        <v/>
      </c>
      <c r="O83" s="56"/>
      <c r="P83" s="55" t="str">
        <f aca="false">IF(O83="","",IF($O$9="","",IF($O$9=0,"",O83/$O$9)))</f>
        <v/>
      </c>
      <c r="Q83" s="54"/>
      <c r="R83" s="55" t="str">
        <f aca="false">IF(Q83="","",IF($Q$9="","",IF($Q$9=0,"",Q83/$Q$9)))</f>
        <v/>
      </c>
      <c r="S83" s="56"/>
      <c r="T83" s="55" t="str">
        <f aca="false">IF(S83="","",IF($S$9="","",IF($S$9=0,"",S83/$S$9)))</f>
        <v/>
      </c>
      <c r="U83" s="54"/>
      <c r="V83" s="55" t="str">
        <f aca="false">IF(U83="","",IF($U$9="","",IF($U$9=0,"",U83/$U$9)))</f>
        <v/>
      </c>
      <c r="W83" s="54"/>
      <c r="X83" s="55" t="str">
        <f aca="false">IF(W83="","",IF($W$9="","",IF($W$9=0,"",W83/$W$9)))</f>
        <v/>
      </c>
    </row>
    <row r="84" customFormat="false" ht="15" hidden="false" customHeight="false" outlineLevel="0" collapsed="false">
      <c r="A84" s="28" t="n">
        <v>74</v>
      </c>
      <c r="B84" s="57" t="n">
        <v>46699</v>
      </c>
      <c r="C84" s="65" t="n">
        <f aca="false">$B$5</f>
        <v>1</v>
      </c>
      <c r="D84" s="52"/>
      <c r="E84" s="28"/>
      <c r="F84" s="28"/>
      <c r="G84" s="59" t="str">
        <f aca="false">IF(D84="","",D84-C84)</f>
        <v/>
      </c>
      <c r="H84" s="14" t="str">
        <f aca="false">IF(D84="","",IF(D84&gt;=C84,"En meta",IF(D84&gt;=C84-0.05,"Riesgo","Atrasado")))</f>
        <v/>
      </c>
      <c r="I84" s="56"/>
      <c r="J84" s="60" t="str">
        <f aca="false">IF(I84="","",IF($I$9="","",IF($I$9=0,"",I84/$I$9)))</f>
        <v/>
      </c>
      <c r="K84" s="54"/>
      <c r="L84" s="60" t="str">
        <f aca="false">IF(K84="","",IF($K$9="","",IF($K$9=0,"",K84/$K$9)))</f>
        <v/>
      </c>
      <c r="M84" s="56"/>
      <c r="N84" s="60" t="str">
        <f aca="false">IF(M84="","",IF($M$9="","",IF($M$9=0,"",M84/$M$9)))</f>
        <v/>
      </c>
      <c r="O84" s="56"/>
      <c r="P84" s="60" t="str">
        <f aca="false">IF(O84="","",IF($O$9="","",IF($O$9=0,"",O84/$O$9)))</f>
        <v/>
      </c>
      <c r="Q84" s="54"/>
      <c r="R84" s="60" t="str">
        <f aca="false">IF(Q84="","",IF($Q$9="","",IF($Q$9=0,"",Q84/$Q$9)))</f>
        <v/>
      </c>
      <c r="S84" s="56"/>
      <c r="T84" s="60" t="str">
        <f aca="false">IF(S84="","",IF($S$9="","",IF($S$9=0,"",S84/$S$9)))</f>
        <v/>
      </c>
      <c r="U84" s="54"/>
      <c r="V84" s="60" t="str">
        <f aca="false">IF(U84="","",IF($U$9="","",IF($U$9=0,"",U84/$U$9)))</f>
        <v/>
      </c>
      <c r="W84" s="54"/>
      <c r="X84" s="60" t="str">
        <f aca="false">IF(W84="","",IF($W$9="","",IF($W$9=0,"",W84/$W$9)))</f>
        <v/>
      </c>
    </row>
    <row r="85" customFormat="false" ht="15" hidden="false" customHeight="false" outlineLevel="0" collapsed="false">
      <c r="A85" s="5" t="n">
        <v>75</v>
      </c>
      <c r="B85" s="50" t="n">
        <v>46706</v>
      </c>
      <c r="C85" s="64" t="n">
        <f aca="false">$B$5</f>
        <v>1</v>
      </c>
      <c r="D85" s="52"/>
      <c r="E85" s="5"/>
      <c r="F85" s="5"/>
      <c r="G85" s="53" t="str">
        <f aca="false">IF(D85="","",D85-C85)</f>
        <v/>
      </c>
      <c r="H85" s="13" t="str">
        <f aca="false">IF(D85="","",IF(D85&gt;=C85,"En meta",IF(D85&gt;=C85-0.05,"Riesgo","Atrasado")))</f>
        <v/>
      </c>
      <c r="I85" s="56"/>
      <c r="J85" s="55" t="str">
        <f aca="false">IF(I85="","",IF($I$9="","",IF($I$9=0,"",I85/$I$9)))</f>
        <v/>
      </c>
      <c r="K85" s="54"/>
      <c r="L85" s="55" t="str">
        <f aca="false">IF(K85="","",IF($K$9="","",IF($K$9=0,"",K85/$K$9)))</f>
        <v/>
      </c>
      <c r="M85" s="56"/>
      <c r="N85" s="55" t="str">
        <f aca="false">IF(M85="","",IF($M$9="","",IF($M$9=0,"",M85/$M$9)))</f>
        <v/>
      </c>
      <c r="O85" s="56"/>
      <c r="P85" s="55" t="str">
        <f aca="false">IF(O85="","",IF($O$9="","",IF($O$9=0,"",O85/$O$9)))</f>
        <v/>
      </c>
      <c r="Q85" s="54"/>
      <c r="R85" s="55" t="str">
        <f aca="false">IF(Q85="","",IF($Q$9="","",IF($Q$9=0,"",Q85/$Q$9)))</f>
        <v/>
      </c>
      <c r="S85" s="56"/>
      <c r="T85" s="55" t="str">
        <f aca="false">IF(S85="","",IF($S$9="","",IF($S$9=0,"",S85/$S$9)))</f>
        <v/>
      </c>
      <c r="U85" s="54"/>
      <c r="V85" s="55" t="str">
        <f aca="false">IF(U85="","",IF($U$9="","",IF($U$9=0,"",U85/$U$9)))</f>
        <v/>
      </c>
      <c r="W85" s="54"/>
      <c r="X85" s="55" t="str">
        <f aca="false">IF(W85="","",IF($W$9="","",IF($W$9=0,"",W85/$W$9)))</f>
        <v/>
      </c>
    </row>
    <row r="86" customFormat="false" ht="15" hidden="false" customHeight="false" outlineLevel="0" collapsed="false">
      <c r="A86" s="28" t="n">
        <v>76</v>
      </c>
      <c r="B86" s="57" t="n">
        <v>46713</v>
      </c>
      <c r="C86" s="65" t="n">
        <f aca="false">$B$5</f>
        <v>1</v>
      </c>
      <c r="D86" s="52"/>
      <c r="E86" s="28"/>
      <c r="F86" s="28"/>
      <c r="G86" s="59" t="str">
        <f aca="false">IF(D86="","",D86-C86)</f>
        <v/>
      </c>
      <c r="H86" s="14" t="str">
        <f aca="false">IF(D86="","",IF(D86&gt;=C86,"En meta",IF(D86&gt;=C86-0.05,"Riesgo","Atrasado")))</f>
        <v/>
      </c>
      <c r="I86" s="56"/>
      <c r="J86" s="60" t="str">
        <f aca="false">IF(I86="","",IF($I$9="","",IF($I$9=0,"",I86/$I$9)))</f>
        <v/>
      </c>
      <c r="K86" s="54"/>
      <c r="L86" s="60" t="str">
        <f aca="false">IF(K86="","",IF($K$9="","",IF($K$9=0,"",K86/$K$9)))</f>
        <v/>
      </c>
      <c r="M86" s="56"/>
      <c r="N86" s="60" t="str">
        <f aca="false">IF(M86="","",IF($M$9="","",IF($M$9=0,"",M86/$M$9)))</f>
        <v/>
      </c>
      <c r="O86" s="56"/>
      <c r="P86" s="60" t="str">
        <f aca="false">IF(O86="","",IF($O$9="","",IF($O$9=0,"",O86/$O$9)))</f>
        <v/>
      </c>
      <c r="Q86" s="54"/>
      <c r="R86" s="60" t="str">
        <f aca="false">IF(Q86="","",IF($Q$9="","",IF($Q$9=0,"",Q86/$Q$9)))</f>
        <v/>
      </c>
      <c r="S86" s="56"/>
      <c r="T86" s="60" t="str">
        <f aca="false">IF(S86="","",IF($S$9="","",IF($S$9=0,"",S86/$S$9)))</f>
        <v/>
      </c>
      <c r="U86" s="54"/>
      <c r="V86" s="60" t="str">
        <f aca="false">IF(U86="","",IF($U$9="","",IF($U$9=0,"",U86/$U$9)))</f>
        <v/>
      </c>
      <c r="W86" s="54"/>
      <c r="X86" s="60" t="str">
        <f aca="false">IF(W86="","",IF($W$9="","",IF($W$9=0,"",W86/$W$9)))</f>
        <v/>
      </c>
    </row>
    <row r="87" customFormat="false" ht="15" hidden="false" customHeight="false" outlineLevel="0" collapsed="false">
      <c r="A87" s="5" t="n">
        <v>77</v>
      </c>
      <c r="B87" s="50" t="n">
        <v>46720</v>
      </c>
      <c r="C87" s="64" t="n">
        <f aca="false">$B$5</f>
        <v>1</v>
      </c>
      <c r="D87" s="52"/>
      <c r="E87" s="5"/>
      <c r="F87" s="5"/>
      <c r="G87" s="53" t="str">
        <f aca="false">IF(D87="","",D87-C87)</f>
        <v/>
      </c>
      <c r="H87" s="13" t="str">
        <f aca="false">IF(D87="","",IF(D87&gt;=C87,"En meta",IF(D87&gt;=C87-0.05,"Riesgo","Atrasado")))</f>
        <v/>
      </c>
      <c r="I87" s="56"/>
      <c r="J87" s="55" t="str">
        <f aca="false">IF(I87="","",IF($I$9="","",IF($I$9=0,"",I87/$I$9)))</f>
        <v/>
      </c>
      <c r="K87" s="54"/>
      <c r="L87" s="55" t="str">
        <f aca="false">IF(K87="","",IF($K$9="","",IF($K$9=0,"",K87/$K$9)))</f>
        <v/>
      </c>
      <c r="M87" s="56"/>
      <c r="N87" s="55" t="str">
        <f aca="false">IF(M87="","",IF($M$9="","",IF($M$9=0,"",M87/$M$9)))</f>
        <v/>
      </c>
      <c r="O87" s="56"/>
      <c r="P87" s="55" t="str">
        <f aca="false">IF(O87="","",IF($O$9="","",IF($O$9=0,"",O87/$O$9)))</f>
        <v/>
      </c>
      <c r="Q87" s="54"/>
      <c r="R87" s="55" t="str">
        <f aca="false">IF(Q87="","",IF($Q$9="","",IF($Q$9=0,"",Q87/$Q$9)))</f>
        <v/>
      </c>
      <c r="S87" s="56"/>
      <c r="T87" s="55" t="str">
        <f aca="false">IF(S87="","",IF($S$9="","",IF($S$9=0,"",S87/$S$9)))</f>
        <v/>
      </c>
      <c r="U87" s="54"/>
      <c r="V87" s="55" t="str">
        <f aca="false">IF(U87="","",IF($U$9="","",IF($U$9=0,"",U87/$U$9)))</f>
        <v/>
      </c>
      <c r="W87" s="54"/>
      <c r="X87" s="55" t="str">
        <f aca="false">IF(W87="","",IF($W$9="","",IF($W$9=0,"",W87/$W$9)))</f>
        <v/>
      </c>
    </row>
    <row r="88" customFormat="false" ht="15" hidden="false" customHeight="false" outlineLevel="0" collapsed="false">
      <c r="A88" s="28" t="n">
        <v>78</v>
      </c>
      <c r="B88" s="57" t="n">
        <v>46727</v>
      </c>
      <c r="C88" s="65" t="n">
        <f aca="false">$B$5</f>
        <v>1</v>
      </c>
      <c r="D88" s="52"/>
      <c r="E88" s="28"/>
      <c r="F88" s="28"/>
      <c r="G88" s="59" t="str">
        <f aca="false">IF(D88="","",D88-C88)</f>
        <v/>
      </c>
      <c r="H88" s="14" t="str">
        <f aca="false">IF(D88="","",IF(D88&gt;=C88,"En meta",IF(D88&gt;=C88-0.05,"Riesgo","Atrasado")))</f>
        <v/>
      </c>
      <c r="I88" s="56"/>
      <c r="J88" s="60" t="str">
        <f aca="false">IF(I88="","",IF($I$9="","",IF($I$9=0,"",I88/$I$9)))</f>
        <v/>
      </c>
      <c r="K88" s="54"/>
      <c r="L88" s="60" t="str">
        <f aca="false">IF(K88="","",IF($K$9="","",IF($K$9=0,"",K88/$K$9)))</f>
        <v/>
      </c>
      <c r="M88" s="56"/>
      <c r="N88" s="60" t="str">
        <f aca="false">IF(M88="","",IF($M$9="","",IF($M$9=0,"",M88/$M$9)))</f>
        <v/>
      </c>
      <c r="O88" s="56"/>
      <c r="P88" s="60" t="str">
        <f aca="false">IF(O88="","",IF($O$9="","",IF($O$9=0,"",O88/$O$9)))</f>
        <v/>
      </c>
      <c r="Q88" s="54"/>
      <c r="R88" s="60" t="str">
        <f aca="false">IF(Q88="","",IF($Q$9="","",IF($Q$9=0,"",Q88/$Q$9)))</f>
        <v/>
      </c>
      <c r="S88" s="56"/>
      <c r="T88" s="60" t="str">
        <f aca="false">IF(S88="","",IF($S$9="","",IF($S$9=0,"",S88/$S$9)))</f>
        <v/>
      </c>
      <c r="U88" s="54"/>
      <c r="V88" s="60" t="str">
        <f aca="false">IF(U88="","",IF($U$9="","",IF($U$9=0,"",U88/$U$9)))</f>
        <v/>
      </c>
      <c r="W88" s="54"/>
      <c r="X88" s="60" t="str">
        <f aca="false">IF(W88="","",IF($W$9="","",IF($W$9=0,"",W88/$W$9)))</f>
        <v/>
      </c>
    </row>
    <row r="89" customFormat="false" ht="15" hidden="false" customHeight="false" outlineLevel="0" collapsed="false">
      <c r="A89" s="5" t="n">
        <v>79</v>
      </c>
      <c r="B89" s="50" t="n">
        <v>46734</v>
      </c>
      <c r="C89" s="64" t="n">
        <f aca="false">$B$5</f>
        <v>1</v>
      </c>
      <c r="D89" s="52"/>
      <c r="E89" s="5"/>
      <c r="F89" s="5"/>
      <c r="G89" s="53" t="str">
        <f aca="false">IF(D89="","",D89-C89)</f>
        <v/>
      </c>
      <c r="H89" s="13" t="str">
        <f aca="false">IF(D89="","",IF(D89&gt;=C89,"En meta",IF(D89&gt;=C89-0.05,"Riesgo","Atrasado")))</f>
        <v/>
      </c>
      <c r="I89" s="56"/>
      <c r="J89" s="55" t="str">
        <f aca="false">IF(I89="","",IF($I$9="","",IF($I$9=0,"",I89/$I$9)))</f>
        <v/>
      </c>
      <c r="K89" s="54"/>
      <c r="L89" s="55" t="str">
        <f aca="false">IF(K89="","",IF($K$9="","",IF($K$9=0,"",K89/$K$9)))</f>
        <v/>
      </c>
      <c r="M89" s="56"/>
      <c r="N89" s="55" t="str">
        <f aca="false">IF(M89="","",IF($M$9="","",IF($M$9=0,"",M89/$M$9)))</f>
        <v/>
      </c>
      <c r="O89" s="56"/>
      <c r="P89" s="55" t="str">
        <f aca="false">IF(O89="","",IF($O$9="","",IF($O$9=0,"",O89/$O$9)))</f>
        <v/>
      </c>
      <c r="Q89" s="54"/>
      <c r="R89" s="55" t="str">
        <f aca="false">IF(Q89="","",IF($Q$9="","",IF($Q$9=0,"",Q89/$Q$9)))</f>
        <v/>
      </c>
      <c r="S89" s="56"/>
      <c r="T89" s="55" t="str">
        <f aca="false">IF(S89="","",IF($S$9="","",IF($S$9=0,"",S89/$S$9)))</f>
        <v/>
      </c>
      <c r="U89" s="54"/>
      <c r="V89" s="55" t="str">
        <f aca="false">IF(U89="","",IF($U$9="","",IF($U$9=0,"",U89/$U$9)))</f>
        <v/>
      </c>
      <c r="W89" s="54"/>
      <c r="X89" s="55" t="str">
        <f aca="false">IF(W89="","",IF($W$9="","",IF($W$9=0,"",W89/$W$9)))</f>
        <v/>
      </c>
    </row>
    <row r="90" customFormat="false" ht="15" hidden="false" customHeight="false" outlineLevel="0" collapsed="false">
      <c r="A90" s="28" t="n">
        <v>80</v>
      </c>
      <c r="B90" s="57" t="n">
        <v>46741</v>
      </c>
      <c r="C90" s="65" t="n">
        <f aca="false">$B$5</f>
        <v>1</v>
      </c>
      <c r="D90" s="52"/>
      <c r="E90" s="28"/>
      <c r="F90" s="28"/>
      <c r="G90" s="59" t="str">
        <f aca="false">IF(D90="","",D90-C90)</f>
        <v/>
      </c>
      <c r="H90" s="14" t="str">
        <f aca="false">IF(D90="","",IF(D90&gt;=C90,"En meta",IF(D90&gt;=C90-0.05,"Riesgo","Atrasado")))</f>
        <v/>
      </c>
      <c r="I90" s="56"/>
      <c r="J90" s="60" t="str">
        <f aca="false">IF(I90="","",IF($I$9="","",IF($I$9=0,"",I90/$I$9)))</f>
        <v/>
      </c>
      <c r="K90" s="54"/>
      <c r="L90" s="60" t="str">
        <f aca="false">IF(K90="","",IF($K$9="","",IF($K$9=0,"",K90/$K$9)))</f>
        <v/>
      </c>
      <c r="M90" s="56"/>
      <c r="N90" s="60" t="str">
        <f aca="false">IF(M90="","",IF($M$9="","",IF($M$9=0,"",M90/$M$9)))</f>
        <v/>
      </c>
      <c r="O90" s="56"/>
      <c r="P90" s="60" t="str">
        <f aca="false">IF(O90="","",IF($O$9="","",IF($O$9=0,"",O90/$O$9)))</f>
        <v/>
      </c>
      <c r="Q90" s="54"/>
      <c r="R90" s="60" t="str">
        <f aca="false">IF(Q90="","",IF($Q$9="","",IF($Q$9=0,"",Q90/$Q$9)))</f>
        <v/>
      </c>
      <c r="S90" s="56"/>
      <c r="T90" s="60" t="str">
        <f aca="false">IF(S90="","",IF($S$9="","",IF($S$9=0,"",S90/$S$9)))</f>
        <v/>
      </c>
      <c r="U90" s="54"/>
      <c r="V90" s="60" t="str">
        <f aca="false">IF(U90="","",IF($U$9="","",IF($U$9=0,"",U90/$U$9)))</f>
        <v/>
      </c>
      <c r="W90" s="54"/>
      <c r="X90" s="60" t="str">
        <f aca="false">IF(W90="","",IF($W$9="","",IF($W$9=0,"",W90/$W$9)))</f>
        <v/>
      </c>
    </row>
    <row r="91" customFormat="false" ht="15" hidden="false" customHeight="false" outlineLevel="0" collapsed="false">
      <c r="A91" s="5" t="n">
        <v>81</v>
      </c>
      <c r="B91" s="50" t="n">
        <v>46748</v>
      </c>
      <c r="C91" s="64" t="n">
        <f aca="false">$B$5</f>
        <v>1</v>
      </c>
      <c r="D91" s="52"/>
      <c r="E91" s="5"/>
      <c r="F91" s="5"/>
      <c r="G91" s="53" t="str">
        <f aca="false">IF(D91="","",D91-C91)</f>
        <v/>
      </c>
      <c r="H91" s="13" t="str">
        <f aca="false">IF(D91="","",IF(D91&gt;=C91,"En meta",IF(D91&gt;=C91-0.05,"Riesgo","Atrasado")))</f>
        <v/>
      </c>
      <c r="I91" s="56"/>
      <c r="J91" s="55" t="str">
        <f aca="false">IF(I91="","",IF($I$9="","",IF($I$9=0,"",I91/$I$9)))</f>
        <v/>
      </c>
      <c r="K91" s="54"/>
      <c r="L91" s="55" t="str">
        <f aca="false">IF(K91="","",IF($K$9="","",IF($K$9=0,"",K91/$K$9)))</f>
        <v/>
      </c>
      <c r="M91" s="56"/>
      <c r="N91" s="55" t="str">
        <f aca="false">IF(M91="","",IF($M$9="","",IF($M$9=0,"",M91/$M$9)))</f>
        <v/>
      </c>
      <c r="O91" s="56"/>
      <c r="P91" s="55" t="str">
        <f aca="false">IF(O91="","",IF($O$9="","",IF($O$9=0,"",O91/$O$9)))</f>
        <v/>
      </c>
      <c r="Q91" s="54"/>
      <c r="R91" s="55" t="str">
        <f aca="false">IF(Q91="","",IF($Q$9="","",IF($Q$9=0,"",Q91/$Q$9)))</f>
        <v/>
      </c>
      <c r="S91" s="56"/>
      <c r="T91" s="55" t="str">
        <f aca="false">IF(S91="","",IF($S$9="","",IF($S$9=0,"",S91/$S$9)))</f>
        <v/>
      </c>
      <c r="U91" s="54"/>
      <c r="V91" s="55" t="str">
        <f aca="false">IF(U91="","",IF($U$9="","",IF($U$9=0,"",U91/$U$9)))</f>
        <v/>
      </c>
      <c r="W91" s="54"/>
      <c r="X91" s="55" t="str">
        <f aca="false">IF(W91="","",IF($W$9="","",IF($W$9=0,"",W91/$W$9)))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133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134</v>
      </c>
    </row>
    <row r="3" customFormat="false" ht="15" hidden="false" customHeight="false" outlineLevel="0" collapsed="false">
      <c r="A3" s="17" t="s">
        <v>77</v>
      </c>
      <c r="B3" s="40" t="s">
        <v>135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51</v>
      </c>
    </row>
    <row r="5" customFormat="false" ht="15" hidden="false" customHeight="false" outlineLevel="0" collapsed="false">
      <c r="A5" s="17" t="s">
        <v>82</v>
      </c>
      <c r="B5" s="66" t="n">
        <v>20000</v>
      </c>
      <c r="D5" s="17" t="s">
        <v>83</v>
      </c>
      <c r="E5" s="43" t="n">
        <v>46188</v>
      </c>
      <c r="G5" s="17" t="s">
        <v>84</v>
      </c>
      <c r="H5" s="43" t="n">
        <v>46748</v>
      </c>
    </row>
    <row r="6" customFormat="false" ht="15" hidden="false" customHeight="false" outlineLevel="0" collapsed="false">
      <c r="A6" s="17" t="s">
        <v>85</v>
      </c>
      <c r="B6" s="40" t="s">
        <v>86</v>
      </c>
    </row>
    <row r="8" customFormat="false" ht="42" hidden="false" customHeight="true" outlineLevel="0" collapsed="false">
      <c r="A8" s="17" t="s">
        <v>87</v>
      </c>
      <c r="B8" s="44" t="n">
        <f aca="false">COUNT(A11:A91)</f>
        <v>81</v>
      </c>
      <c r="H8" s="45" t="s">
        <v>88</v>
      </c>
      <c r="I8" s="46" t="s">
        <v>136</v>
      </c>
      <c r="J8" s="46"/>
      <c r="K8" s="46" t="s">
        <v>137</v>
      </c>
      <c r="L8" s="46"/>
      <c r="M8" s="46" t="s">
        <v>138</v>
      </c>
      <c r="N8" s="46"/>
      <c r="O8" s="46" t="s">
        <v>139</v>
      </c>
      <c r="P8" s="46"/>
      <c r="Q8" s="46" t="s">
        <v>140</v>
      </c>
      <c r="R8" s="46"/>
      <c r="S8" s="46" t="s">
        <v>141</v>
      </c>
      <c r="T8" s="46"/>
      <c r="U8" s="46" t="s">
        <v>96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7" t="n">
        <v>2</v>
      </c>
      <c r="J9" s="47"/>
      <c r="K9" s="47" t="n">
        <v>1</v>
      </c>
      <c r="L9" s="47"/>
      <c r="M9" s="47" t="n">
        <v>1</v>
      </c>
      <c r="N9" s="47"/>
      <c r="O9" s="47" t="n">
        <v>4</v>
      </c>
      <c r="P9" s="47"/>
      <c r="Q9" s="47" t="n">
        <v>3</v>
      </c>
      <c r="R9" s="47"/>
      <c r="S9" s="48" t="n">
        <v>1</v>
      </c>
      <c r="T9" s="48"/>
      <c r="U9" s="47"/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99</v>
      </c>
      <c r="C10" s="4" t="s">
        <v>100</v>
      </c>
      <c r="D10" s="4" t="s">
        <v>101</v>
      </c>
      <c r="E10" s="4" t="s">
        <v>28</v>
      </c>
      <c r="F10" s="4" t="s">
        <v>29</v>
      </c>
      <c r="G10" s="4" t="s">
        <v>30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50" t="n">
        <v>46188</v>
      </c>
      <c r="C11" s="61" t="n">
        <f aca="false">$B$5/$B$8</f>
        <v>246.913580246914</v>
      </c>
      <c r="D11" s="52"/>
      <c r="E11" s="61" t="n">
        <f aca="false">SUM($C$11:C11)</f>
        <v>246.913580246914</v>
      </c>
      <c r="F11" s="61" t="n">
        <f aca="false">SUM($D$11:D11)</f>
        <v>0</v>
      </c>
      <c r="G11" s="53" t="str">
        <f aca="false">IF(COUNT($D$11:D11)=0,"",F11/E11)</f>
        <v/>
      </c>
      <c r="H11" s="13" t="str">
        <f aca="false">IF(G11="","",IF(G11&gt;=0.95,"En meta",IF(G11&gt;=0.8,"Riesgo","Atrasado")))</f>
        <v/>
      </c>
      <c r="I11" s="54"/>
      <c r="J11" s="55" t="str">
        <f aca="false">IF(I11="","",IF($I$9="","",IF($I$9=0,"",I11/$I$9)))</f>
        <v/>
      </c>
      <c r="K11" s="54"/>
      <c r="L11" s="55" t="str">
        <f aca="false">IF(K11="","",IF($K$9="","",IF($K$9=0,"",K11/$K$9)))</f>
        <v/>
      </c>
      <c r="M11" s="54"/>
      <c r="N11" s="55" t="str">
        <f aca="false">IF(M11="","",IF($M$9="","",IF($M$9=0,"",M11/$M$9)))</f>
        <v/>
      </c>
      <c r="O11" s="54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6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57" t="n">
        <v>46195</v>
      </c>
      <c r="C12" s="62" t="n">
        <f aca="false">$B$5/$B$8</f>
        <v>246.913580246914</v>
      </c>
      <c r="D12" s="52"/>
      <c r="E12" s="62" t="n">
        <f aca="false">SUM($C$11:C12)</f>
        <v>493.827160493827</v>
      </c>
      <c r="F12" s="62" t="n">
        <f aca="false">SUM($D$11:D12)</f>
        <v>0</v>
      </c>
      <c r="G12" s="59" t="str">
        <f aca="false">IF(COUNT($D$11:D12)=0,"",F12/E12)</f>
        <v/>
      </c>
      <c r="H12" s="14" t="str">
        <f aca="false">IF(G12="","",IF(G12&gt;=0.95,"En meta",IF(G12&gt;=0.8,"Riesgo","Atrasado")))</f>
        <v/>
      </c>
      <c r="I12" s="54"/>
      <c r="J12" s="60" t="str">
        <f aca="false">IF(I12="","",IF($I$9="","",IF($I$9=0,"",I12/$I$9)))</f>
        <v/>
      </c>
      <c r="K12" s="54"/>
      <c r="L12" s="60" t="str">
        <f aca="false">IF(K12="","",IF($K$9="","",IF($K$9=0,"",K12/$K$9)))</f>
        <v/>
      </c>
      <c r="M12" s="54"/>
      <c r="N12" s="60" t="str">
        <f aca="false">IF(M12="","",IF($M$9="","",IF($M$9=0,"",M12/$M$9)))</f>
        <v/>
      </c>
      <c r="O12" s="54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6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50" t="n">
        <v>46202</v>
      </c>
      <c r="C13" s="61" t="n">
        <f aca="false">$B$5/$B$8</f>
        <v>246.913580246914</v>
      </c>
      <c r="D13" s="52"/>
      <c r="E13" s="61" t="n">
        <f aca="false">SUM($C$11:C13)</f>
        <v>740.740740740741</v>
      </c>
      <c r="F13" s="61" t="n">
        <f aca="false">SUM($D$11:D13)</f>
        <v>0</v>
      </c>
      <c r="G13" s="53" t="str">
        <f aca="false">IF(COUNT($D$11:D13)=0,"",F13/E13)</f>
        <v/>
      </c>
      <c r="H13" s="13" t="str">
        <f aca="false">IF(G13="","",IF(G13&gt;=0.95,"En meta",IF(G13&gt;=0.8,"Riesgo","Atrasado")))</f>
        <v/>
      </c>
      <c r="I13" s="54"/>
      <c r="J13" s="55" t="str">
        <f aca="false">IF(I13="","",IF($I$9="","",IF($I$9=0,"",I13/$I$9)))</f>
        <v/>
      </c>
      <c r="K13" s="54"/>
      <c r="L13" s="55" t="str">
        <f aca="false">IF(K13="","",IF($K$9="","",IF($K$9=0,"",K13/$K$9)))</f>
        <v/>
      </c>
      <c r="M13" s="54"/>
      <c r="N13" s="55" t="str">
        <f aca="false">IF(M13="","",IF($M$9="","",IF($M$9=0,"",M13/$M$9)))</f>
        <v/>
      </c>
      <c r="O13" s="54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6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57" t="n">
        <v>46209</v>
      </c>
      <c r="C14" s="62" t="n">
        <f aca="false">$B$5/$B$8</f>
        <v>246.913580246914</v>
      </c>
      <c r="D14" s="52"/>
      <c r="E14" s="62" t="n">
        <f aca="false">SUM($C$11:C14)</f>
        <v>987.654320987654</v>
      </c>
      <c r="F14" s="62" t="n">
        <f aca="false">SUM($D$11:D14)</f>
        <v>0</v>
      </c>
      <c r="G14" s="59" t="str">
        <f aca="false">IF(COUNT($D$11:D14)=0,"",F14/E14)</f>
        <v/>
      </c>
      <c r="H14" s="14" t="str">
        <f aca="false">IF(G14="","",IF(G14&gt;=0.95,"En meta",IF(G14&gt;=0.8,"Riesgo","Atrasado")))</f>
        <v/>
      </c>
      <c r="I14" s="54"/>
      <c r="J14" s="60" t="str">
        <f aca="false">IF(I14="","",IF($I$9="","",IF($I$9=0,"",I14/$I$9)))</f>
        <v/>
      </c>
      <c r="K14" s="54"/>
      <c r="L14" s="60" t="str">
        <f aca="false">IF(K14="","",IF($K$9="","",IF($K$9=0,"",K14/$K$9)))</f>
        <v/>
      </c>
      <c r="M14" s="54"/>
      <c r="N14" s="60" t="str">
        <f aca="false">IF(M14="","",IF($M$9="","",IF($M$9=0,"",M14/$M$9)))</f>
        <v/>
      </c>
      <c r="O14" s="54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6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50" t="n">
        <v>46216</v>
      </c>
      <c r="C15" s="61" t="n">
        <f aca="false">$B$5/$B$8</f>
        <v>246.913580246914</v>
      </c>
      <c r="D15" s="52"/>
      <c r="E15" s="61" t="n">
        <f aca="false">SUM($C$11:C15)</f>
        <v>1234.56790123457</v>
      </c>
      <c r="F15" s="61" t="n">
        <f aca="false">SUM($D$11:D15)</f>
        <v>0</v>
      </c>
      <c r="G15" s="53" t="str">
        <f aca="false">IF(COUNT($D$11:D15)=0,"",F15/E15)</f>
        <v/>
      </c>
      <c r="H15" s="13" t="str">
        <f aca="false">IF(G15="","",IF(G15&gt;=0.95,"En meta",IF(G15&gt;=0.8,"Riesgo","Atrasado")))</f>
        <v/>
      </c>
      <c r="I15" s="54"/>
      <c r="J15" s="55" t="str">
        <f aca="false">IF(I15="","",IF($I$9="","",IF($I$9=0,"",I15/$I$9)))</f>
        <v/>
      </c>
      <c r="K15" s="54"/>
      <c r="L15" s="55" t="str">
        <f aca="false">IF(K15="","",IF($K$9="","",IF($K$9=0,"",K15/$K$9)))</f>
        <v/>
      </c>
      <c r="M15" s="54"/>
      <c r="N15" s="55" t="str">
        <f aca="false">IF(M15="","",IF($M$9="","",IF($M$9=0,"",M15/$M$9)))</f>
        <v/>
      </c>
      <c r="O15" s="54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6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57" t="n">
        <v>46223</v>
      </c>
      <c r="C16" s="62" t="n">
        <f aca="false">$B$5/$B$8</f>
        <v>246.913580246914</v>
      </c>
      <c r="D16" s="52"/>
      <c r="E16" s="62" t="n">
        <f aca="false">SUM($C$11:C16)</f>
        <v>1481.48148148148</v>
      </c>
      <c r="F16" s="62" t="n">
        <f aca="false">SUM($D$11:D16)</f>
        <v>0</v>
      </c>
      <c r="G16" s="59" t="str">
        <f aca="false">IF(COUNT($D$11:D16)=0,"",F16/E16)</f>
        <v/>
      </c>
      <c r="H16" s="14" t="str">
        <f aca="false">IF(G16="","",IF(G16&gt;=0.95,"En meta",IF(G16&gt;=0.8,"Riesgo","Atrasado")))</f>
        <v/>
      </c>
      <c r="I16" s="54"/>
      <c r="J16" s="60" t="str">
        <f aca="false">IF(I16="","",IF($I$9="","",IF($I$9=0,"",I16/$I$9)))</f>
        <v/>
      </c>
      <c r="K16" s="54"/>
      <c r="L16" s="60" t="str">
        <f aca="false">IF(K16="","",IF($K$9="","",IF($K$9=0,"",K16/$K$9)))</f>
        <v/>
      </c>
      <c r="M16" s="54"/>
      <c r="N16" s="60" t="str">
        <f aca="false">IF(M16="","",IF($M$9="","",IF($M$9=0,"",M16/$M$9)))</f>
        <v/>
      </c>
      <c r="O16" s="54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6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50" t="n">
        <v>46230</v>
      </c>
      <c r="C17" s="61" t="n">
        <f aca="false">$B$5/$B$8</f>
        <v>246.913580246914</v>
      </c>
      <c r="D17" s="52"/>
      <c r="E17" s="61" t="n">
        <f aca="false">SUM($C$11:C17)</f>
        <v>1728.3950617284</v>
      </c>
      <c r="F17" s="61" t="n">
        <f aca="false">SUM($D$11:D17)</f>
        <v>0</v>
      </c>
      <c r="G17" s="53" t="str">
        <f aca="false">IF(COUNT($D$11:D17)=0,"",F17/E17)</f>
        <v/>
      </c>
      <c r="H17" s="13" t="str">
        <f aca="false">IF(G17="","",IF(G17&gt;=0.95,"En meta",IF(G17&gt;=0.8,"Riesgo","Atrasado")))</f>
        <v/>
      </c>
      <c r="I17" s="54"/>
      <c r="J17" s="55" t="str">
        <f aca="false">IF(I17="","",IF($I$9="","",IF($I$9=0,"",I17/$I$9)))</f>
        <v/>
      </c>
      <c r="K17" s="54"/>
      <c r="L17" s="55" t="str">
        <f aca="false">IF(K17="","",IF($K$9="","",IF($K$9=0,"",K17/$K$9)))</f>
        <v/>
      </c>
      <c r="M17" s="54"/>
      <c r="N17" s="55" t="str">
        <f aca="false">IF(M17="","",IF($M$9="","",IF($M$9=0,"",M17/$M$9)))</f>
        <v/>
      </c>
      <c r="O17" s="54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6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57" t="n">
        <v>46237</v>
      </c>
      <c r="C18" s="62" t="n">
        <f aca="false">$B$5/$B$8</f>
        <v>246.913580246914</v>
      </c>
      <c r="D18" s="52"/>
      <c r="E18" s="62" t="n">
        <f aca="false">SUM($C$11:C18)</f>
        <v>1975.30864197531</v>
      </c>
      <c r="F18" s="62" t="n">
        <f aca="false">SUM($D$11:D18)</f>
        <v>0</v>
      </c>
      <c r="G18" s="59" t="str">
        <f aca="false">IF(COUNT($D$11:D18)=0,"",F18/E18)</f>
        <v/>
      </c>
      <c r="H18" s="14" t="str">
        <f aca="false">IF(G18="","",IF(G18&gt;=0.95,"En meta",IF(G18&gt;=0.8,"Riesgo","Atrasado")))</f>
        <v/>
      </c>
      <c r="I18" s="54"/>
      <c r="J18" s="60" t="str">
        <f aca="false">IF(I18="","",IF($I$9="","",IF($I$9=0,"",I18/$I$9)))</f>
        <v/>
      </c>
      <c r="K18" s="54"/>
      <c r="L18" s="60" t="str">
        <f aca="false">IF(K18="","",IF($K$9="","",IF($K$9=0,"",K18/$K$9)))</f>
        <v/>
      </c>
      <c r="M18" s="54"/>
      <c r="N18" s="60" t="str">
        <f aca="false">IF(M18="","",IF($M$9="","",IF($M$9=0,"",M18/$M$9)))</f>
        <v/>
      </c>
      <c r="O18" s="54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6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50" t="n">
        <v>46244</v>
      </c>
      <c r="C19" s="61" t="n">
        <f aca="false">$B$5/$B$8</f>
        <v>246.913580246914</v>
      </c>
      <c r="D19" s="52"/>
      <c r="E19" s="61" t="n">
        <f aca="false">SUM($C$11:C19)</f>
        <v>2222.22222222222</v>
      </c>
      <c r="F19" s="61" t="n">
        <f aca="false">SUM($D$11:D19)</f>
        <v>0</v>
      </c>
      <c r="G19" s="53" t="str">
        <f aca="false">IF(COUNT($D$11:D19)=0,"",F19/E19)</f>
        <v/>
      </c>
      <c r="H19" s="13" t="str">
        <f aca="false">IF(G19="","",IF(G19&gt;=0.95,"En meta",IF(G19&gt;=0.8,"Riesgo","Atrasado")))</f>
        <v/>
      </c>
      <c r="I19" s="54"/>
      <c r="J19" s="55" t="str">
        <f aca="false">IF(I19="","",IF($I$9="","",IF($I$9=0,"",I19/$I$9)))</f>
        <v/>
      </c>
      <c r="K19" s="54"/>
      <c r="L19" s="55" t="str">
        <f aca="false">IF(K19="","",IF($K$9="","",IF($K$9=0,"",K19/$K$9)))</f>
        <v/>
      </c>
      <c r="M19" s="54"/>
      <c r="N19" s="55" t="str">
        <f aca="false">IF(M19="","",IF($M$9="","",IF($M$9=0,"",M19/$M$9)))</f>
        <v/>
      </c>
      <c r="O19" s="54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6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57" t="n">
        <v>46251</v>
      </c>
      <c r="C20" s="62" t="n">
        <f aca="false">$B$5/$B$8</f>
        <v>246.913580246914</v>
      </c>
      <c r="D20" s="52"/>
      <c r="E20" s="62" t="n">
        <f aca="false">SUM($C$11:C20)</f>
        <v>2469.13580246914</v>
      </c>
      <c r="F20" s="62" t="n">
        <f aca="false">SUM($D$11:D20)</f>
        <v>0</v>
      </c>
      <c r="G20" s="59" t="str">
        <f aca="false">IF(COUNT($D$11:D20)=0,"",F20/E20)</f>
        <v/>
      </c>
      <c r="H20" s="14" t="str">
        <f aca="false">IF(G20="","",IF(G20&gt;=0.95,"En meta",IF(G20&gt;=0.8,"Riesgo","Atrasado")))</f>
        <v/>
      </c>
      <c r="I20" s="54"/>
      <c r="J20" s="60" t="str">
        <f aca="false">IF(I20="","",IF($I$9="","",IF($I$9=0,"",I20/$I$9)))</f>
        <v/>
      </c>
      <c r="K20" s="54"/>
      <c r="L20" s="60" t="str">
        <f aca="false">IF(K20="","",IF($K$9="","",IF($K$9=0,"",K20/$K$9)))</f>
        <v/>
      </c>
      <c r="M20" s="54"/>
      <c r="N20" s="60" t="str">
        <f aca="false">IF(M20="","",IF($M$9="","",IF($M$9=0,"",M20/$M$9)))</f>
        <v/>
      </c>
      <c r="O20" s="54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6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50" t="n">
        <v>46258</v>
      </c>
      <c r="C21" s="61" t="n">
        <f aca="false">$B$5/$B$8</f>
        <v>246.913580246914</v>
      </c>
      <c r="D21" s="52"/>
      <c r="E21" s="61" t="n">
        <f aca="false">SUM($C$11:C21)</f>
        <v>2716.04938271605</v>
      </c>
      <c r="F21" s="61" t="n">
        <f aca="false">SUM($D$11:D21)</f>
        <v>0</v>
      </c>
      <c r="G21" s="53" t="str">
        <f aca="false">IF(COUNT($D$11:D21)=0,"",F21/E21)</f>
        <v/>
      </c>
      <c r="H21" s="13" t="str">
        <f aca="false">IF(G21="","",IF(G21&gt;=0.95,"En meta",IF(G21&gt;=0.8,"Riesgo","Atrasado")))</f>
        <v/>
      </c>
      <c r="I21" s="54"/>
      <c r="J21" s="55" t="str">
        <f aca="false">IF(I21="","",IF($I$9="","",IF($I$9=0,"",I21/$I$9)))</f>
        <v/>
      </c>
      <c r="K21" s="54"/>
      <c r="L21" s="55" t="str">
        <f aca="false">IF(K21="","",IF($K$9="","",IF($K$9=0,"",K21/$K$9)))</f>
        <v/>
      </c>
      <c r="M21" s="54"/>
      <c r="N21" s="55" t="str">
        <f aca="false">IF(M21="","",IF($M$9="","",IF($M$9=0,"",M21/$M$9)))</f>
        <v/>
      </c>
      <c r="O21" s="54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6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57" t="n">
        <v>46265</v>
      </c>
      <c r="C22" s="62" t="n">
        <f aca="false">$B$5/$B$8</f>
        <v>246.913580246914</v>
      </c>
      <c r="D22" s="52"/>
      <c r="E22" s="62" t="n">
        <f aca="false">SUM($C$11:C22)</f>
        <v>2962.96296296296</v>
      </c>
      <c r="F22" s="62" t="n">
        <f aca="false">SUM($D$11:D22)</f>
        <v>0</v>
      </c>
      <c r="G22" s="59" t="str">
        <f aca="false">IF(COUNT($D$11:D22)=0,"",F22/E22)</f>
        <v/>
      </c>
      <c r="H22" s="14" t="str">
        <f aca="false">IF(G22="","",IF(G22&gt;=0.95,"En meta",IF(G22&gt;=0.8,"Riesgo","Atrasado")))</f>
        <v/>
      </c>
      <c r="I22" s="54"/>
      <c r="J22" s="60" t="str">
        <f aca="false">IF(I22="","",IF($I$9="","",IF($I$9=0,"",I22/$I$9)))</f>
        <v/>
      </c>
      <c r="K22" s="54"/>
      <c r="L22" s="60" t="str">
        <f aca="false">IF(K22="","",IF($K$9="","",IF($K$9=0,"",K22/$K$9)))</f>
        <v/>
      </c>
      <c r="M22" s="54"/>
      <c r="N22" s="60" t="str">
        <f aca="false">IF(M22="","",IF($M$9="","",IF($M$9=0,"",M22/$M$9)))</f>
        <v/>
      </c>
      <c r="O22" s="54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6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50" t="n">
        <v>46272</v>
      </c>
      <c r="C23" s="61" t="n">
        <f aca="false">$B$5/$B$8</f>
        <v>246.913580246914</v>
      </c>
      <c r="D23" s="52"/>
      <c r="E23" s="61" t="n">
        <f aca="false">SUM($C$11:C23)</f>
        <v>3209.87654320988</v>
      </c>
      <c r="F23" s="61" t="n">
        <f aca="false">SUM($D$11:D23)</f>
        <v>0</v>
      </c>
      <c r="G23" s="53" t="str">
        <f aca="false">IF(COUNT($D$11:D23)=0,"",F23/E23)</f>
        <v/>
      </c>
      <c r="H23" s="13" t="str">
        <f aca="false">IF(G23="","",IF(G23&gt;=0.95,"En meta",IF(G23&gt;=0.8,"Riesgo","Atrasado")))</f>
        <v/>
      </c>
      <c r="I23" s="54"/>
      <c r="J23" s="55" t="str">
        <f aca="false">IF(I23="","",IF($I$9="","",IF($I$9=0,"",I23/$I$9)))</f>
        <v/>
      </c>
      <c r="K23" s="54"/>
      <c r="L23" s="55" t="str">
        <f aca="false">IF(K23="","",IF($K$9="","",IF($K$9=0,"",K23/$K$9)))</f>
        <v/>
      </c>
      <c r="M23" s="54"/>
      <c r="N23" s="55" t="str">
        <f aca="false">IF(M23="","",IF($M$9="","",IF($M$9=0,"",M23/$M$9)))</f>
        <v/>
      </c>
      <c r="O23" s="54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6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57" t="n">
        <v>46279</v>
      </c>
      <c r="C24" s="62" t="n">
        <f aca="false">$B$5/$B$8</f>
        <v>246.913580246914</v>
      </c>
      <c r="D24" s="52"/>
      <c r="E24" s="62" t="n">
        <f aca="false">SUM($C$11:C24)</f>
        <v>3456.79012345679</v>
      </c>
      <c r="F24" s="62" t="n">
        <f aca="false">SUM($D$11:D24)</f>
        <v>0</v>
      </c>
      <c r="G24" s="59" t="str">
        <f aca="false">IF(COUNT($D$11:D24)=0,"",F24/E24)</f>
        <v/>
      </c>
      <c r="H24" s="14" t="str">
        <f aca="false">IF(G24="","",IF(G24&gt;=0.95,"En meta",IF(G24&gt;=0.8,"Riesgo","Atrasado")))</f>
        <v/>
      </c>
      <c r="I24" s="54"/>
      <c r="J24" s="60" t="str">
        <f aca="false">IF(I24="","",IF($I$9="","",IF($I$9=0,"",I24/$I$9)))</f>
        <v/>
      </c>
      <c r="K24" s="54"/>
      <c r="L24" s="60" t="str">
        <f aca="false">IF(K24="","",IF($K$9="","",IF($K$9=0,"",K24/$K$9)))</f>
        <v/>
      </c>
      <c r="M24" s="54"/>
      <c r="N24" s="60" t="str">
        <f aca="false">IF(M24="","",IF($M$9="","",IF($M$9=0,"",M24/$M$9)))</f>
        <v/>
      </c>
      <c r="O24" s="54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6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50" t="n">
        <v>46286</v>
      </c>
      <c r="C25" s="61" t="n">
        <f aca="false">$B$5/$B$8</f>
        <v>246.913580246914</v>
      </c>
      <c r="D25" s="52"/>
      <c r="E25" s="61" t="n">
        <f aca="false">SUM($C$11:C25)</f>
        <v>3703.7037037037</v>
      </c>
      <c r="F25" s="61" t="n">
        <f aca="false">SUM($D$11:D25)</f>
        <v>0</v>
      </c>
      <c r="G25" s="53" t="str">
        <f aca="false">IF(COUNT($D$11:D25)=0,"",F25/E25)</f>
        <v/>
      </c>
      <c r="H25" s="13" t="str">
        <f aca="false">IF(G25="","",IF(G25&gt;=0.95,"En meta",IF(G25&gt;=0.8,"Riesgo","Atrasado")))</f>
        <v/>
      </c>
      <c r="I25" s="54"/>
      <c r="J25" s="55" t="str">
        <f aca="false">IF(I25="","",IF($I$9="","",IF($I$9=0,"",I25/$I$9)))</f>
        <v/>
      </c>
      <c r="K25" s="54"/>
      <c r="L25" s="55" t="str">
        <f aca="false">IF(K25="","",IF($K$9="","",IF($K$9=0,"",K25/$K$9)))</f>
        <v/>
      </c>
      <c r="M25" s="54"/>
      <c r="N25" s="55" t="str">
        <f aca="false">IF(M25="","",IF($M$9="","",IF($M$9=0,"",M25/$M$9)))</f>
        <v/>
      </c>
      <c r="O25" s="54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6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57" t="n">
        <v>46293</v>
      </c>
      <c r="C26" s="62" t="n">
        <f aca="false">$B$5/$B$8</f>
        <v>246.913580246914</v>
      </c>
      <c r="D26" s="52"/>
      <c r="E26" s="62" t="n">
        <f aca="false">SUM($C$11:C26)</f>
        <v>3950.61728395062</v>
      </c>
      <c r="F26" s="62" t="n">
        <f aca="false">SUM($D$11:D26)</f>
        <v>0</v>
      </c>
      <c r="G26" s="59" t="str">
        <f aca="false">IF(COUNT($D$11:D26)=0,"",F26/E26)</f>
        <v/>
      </c>
      <c r="H26" s="14" t="str">
        <f aca="false">IF(G26="","",IF(G26&gt;=0.95,"En meta",IF(G26&gt;=0.8,"Riesgo","Atrasado")))</f>
        <v/>
      </c>
      <c r="I26" s="54"/>
      <c r="J26" s="60" t="str">
        <f aca="false">IF(I26="","",IF($I$9="","",IF($I$9=0,"",I26/$I$9)))</f>
        <v/>
      </c>
      <c r="K26" s="54"/>
      <c r="L26" s="60" t="str">
        <f aca="false">IF(K26="","",IF($K$9="","",IF($K$9=0,"",K26/$K$9)))</f>
        <v/>
      </c>
      <c r="M26" s="54"/>
      <c r="N26" s="60" t="str">
        <f aca="false">IF(M26="","",IF($M$9="","",IF($M$9=0,"",M26/$M$9)))</f>
        <v/>
      </c>
      <c r="O26" s="54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6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50" t="n">
        <v>46300</v>
      </c>
      <c r="C27" s="61" t="n">
        <f aca="false">$B$5/$B$8</f>
        <v>246.913580246914</v>
      </c>
      <c r="D27" s="52"/>
      <c r="E27" s="61" t="n">
        <f aca="false">SUM($C$11:C27)</f>
        <v>4197.53086419753</v>
      </c>
      <c r="F27" s="61" t="n">
        <f aca="false">SUM($D$11:D27)</f>
        <v>0</v>
      </c>
      <c r="G27" s="53" t="str">
        <f aca="false">IF(COUNT($D$11:D27)=0,"",F27/E27)</f>
        <v/>
      </c>
      <c r="H27" s="13" t="str">
        <f aca="false">IF(G27="","",IF(G27&gt;=0.95,"En meta",IF(G27&gt;=0.8,"Riesgo","Atrasado")))</f>
        <v/>
      </c>
      <c r="I27" s="54"/>
      <c r="J27" s="55" t="str">
        <f aca="false">IF(I27="","",IF($I$9="","",IF($I$9=0,"",I27/$I$9)))</f>
        <v/>
      </c>
      <c r="K27" s="54"/>
      <c r="L27" s="55" t="str">
        <f aca="false">IF(K27="","",IF($K$9="","",IF($K$9=0,"",K27/$K$9)))</f>
        <v/>
      </c>
      <c r="M27" s="54"/>
      <c r="N27" s="55" t="str">
        <f aca="false">IF(M27="","",IF($M$9="","",IF($M$9=0,"",M27/$M$9)))</f>
        <v/>
      </c>
      <c r="O27" s="54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6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57" t="n">
        <v>46307</v>
      </c>
      <c r="C28" s="62" t="n">
        <f aca="false">$B$5/$B$8</f>
        <v>246.913580246914</v>
      </c>
      <c r="D28" s="52"/>
      <c r="E28" s="62" t="n">
        <f aca="false">SUM($C$11:C28)</f>
        <v>4444.44444444444</v>
      </c>
      <c r="F28" s="62" t="n">
        <f aca="false">SUM($D$11:D28)</f>
        <v>0</v>
      </c>
      <c r="G28" s="59" t="str">
        <f aca="false">IF(COUNT($D$11:D28)=0,"",F28/E28)</f>
        <v/>
      </c>
      <c r="H28" s="14" t="str">
        <f aca="false">IF(G28="","",IF(G28&gt;=0.95,"En meta",IF(G28&gt;=0.8,"Riesgo","Atrasado")))</f>
        <v/>
      </c>
      <c r="I28" s="54"/>
      <c r="J28" s="60" t="str">
        <f aca="false">IF(I28="","",IF($I$9="","",IF($I$9=0,"",I28/$I$9)))</f>
        <v/>
      </c>
      <c r="K28" s="54"/>
      <c r="L28" s="60" t="str">
        <f aca="false">IF(K28="","",IF($K$9="","",IF($K$9=0,"",K28/$K$9)))</f>
        <v/>
      </c>
      <c r="M28" s="54"/>
      <c r="N28" s="60" t="str">
        <f aca="false">IF(M28="","",IF($M$9="","",IF($M$9=0,"",M28/$M$9)))</f>
        <v/>
      </c>
      <c r="O28" s="54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6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  <row r="29" customFormat="false" ht="15" hidden="false" customHeight="false" outlineLevel="0" collapsed="false">
      <c r="A29" s="5" t="n">
        <v>19</v>
      </c>
      <c r="B29" s="50" t="n">
        <v>46314</v>
      </c>
      <c r="C29" s="61" t="n">
        <f aca="false">$B$5/$B$8</f>
        <v>246.913580246914</v>
      </c>
      <c r="D29" s="52"/>
      <c r="E29" s="61" t="n">
        <f aca="false">SUM($C$11:C29)</f>
        <v>4691.35802469136</v>
      </c>
      <c r="F29" s="61" t="n">
        <f aca="false">SUM($D$11:D29)</f>
        <v>0</v>
      </c>
      <c r="G29" s="53" t="str">
        <f aca="false">IF(COUNT($D$11:D29)=0,"",F29/E29)</f>
        <v/>
      </c>
      <c r="H29" s="13" t="str">
        <f aca="false">IF(G29="","",IF(G29&gt;=0.95,"En meta",IF(G29&gt;=0.8,"Riesgo","Atrasado")))</f>
        <v/>
      </c>
      <c r="I29" s="54"/>
      <c r="J29" s="55" t="str">
        <f aca="false">IF(I29="","",IF($I$9="","",IF($I$9=0,"",I29/$I$9)))</f>
        <v/>
      </c>
      <c r="K29" s="54"/>
      <c r="L29" s="55" t="str">
        <f aca="false">IF(K29="","",IF($K$9="","",IF($K$9=0,"",K29/$K$9)))</f>
        <v/>
      </c>
      <c r="M29" s="54"/>
      <c r="N29" s="55" t="str">
        <f aca="false">IF(M29="","",IF($M$9="","",IF($M$9=0,"",M29/$M$9)))</f>
        <v/>
      </c>
      <c r="O29" s="54"/>
      <c r="P29" s="55" t="str">
        <f aca="false">IF(O29="","",IF($O$9="","",IF($O$9=0,"",O29/$O$9)))</f>
        <v/>
      </c>
      <c r="Q29" s="54"/>
      <c r="R29" s="55" t="str">
        <f aca="false">IF(Q29="","",IF($Q$9="","",IF($Q$9=0,"",Q29/$Q$9)))</f>
        <v/>
      </c>
      <c r="S29" s="56"/>
      <c r="T29" s="55" t="str">
        <f aca="false">IF(S29="","",IF($S$9="","",IF($S$9=0,"",S29/$S$9)))</f>
        <v/>
      </c>
      <c r="U29" s="54"/>
      <c r="V29" s="55" t="str">
        <f aca="false">IF(U29="","",IF($U$9="","",IF($U$9=0,"",U29/$U$9)))</f>
        <v/>
      </c>
      <c r="W29" s="54"/>
      <c r="X29" s="55" t="str">
        <f aca="false">IF(W29="","",IF($W$9="","",IF($W$9=0,"",W29/$W$9)))</f>
        <v/>
      </c>
    </row>
    <row r="30" customFormat="false" ht="15" hidden="false" customHeight="false" outlineLevel="0" collapsed="false">
      <c r="A30" s="28" t="n">
        <v>20</v>
      </c>
      <c r="B30" s="57" t="n">
        <v>46321</v>
      </c>
      <c r="C30" s="62" t="n">
        <f aca="false">$B$5/$B$8</f>
        <v>246.913580246914</v>
      </c>
      <c r="D30" s="52"/>
      <c r="E30" s="62" t="n">
        <f aca="false">SUM($C$11:C30)</f>
        <v>4938.27160493827</v>
      </c>
      <c r="F30" s="62" t="n">
        <f aca="false">SUM($D$11:D30)</f>
        <v>0</v>
      </c>
      <c r="G30" s="59" t="str">
        <f aca="false">IF(COUNT($D$11:D30)=0,"",F30/E30)</f>
        <v/>
      </c>
      <c r="H30" s="14" t="str">
        <f aca="false">IF(G30="","",IF(G30&gt;=0.95,"En meta",IF(G30&gt;=0.8,"Riesgo","Atrasado")))</f>
        <v/>
      </c>
      <c r="I30" s="54"/>
      <c r="J30" s="60" t="str">
        <f aca="false">IF(I30="","",IF($I$9="","",IF($I$9=0,"",I30/$I$9)))</f>
        <v/>
      </c>
      <c r="K30" s="54"/>
      <c r="L30" s="60" t="str">
        <f aca="false">IF(K30="","",IF($K$9="","",IF($K$9=0,"",K30/$K$9)))</f>
        <v/>
      </c>
      <c r="M30" s="54"/>
      <c r="N30" s="60" t="str">
        <f aca="false">IF(M30="","",IF($M$9="","",IF($M$9=0,"",M30/$M$9)))</f>
        <v/>
      </c>
      <c r="O30" s="54"/>
      <c r="P30" s="60" t="str">
        <f aca="false">IF(O30="","",IF($O$9="","",IF($O$9=0,"",O30/$O$9)))</f>
        <v/>
      </c>
      <c r="Q30" s="54"/>
      <c r="R30" s="60" t="str">
        <f aca="false">IF(Q30="","",IF($Q$9="","",IF($Q$9=0,"",Q30/$Q$9)))</f>
        <v/>
      </c>
      <c r="S30" s="56"/>
      <c r="T30" s="60" t="str">
        <f aca="false">IF(S30="","",IF($S$9="","",IF($S$9=0,"",S30/$S$9)))</f>
        <v/>
      </c>
      <c r="U30" s="54"/>
      <c r="V30" s="60" t="str">
        <f aca="false">IF(U30="","",IF($U$9="","",IF($U$9=0,"",U30/$U$9)))</f>
        <v/>
      </c>
      <c r="W30" s="54"/>
      <c r="X30" s="60" t="str">
        <f aca="false">IF(W30="","",IF($W$9="","",IF($W$9=0,"",W30/$W$9)))</f>
        <v/>
      </c>
    </row>
    <row r="31" customFormat="false" ht="15" hidden="false" customHeight="false" outlineLevel="0" collapsed="false">
      <c r="A31" s="5" t="n">
        <v>21</v>
      </c>
      <c r="B31" s="50" t="n">
        <v>46328</v>
      </c>
      <c r="C31" s="61" t="n">
        <f aca="false">$B$5/$B$8</f>
        <v>246.913580246914</v>
      </c>
      <c r="D31" s="52"/>
      <c r="E31" s="61" t="n">
        <f aca="false">SUM($C$11:C31)</f>
        <v>5185.18518518519</v>
      </c>
      <c r="F31" s="61" t="n">
        <f aca="false">SUM($D$11:D31)</f>
        <v>0</v>
      </c>
      <c r="G31" s="53" t="str">
        <f aca="false">IF(COUNT($D$11:D31)=0,"",F31/E31)</f>
        <v/>
      </c>
      <c r="H31" s="13" t="str">
        <f aca="false">IF(G31="","",IF(G31&gt;=0.95,"En meta",IF(G31&gt;=0.8,"Riesgo","Atrasado")))</f>
        <v/>
      </c>
      <c r="I31" s="54"/>
      <c r="J31" s="55" t="str">
        <f aca="false">IF(I31="","",IF($I$9="","",IF($I$9=0,"",I31/$I$9)))</f>
        <v/>
      </c>
      <c r="K31" s="54"/>
      <c r="L31" s="55" t="str">
        <f aca="false">IF(K31="","",IF($K$9="","",IF($K$9=0,"",K31/$K$9)))</f>
        <v/>
      </c>
      <c r="M31" s="54"/>
      <c r="N31" s="55" t="str">
        <f aca="false">IF(M31="","",IF($M$9="","",IF($M$9=0,"",M31/$M$9)))</f>
        <v/>
      </c>
      <c r="O31" s="54"/>
      <c r="P31" s="55" t="str">
        <f aca="false">IF(O31="","",IF($O$9="","",IF($O$9=0,"",O31/$O$9)))</f>
        <v/>
      </c>
      <c r="Q31" s="54"/>
      <c r="R31" s="55" t="str">
        <f aca="false">IF(Q31="","",IF($Q$9="","",IF($Q$9=0,"",Q31/$Q$9)))</f>
        <v/>
      </c>
      <c r="S31" s="56"/>
      <c r="T31" s="55" t="str">
        <f aca="false">IF(S31="","",IF($S$9="","",IF($S$9=0,"",S31/$S$9)))</f>
        <v/>
      </c>
      <c r="U31" s="54"/>
      <c r="V31" s="55" t="str">
        <f aca="false">IF(U31="","",IF($U$9="","",IF($U$9=0,"",U31/$U$9)))</f>
        <v/>
      </c>
      <c r="W31" s="54"/>
      <c r="X31" s="55" t="str">
        <f aca="false">IF(W31="","",IF($W$9="","",IF($W$9=0,"",W31/$W$9)))</f>
        <v/>
      </c>
    </row>
    <row r="32" customFormat="false" ht="15" hidden="false" customHeight="false" outlineLevel="0" collapsed="false">
      <c r="A32" s="28" t="n">
        <v>22</v>
      </c>
      <c r="B32" s="57" t="n">
        <v>46335</v>
      </c>
      <c r="C32" s="62" t="n">
        <f aca="false">$B$5/$B$8</f>
        <v>246.913580246914</v>
      </c>
      <c r="D32" s="52"/>
      <c r="E32" s="62" t="n">
        <f aca="false">SUM($C$11:C32)</f>
        <v>5432.0987654321</v>
      </c>
      <c r="F32" s="62" t="n">
        <f aca="false">SUM($D$11:D32)</f>
        <v>0</v>
      </c>
      <c r="G32" s="59" t="str">
        <f aca="false">IF(COUNT($D$11:D32)=0,"",F32/E32)</f>
        <v/>
      </c>
      <c r="H32" s="14" t="str">
        <f aca="false">IF(G32="","",IF(G32&gt;=0.95,"En meta",IF(G32&gt;=0.8,"Riesgo","Atrasado")))</f>
        <v/>
      </c>
      <c r="I32" s="54"/>
      <c r="J32" s="60" t="str">
        <f aca="false">IF(I32="","",IF($I$9="","",IF($I$9=0,"",I32/$I$9)))</f>
        <v/>
      </c>
      <c r="K32" s="54"/>
      <c r="L32" s="60" t="str">
        <f aca="false">IF(K32="","",IF($K$9="","",IF($K$9=0,"",K32/$K$9)))</f>
        <v/>
      </c>
      <c r="M32" s="54"/>
      <c r="N32" s="60" t="str">
        <f aca="false">IF(M32="","",IF($M$9="","",IF($M$9=0,"",M32/$M$9)))</f>
        <v/>
      </c>
      <c r="O32" s="54"/>
      <c r="P32" s="60" t="str">
        <f aca="false">IF(O32="","",IF($O$9="","",IF($O$9=0,"",O32/$O$9)))</f>
        <v/>
      </c>
      <c r="Q32" s="54"/>
      <c r="R32" s="60" t="str">
        <f aca="false">IF(Q32="","",IF($Q$9="","",IF($Q$9=0,"",Q32/$Q$9)))</f>
        <v/>
      </c>
      <c r="S32" s="56"/>
      <c r="T32" s="60" t="str">
        <f aca="false">IF(S32="","",IF($S$9="","",IF($S$9=0,"",S32/$S$9)))</f>
        <v/>
      </c>
      <c r="U32" s="54"/>
      <c r="V32" s="60" t="str">
        <f aca="false">IF(U32="","",IF($U$9="","",IF($U$9=0,"",U32/$U$9)))</f>
        <v/>
      </c>
      <c r="W32" s="54"/>
      <c r="X32" s="60" t="str">
        <f aca="false">IF(W32="","",IF($W$9="","",IF($W$9=0,"",W32/$W$9)))</f>
        <v/>
      </c>
    </row>
    <row r="33" customFormat="false" ht="15" hidden="false" customHeight="false" outlineLevel="0" collapsed="false">
      <c r="A33" s="5" t="n">
        <v>23</v>
      </c>
      <c r="B33" s="50" t="n">
        <v>46342</v>
      </c>
      <c r="C33" s="61" t="n">
        <f aca="false">$B$5/$B$8</f>
        <v>246.913580246914</v>
      </c>
      <c r="D33" s="52"/>
      <c r="E33" s="61" t="n">
        <f aca="false">SUM($C$11:C33)</f>
        <v>5679.01234567901</v>
      </c>
      <c r="F33" s="61" t="n">
        <f aca="false">SUM($D$11:D33)</f>
        <v>0</v>
      </c>
      <c r="G33" s="53" t="str">
        <f aca="false">IF(COUNT($D$11:D33)=0,"",F33/E33)</f>
        <v/>
      </c>
      <c r="H33" s="13" t="str">
        <f aca="false">IF(G33="","",IF(G33&gt;=0.95,"En meta",IF(G33&gt;=0.8,"Riesgo","Atrasado")))</f>
        <v/>
      </c>
      <c r="I33" s="54"/>
      <c r="J33" s="55" t="str">
        <f aca="false">IF(I33="","",IF($I$9="","",IF($I$9=0,"",I33/$I$9)))</f>
        <v/>
      </c>
      <c r="K33" s="54"/>
      <c r="L33" s="55" t="str">
        <f aca="false">IF(K33="","",IF($K$9="","",IF($K$9=0,"",K33/$K$9)))</f>
        <v/>
      </c>
      <c r="M33" s="54"/>
      <c r="N33" s="55" t="str">
        <f aca="false">IF(M33="","",IF($M$9="","",IF($M$9=0,"",M33/$M$9)))</f>
        <v/>
      </c>
      <c r="O33" s="54"/>
      <c r="P33" s="55" t="str">
        <f aca="false">IF(O33="","",IF($O$9="","",IF($O$9=0,"",O33/$O$9)))</f>
        <v/>
      </c>
      <c r="Q33" s="54"/>
      <c r="R33" s="55" t="str">
        <f aca="false">IF(Q33="","",IF($Q$9="","",IF($Q$9=0,"",Q33/$Q$9)))</f>
        <v/>
      </c>
      <c r="S33" s="56"/>
      <c r="T33" s="55" t="str">
        <f aca="false">IF(S33="","",IF($S$9="","",IF($S$9=0,"",S33/$S$9)))</f>
        <v/>
      </c>
      <c r="U33" s="54"/>
      <c r="V33" s="55" t="str">
        <f aca="false">IF(U33="","",IF($U$9="","",IF($U$9=0,"",U33/$U$9)))</f>
        <v/>
      </c>
      <c r="W33" s="54"/>
      <c r="X33" s="55" t="str">
        <f aca="false">IF(W33="","",IF($W$9="","",IF($W$9=0,"",W33/$W$9)))</f>
        <v/>
      </c>
    </row>
    <row r="34" customFormat="false" ht="15" hidden="false" customHeight="false" outlineLevel="0" collapsed="false">
      <c r="A34" s="28" t="n">
        <v>24</v>
      </c>
      <c r="B34" s="57" t="n">
        <v>46349</v>
      </c>
      <c r="C34" s="62" t="n">
        <f aca="false">$B$5/$B$8</f>
        <v>246.913580246914</v>
      </c>
      <c r="D34" s="52"/>
      <c r="E34" s="62" t="n">
        <f aca="false">SUM($C$11:C34)</f>
        <v>5925.92592592593</v>
      </c>
      <c r="F34" s="62" t="n">
        <f aca="false">SUM($D$11:D34)</f>
        <v>0</v>
      </c>
      <c r="G34" s="59" t="str">
        <f aca="false">IF(COUNT($D$11:D34)=0,"",F34/E34)</f>
        <v/>
      </c>
      <c r="H34" s="14" t="str">
        <f aca="false">IF(G34="","",IF(G34&gt;=0.95,"En meta",IF(G34&gt;=0.8,"Riesgo","Atrasado")))</f>
        <v/>
      </c>
      <c r="I34" s="54"/>
      <c r="J34" s="60" t="str">
        <f aca="false">IF(I34="","",IF($I$9="","",IF($I$9=0,"",I34/$I$9)))</f>
        <v/>
      </c>
      <c r="K34" s="54"/>
      <c r="L34" s="60" t="str">
        <f aca="false">IF(K34="","",IF($K$9="","",IF($K$9=0,"",K34/$K$9)))</f>
        <v/>
      </c>
      <c r="M34" s="54"/>
      <c r="N34" s="60" t="str">
        <f aca="false">IF(M34="","",IF($M$9="","",IF($M$9=0,"",M34/$M$9)))</f>
        <v/>
      </c>
      <c r="O34" s="54"/>
      <c r="P34" s="60" t="str">
        <f aca="false">IF(O34="","",IF($O$9="","",IF($O$9=0,"",O34/$O$9)))</f>
        <v/>
      </c>
      <c r="Q34" s="54"/>
      <c r="R34" s="60" t="str">
        <f aca="false">IF(Q34="","",IF($Q$9="","",IF($Q$9=0,"",Q34/$Q$9)))</f>
        <v/>
      </c>
      <c r="S34" s="56"/>
      <c r="T34" s="60" t="str">
        <f aca="false">IF(S34="","",IF($S$9="","",IF($S$9=0,"",S34/$S$9)))</f>
        <v/>
      </c>
      <c r="U34" s="54"/>
      <c r="V34" s="60" t="str">
        <f aca="false">IF(U34="","",IF($U$9="","",IF($U$9=0,"",U34/$U$9)))</f>
        <v/>
      </c>
      <c r="W34" s="54"/>
      <c r="X34" s="60" t="str">
        <f aca="false">IF(W34="","",IF($W$9="","",IF($W$9=0,"",W34/$W$9)))</f>
        <v/>
      </c>
    </row>
    <row r="35" customFormat="false" ht="15" hidden="false" customHeight="false" outlineLevel="0" collapsed="false">
      <c r="A35" s="5" t="n">
        <v>25</v>
      </c>
      <c r="B35" s="50" t="n">
        <v>46356</v>
      </c>
      <c r="C35" s="61" t="n">
        <f aca="false">$B$5/$B$8</f>
        <v>246.913580246914</v>
      </c>
      <c r="D35" s="52"/>
      <c r="E35" s="61" t="n">
        <f aca="false">SUM($C$11:C35)</f>
        <v>6172.83950617284</v>
      </c>
      <c r="F35" s="61" t="n">
        <f aca="false">SUM($D$11:D35)</f>
        <v>0</v>
      </c>
      <c r="G35" s="53" t="str">
        <f aca="false">IF(COUNT($D$11:D35)=0,"",F35/E35)</f>
        <v/>
      </c>
      <c r="H35" s="13" t="str">
        <f aca="false">IF(G35="","",IF(G35&gt;=0.95,"En meta",IF(G35&gt;=0.8,"Riesgo","Atrasado")))</f>
        <v/>
      </c>
      <c r="I35" s="54"/>
      <c r="J35" s="55" t="str">
        <f aca="false">IF(I35="","",IF($I$9="","",IF($I$9=0,"",I35/$I$9)))</f>
        <v/>
      </c>
      <c r="K35" s="54"/>
      <c r="L35" s="55" t="str">
        <f aca="false">IF(K35="","",IF($K$9="","",IF($K$9=0,"",K35/$K$9)))</f>
        <v/>
      </c>
      <c r="M35" s="54"/>
      <c r="N35" s="55" t="str">
        <f aca="false">IF(M35="","",IF($M$9="","",IF($M$9=0,"",M35/$M$9)))</f>
        <v/>
      </c>
      <c r="O35" s="54"/>
      <c r="P35" s="55" t="str">
        <f aca="false">IF(O35="","",IF($O$9="","",IF($O$9=0,"",O35/$O$9)))</f>
        <v/>
      </c>
      <c r="Q35" s="54"/>
      <c r="R35" s="55" t="str">
        <f aca="false">IF(Q35="","",IF($Q$9="","",IF($Q$9=0,"",Q35/$Q$9)))</f>
        <v/>
      </c>
      <c r="S35" s="56"/>
      <c r="T35" s="55" t="str">
        <f aca="false">IF(S35="","",IF($S$9="","",IF($S$9=0,"",S35/$S$9)))</f>
        <v/>
      </c>
      <c r="U35" s="54"/>
      <c r="V35" s="55" t="str">
        <f aca="false">IF(U35="","",IF($U$9="","",IF($U$9=0,"",U35/$U$9)))</f>
        <v/>
      </c>
      <c r="W35" s="54"/>
      <c r="X35" s="55" t="str">
        <f aca="false">IF(W35="","",IF($W$9="","",IF($W$9=0,"",W35/$W$9)))</f>
        <v/>
      </c>
    </row>
    <row r="36" customFormat="false" ht="15" hidden="false" customHeight="false" outlineLevel="0" collapsed="false">
      <c r="A36" s="28" t="n">
        <v>26</v>
      </c>
      <c r="B36" s="57" t="n">
        <v>46363</v>
      </c>
      <c r="C36" s="62" t="n">
        <f aca="false">$B$5/$B$8</f>
        <v>246.913580246914</v>
      </c>
      <c r="D36" s="52"/>
      <c r="E36" s="62" t="n">
        <f aca="false">SUM($C$11:C36)</f>
        <v>6419.75308641975</v>
      </c>
      <c r="F36" s="62" t="n">
        <f aca="false">SUM($D$11:D36)</f>
        <v>0</v>
      </c>
      <c r="G36" s="59" t="str">
        <f aca="false">IF(COUNT($D$11:D36)=0,"",F36/E36)</f>
        <v/>
      </c>
      <c r="H36" s="14" t="str">
        <f aca="false">IF(G36="","",IF(G36&gt;=0.95,"En meta",IF(G36&gt;=0.8,"Riesgo","Atrasado")))</f>
        <v/>
      </c>
      <c r="I36" s="54"/>
      <c r="J36" s="60" t="str">
        <f aca="false">IF(I36="","",IF($I$9="","",IF($I$9=0,"",I36/$I$9)))</f>
        <v/>
      </c>
      <c r="K36" s="54"/>
      <c r="L36" s="60" t="str">
        <f aca="false">IF(K36="","",IF($K$9="","",IF($K$9=0,"",K36/$K$9)))</f>
        <v/>
      </c>
      <c r="M36" s="54"/>
      <c r="N36" s="60" t="str">
        <f aca="false">IF(M36="","",IF($M$9="","",IF($M$9=0,"",M36/$M$9)))</f>
        <v/>
      </c>
      <c r="O36" s="54"/>
      <c r="P36" s="60" t="str">
        <f aca="false">IF(O36="","",IF($O$9="","",IF($O$9=0,"",O36/$O$9)))</f>
        <v/>
      </c>
      <c r="Q36" s="54"/>
      <c r="R36" s="60" t="str">
        <f aca="false">IF(Q36="","",IF($Q$9="","",IF($Q$9=0,"",Q36/$Q$9)))</f>
        <v/>
      </c>
      <c r="S36" s="56"/>
      <c r="T36" s="60" t="str">
        <f aca="false">IF(S36="","",IF($S$9="","",IF($S$9=0,"",S36/$S$9)))</f>
        <v/>
      </c>
      <c r="U36" s="54"/>
      <c r="V36" s="60" t="str">
        <f aca="false">IF(U36="","",IF($U$9="","",IF($U$9=0,"",U36/$U$9)))</f>
        <v/>
      </c>
      <c r="W36" s="54"/>
      <c r="X36" s="60" t="str">
        <f aca="false">IF(W36="","",IF($W$9="","",IF($W$9=0,"",W36/$W$9)))</f>
        <v/>
      </c>
    </row>
    <row r="37" customFormat="false" ht="15" hidden="false" customHeight="false" outlineLevel="0" collapsed="false">
      <c r="A37" s="5" t="n">
        <v>27</v>
      </c>
      <c r="B37" s="50" t="n">
        <v>46370</v>
      </c>
      <c r="C37" s="61" t="n">
        <f aca="false">$B$5/$B$8</f>
        <v>246.913580246914</v>
      </c>
      <c r="D37" s="52"/>
      <c r="E37" s="61" t="n">
        <f aca="false">SUM($C$11:C37)</f>
        <v>6666.66666666667</v>
      </c>
      <c r="F37" s="61" t="n">
        <f aca="false">SUM($D$11:D37)</f>
        <v>0</v>
      </c>
      <c r="G37" s="53" t="str">
        <f aca="false">IF(COUNT($D$11:D37)=0,"",F37/E37)</f>
        <v/>
      </c>
      <c r="H37" s="13" t="str">
        <f aca="false">IF(G37="","",IF(G37&gt;=0.95,"En meta",IF(G37&gt;=0.8,"Riesgo","Atrasado")))</f>
        <v/>
      </c>
      <c r="I37" s="54"/>
      <c r="J37" s="55" t="str">
        <f aca="false">IF(I37="","",IF($I$9="","",IF($I$9=0,"",I37/$I$9)))</f>
        <v/>
      </c>
      <c r="K37" s="54"/>
      <c r="L37" s="55" t="str">
        <f aca="false">IF(K37="","",IF($K$9="","",IF($K$9=0,"",K37/$K$9)))</f>
        <v/>
      </c>
      <c r="M37" s="54"/>
      <c r="N37" s="55" t="str">
        <f aca="false">IF(M37="","",IF($M$9="","",IF($M$9=0,"",M37/$M$9)))</f>
        <v/>
      </c>
      <c r="O37" s="54"/>
      <c r="P37" s="55" t="str">
        <f aca="false">IF(O37="","",IF($O$9="","",IF($O$9=0,"",O37/$O$9)))</f>
        <v/>
      </c>
      <c r="Q37" s="54"/>
      <c r="R37" s="55" t="str">
        <f aca="false">IF(Q37="","",IF($Q$9="","",IF($Q$9=0,"",Q37/$Q$9)))</f>
        <v/>
      </c>
      <c r="S37" s="56"/>
      <c r="T37" s="55" t="str">
        <f aca="false">IF(S37="","",IF($S$9="","",IF($S$9=0,"",S37/$S$9)))</f>
        <v/>
      </c>
      <c r="U37" s="54"/>
      <c r="V37" s="55" t="str">
        <f aca="false">IF(U37="","",IF($U$9="","",IF($U$9=0,"",U37/$U$9)))</f>
        <v/>
      </c>
      <c r="W37" s="54"/>
      <c r="X37" s="55" t="str">
        <f aca="false">IF(W37="","",IF($W$9="","",IF($W$9=0,"",W37/$W$9)))</f>
        <v/>
      </c>
    </row>
    <row r="38" customFormat="false" ht="15" hidden="false" customHeight="false" outlineLevel="0" collapsed="false">
      <c r="A38" s="28" t="n">
        <v>28</v>
      </c>
      <c r="B38" s="57" t="n">
        <v>46377</v>
      </c>
      <c r="C38" s="62" t="n">
        <f aca="false">$B$5/$B$8</f>
        <v>246.913580246914</v>
      </c>
      <c r="D38" s="52"/>
      <c r="E38" s="62" t="n">
        <f aca="false">SUM($C$11:C38)</f>
        <v>6913.58024691358</v>
      </c>
      <c r="F38" s="62" t="n">
        <f aca="false">SUM($D$11:D38)</f>
        <v>0</v>
      </c>
      <c r="G38" s="59" t="str">
        <f aca="false">IF(COUNT($D$11:D38)=0,"",F38/E38)</f>
        <v/>
      </c>
      <c r="H38" s="14" t="str">
        <f aca="false">IF(G38="","",IF(G38&gt;=0.95,"En meta",IF(G38&gt;=0.8,"Riesgo","Atrasado")))</f>
        <v/>
      </c>
      <c r="I38" s="54"/>
      <c r="J38" s="60" t="str">
        <f aca="false">IF(I38="","",IF($I$9="","",IF($I$9=0,"",I38/$I$9)))</f>
        <v/>
      </c>
      <c r="K38" s="54"/>
      <c r="L38" s="60" t="str">
        <f aca="false">IF(K38="","",IF($K$9="","",IF($K$9=0,"",K38/$K$9)))</f>
        <v/>
      </c>
      <c r="M38" s="54"/>
      <c r="N38" s="60" t="str">
        <f aca="false">IF(M38="","",IF($M$9="","",IF($M$9=0,"",M38/$M$9)))</f>
        <v/>
      </c>
      <c r="O38" s="54"/>
      <c r="P38" s="60" t="str">
        <f aca="false">IF(O38="","",IF($O$9="","",IF($O$9=0,"",O38/$O$9)))</f>
        <v/>
      </c>
      <c r="Q38" s="54"/>
      <c r="R38" s="60" t="str">
        <f aca="false">IF(Q38="","",IF($Q$9="","",IF($Q$9=0,"",Q38/$Q$9)))</f>
        <v/>
      </c>
      <c r="S38" s="56"/>
      <c r="T38" s="60" t="str">
        <f aca="false">IF(S38="","",IF($S$9="","",IF($S$9=0,"",S38/$S$9)))</f>
        <v/>
      </c>
      <c r="U38" s="54"/>
      <c r="V38" s="60" t="str">
        <f aca="false">IF(U38="","",IF($U$9="","",IF($U$9=0,"",U38/$U$9)))</f>
        <v/>
      </c>
      <c r="W38" s="54"/>
      <c r="X38" s="60" t="str">
        <f aca="false">IF(W38="","",IF($W$9="","",IF($W$9=0,"",W38/$W$9)))</f>
        <v/>
      </c>
    </row>
    <row r="39" customFormat="false" ht="15" hidden="false" customHeight="false" outlineLevel="0" collapsed="false">
      <c r="A39" s="5" t="n">
        <v>29</v>
      </c>
      <c r="B39" s="50" t="n">
        <v>46384</v>
      </c>
      <c r="C39" s="61" t="n">
        <f aca="false">$B$5/$B$8</f>
        <v>246.913580246914</v>
      </c>
      <c r="D39" s="52"/>
      <c r="E39" s="61" t="n">
        <f aca="false">SUM($C$11:C39)</f>
        <v>7160.49382716049</v>
      </c>
      <c r="F39" s="61" t="n">
        <f aca="false">SUM($D$11:D39)</f>
        <v>0</v>
      </c>
      <c r="G39" s="53" t="str">
        <f aca="false">IF(COUNT($D$11:D39)=0,"",F39/E39)</f>
        <v/>
      </c>
      <c r="H39" s="13" t="str">
        <f aca="false">IF(G39="","",IF(G39&gt;=0.95,"En meta",IF(G39&gt;=0.8,"Riesgo","Atrasado")))</f>
        <v/>
      </c>
      <c r="I39" s="54"/>
      <c r="J39" s="55" t="str">
        <f aca="false">IF(I39="","",IF($I$9="","",IF($I$9=0,"",I39/$I$9)))</f>
        <v/>
      </c>
      <c r="K39" s="54"/>
      <c r="L39" s="55" t="str">
        <f aca="false">IF(K39="","",IF($K$9="","",IF($K$9=0,"",K39/$K$9)))</f>
        <v/>
      </c>
      <c r="M39" s="54"/>
      <c r="N39" s="55" t="str">
        <f aca="false">IF(M39="","",IF($M$9="","",IF($M$9=0,"",M39/$M$9)))</f>
        <v/>
      </c>
      <c r="O39" s="54"/>
      <c r="P39" s="55" t="str">
        <f aca="false">IF(O39="","",IF($O$9="","",IF($O$9=0,"",O39/$O$9)))</f>
        <v/>
      </c>
      <c r="Q39" s="54"/>
      <c r="R39" s="55" t="str">
        <f aca="false">IF(Q39="","",IF($Q$9="","",IF($Q$9=0,"",Q39/$Q$9)))</f>
        <v/>
      </c>
      <c r="S39" s="56"/>
      <c r="T39" s="55" t="str">
        <f aca="false">IF(S39="","",IF($S$9="","",IF($S$9=0,"",S39/$S$9)))</f>
        <v/>
      </c>
      <c r="U39" s="54"/>
      <c r="V39" s="55" t="str">
        <f aca="false">IF(U39="","",IF($U$9="","",IF($U$9=0,"",U39/$U$9)))</f>
        <v/>
      </c>
      <c r="W39" s="54"/>
      <c r="X39" s="55" t="str">
        <f aca="false">IF(W39="","",IF($W$9="","",IF($W$9=0,"",W39/$W$9)))</f>
        <v/>
      </c>
    </row>
    <row r="40" customFormat="false" ht="15" hidden="false" customHeight="false" outlineLevel="0" collapsed="false">
      <c r="A40" s="28" t="n">
        <v>30</v>
      </c>
      <c r="B40" s="57" t="n">
        <v>46391</v>
      </c>
      <c r="C40" s="62" t="n">
        <f aca="false">$B$5/$B$8</f>
        <v>246.913580246914</v>
      </c>
      <c r="D40" s="52"/>
      <c r="E40" s="62" t="n">
        <f aca="false">SUM($C$11:C40)</f>
        <v>7407.40740740741</v>
      </c>
      <c r="F40" s="62" t="n">
        <f aca="false">SUM($D$11:D40)</f>
        <v>0</v>
      </c>
      <c r="G40" s="59" t="str">
        <f aca="false">IF(COUNT($D$11:D40)=0,"",F40/E40)</f>
        <v/>
      </c>
      <c r="H40" s="14" t="str">
        <f aca="false">IF(G40="","",IF(G40&gt;=0.95,"En meta",IF(G40&gt;=0.8,"Riesgo","Atrasado")))</f>
        <v/>
      </c>
      <c r="I40" s="54"/>
      <c r="J40" s="60" t="str">
        <f aca="false">IF(I40="","",IF($I$9="","",IF($I$9=0,"",I40/$I$9)))</f>
        <v/>
      </c>
      <c r="K40" s="54"/>
      <c r="L40" s="60" t="str">
        <f aca="false">IF(K40="","",IF($K$9="","",IF($K$9=0,"",K40/$K$9)))</f>
        <v/>
      </c>
      <c r="M40" s="54"/>
      <c r="N40" s="60" t="str">
        <f aca="false">IF(M40="","",IF($M$9="","",IF($M$9=0,"",M40/$M$9)))</f>
        <v/>
      </c>
      <c r="O40" s="54"/>
      <c r="P40" s="60" t="str">
        <f aca="false">IF(O40="","",IF($O$9="","",IF($O$9=0,"",O40/$O$9)))</f>
        <v/>
      </c>
      <c r="Q40" s="54"/>
      <c r="R40" s="60" t="str">
        <f aca="false">IF(Q40="","",IF($Q$9="","",IF($Q$9=0,"",Q40/$Q$9)))</f>
        <v/>
      </c>
      <c r="S40" s="56"/>
      <c r="T40" s="60" t="str">
        <f aca="false">IF(S40="","",IF($S$9="","",IF($S$9=0,"",S40/$S$9)))</f>
        <v/>
      </c>
      <c r="U40" s="54"/>
      <c r="V40" s="60" t="str">
        <f aca="false">IF(U40="","",IF($U$9="","",IF($U$9=0,"",U40/$U$9)))</f>
        <v/>
      </c>
      <c r="W40" s="54"/>
      <c r="X40" s="60" t="str">
        <f aca="false">IF(W40="","",IF($W$9="","",IF($W$9=0,"",W40/$W$9)))</f>
        <v/>
      </c>
    </row>
    <row r="41" customFormat="false" ht="15" hidden="false" customHeight="false" outlineLevel="0" collapsed="false">
      <c r="A41" s="5" t="n">
        <v>31</v>
      </c>
      <c r="B41" s="50" t="n">
        <v>46398</v>
      </c>
      <c r="C41" s="61" t="n">
        <f aca="false">$B$5/$B$8</f>
        <v>246.913580246914</v>
      </c>
      <c r="D41" s="52"/>
      <c r="E41" s="61" t="n">
        <f aca="false">SUM($C$11:C41)</f>
        <v>7654.32098765432</v>
      </c>
      <c r="F41" s="61" t="n">
        <f aca="false">SUM($D$11:D41)</f>
        <v>0</v>
      </c>
      <c r="G41" s="53" t="str">
        <f aca="false">IF(COUNT($D$11:D41)=0,"",F41/E41)</f>
        <v/>
      </c>
      <c r="H41" s="13" t="str">
        <f aca="false">IF(G41="","",IF(G41&gt;=0.95,"En meta",IF(G41&gt;=0.8,"Riesgo","Atrasado")))</f>
        <v/>
      </c>
      <c r="I41" s="54"/>
      <c r="J41" s="55" t="str">
        <f aca="false">IF(I41="","",IF($I$9="","",IF($I$9=0,"",I41/$I$9)))</f>
        <v/>
      </c>
      <c r="K41" s="54"/>
      <c r="L41" s="55" t="str">
        <f aca="false">IF(K41="","",IF($K$9="","",IF($K$9=0,"",K41/$K$9)))</f>
        <v/>
      </c>
      <c r="M41" s="54"/>
      <c r="N41" s="55" t="str">
        <f aca="false">IF(M41="","",IF($M$9="","",IF($M$9=0,"",M41/$M$9)))</f>
        <v/>
      </c>
      <c r="O41" s="54"/>
      <c r="P41" s="55" t="str">
        <f aca="false">IF(O41="","",IF($O$9="","",IF($O$9=0,"",O41/$O$9)))</f>
        <v/>
      </c>
      <c r="Q41" s="54"/>
      <c r="R41" s="55" t="str">
        <f aca="false">IF(Q41="","",IF($Q$9="","",IF($Q$9=0,"",Q41/$Q$9)))</f>
        <v/>
      </c>
      <c r="S41" s="56"/>
      <c r="T41" s="55" t="str">
        <f aca="false">IF(S41="","",IF($S$9="","",IF($S$9=0,"",S41/$S$9)))</f>
        <v/>
      </c>
      <c r="U41" s="54"/>
      <c r="V41" s="55" t="str">
        <f aca="false">IF(U41="","",IF($U$9="","",IF($U$9=0,"",U41/$U$9)))</f>
        <v/>
      </c>
      <c r="W41" s="54"/>
      <c r="X41" s="55" t="str">
        <f aca="false">IF(W41="","",IF($W$9="","",IF($W$9=0,"",W41/$W$9)))</f>
        <v/>
      </c>
    </row>
    <row r="42" customFormat="false" ht="15" hidden="false" customHeight="false" outlineLevel="0" collapsed="false">
      <c r="A42" s="28" t="n">
        <v>32</v>
      </c>
      <c r="B42" s="57" t="n">
        <v>46405</v>
      </c>
      <c r="C42" s="62" t="n">
        <f aca="false">$B$5/$B$8</f>
        <v>246.913580246914</v>
      </c>
      <c r="D42" s="52"/>
      <c r="E42" s="62" t="n">
        <f aca="false">SUM($C$11:C42)</f>
        <v>7901.23456790123</v>
      </c>
      <c r="F42" s="62" t="n">
        <f aca="false">SUM($D$11:D42)</f>
        <v>0</v>
      </c>
      <c r="G42" s="59" t="str">
        <f aca="false">IF(COUNT($D$11:D42)=0,"",F42/E42)</f>
        <v/>
      </c>
      <c r="H42" s="14" t="str">
        <f aca="false">IF(G42="","",IF(G42&gt;=0.95,"En meta",IF(G42&gt;=0.8,"Riesgo","Atrasado")))</f>
        <v/>
      </c>
      <c r="I42" s="54"/>
      <c r="J42" s="60" t="str">
        <f aca="false">IF(I42="","",IF($I$9="","",IF($I$9=0,"",I42/$I$9)))</f>
        <v/>
      </c>
      <c r="K42" s="54"/>
      <c r="L42" s="60" t="str">
        <f aca="false">IF(K42="","",IF($K$9="","",IF($K$9=0,"",K42/$K$9)))</f>
        <v/>
      </c>
      <c r="M42" s="54"/>
      <c r="N42" s="60" t="str">
        <f aca="false">IF(M42="","",IF($M$9="","",IF($M$9=0,"",M42/$M$9)))</f>
        <v/>
      </c>
      <c r="O42" s="54"/>
      <c r="P42" s="60" t="str">
        <f aca="false">IF(O42="","",IF($O$9="","",IF($O$9=0,"",O42/$O$9)))</f>
        <v/>
      </c>
      <c r="Q42" s="54"/>
      <c r="R42" s="60" t="str">
        <f aca="false">IF(Q42="","",IF($Q$9="","",IF($Q$9=0,"",Q42/$Q$9)))</f>
        <v/>
      </c>
      <c r="S42" s="56"/>
      <c r="T42" s="60" t="str">
        <f aca="false">IF(S42="","",IF($S$9="","",IF($S$9=0,"",S42/$S$9)))</f>
        <v/>
      </c>
      <c r="U42" s="54"/>
      <c r="V42" s="60" t="str">
        <f aca="false">IF(U42="","",IF($U$9="","",IF($U$9=0,"",U42/$U$9)))</f>
        <v/>
      </c>
      <c r="W42" s="54"/>
      <c r="X42" s="60" t="str">
        <f aca="false">IF(W42="","",IF($W$9="","",IF($W$9=0,"",W42/$W$9)))</f>
        <v/>
      </c>
    </row>
    <row r="43" customFormat="false" ht="15" hidden="false" customHeight="false" outlineLevel="0" collapsed="false">
      <c r="A43" s="5" t="n">
        <v>33</v>
      </c>
      <c r="B43" s="50" t="n">
        <v>46412</v>
      </c>
      <c r="C43" s="61" t="n">
        <f aca="false">$B$5/$B$8</f>
        <v>246.913580246914</v>
      </c>
      <c r="D43" s="52"/>
      <c r="E43" s="61" t="n">
        <f aca="false">SUM($C$11:C43)</f>
        <v>8148.14814814815</v>
      </c>
      <c r="F43" s="61" t="n">
        <f aca="false">SUM($D$11:D43)</f>
        <v>0</v>
      </c>
      <c r="G43" s="53" t="str">
        <f aca="false">IF(COUNT($D$11:D43)=0,"",F43/E43)</f>
        <v/>
      </c>
      <c r="H43" s="13" t="str">
        <f aca="false">IF(G43="","",IF(G43&gt;=0.95,"En meta",IF(G43&gt;=0.8,"Riesgo","Atrasado")))</f>
        <v/>
      </c>
      <c r="I43" s="54"/>
      <c r="J43" s="55" t="str">
        <f aca="false">IF(I43="","",IF($I$9="","",IF($I$9=0,"",I43/$I$9)))</f>
        <v/>
      </c>
      <c r="K43" s="54"/>
      <c r="L43" s="55" t="str">
        <f aca="false">IF(K43="","",IF($K$9="","",IF($K$9=0,"",K43/$K$9)))</f>
        <v/>
      </c>
      <c r="M43" s="54"/>
      <c r="N43" s="55" t="str">
        <f aca="false">IF(M43="","",IF($M$9="","",IF($M$9=0,"",M43/$M$9)))</f>
        <v/>
      </c>
      <c r="O43" s="54"/>
      <c r="P43" s="55" t="str">
        <f aca="false">IF(O43="","",IF($O$9="","",IF($O$9=0,"",O43/$O$9)))</f>
        <v/>
      </c>
      <c r="Q43" s="54"/>
      <c r="R43" s="55" t="str">
        <f aca="false">IF(Q43="","",IF($Q$9="","",IF($Q$9=0,"",Q43/$Q$9)))</f>
        <v/>
      </c>
      <c r="S43" s="56"/>
      <c r="T43" s="55" t="str">
        <f aca="false">IF(S43="","",IF($S$9="","",IF($S$9=0,"",S43/$S$9)))</f>
        <v/>
      </c>
      <c r="U43" s="54"/>
      <c r="V43" s="55" t="str">
        <f aca="false">IF(U43="","",IF($U$9="","",IF($U$9=0,"",U43/$U$9)))</f>
        <v/>
      </c>
      <c r="W43" s="54"/>
      <c r="X43" s="55" t="str">
        <f aca="false">IF(W43="","",IF($W$9="","",IF($W$9=0,"",W43/$W$9)))</f>
        <v/>
      </c>
    </row>
    <row r="44" customFormat="false" ht="15" hidden="false" customHeight="false" outlineLevel="0" collapsed="false">
      <c r="A44" s="28" t="n">
        <v>34</v>
      </c>
      <c r="B44" s="57" t="n">
        <v>46419</v>
      </c>
      <c r="C44" s="62" t="n">
        <f aca="false">$B$5/$B$8</f>
        <v>246.913580246914</v>
      </c>
      <c r="D44" s="52"/>
      <c r="E44" s="62" t="n">
        <f aca="false">SUM($C$11:C44)</f>
        <v>8395.06172839506</v>
      </c>
      <c r="F44" s="62" t="n">
        <f aca="false">SUM($D$11:D44)</f>
        <v>0</v>
      </c>
      <c r="G44" s="59" t="str">
        <f aca="false">IF(COUNT($D$11:D44)=0,"",F44/E44)</f>
        <v/>
      </c>
      <c r="H44" s="14" t="str">
        <f aca="false">IF(G44="","",IF(G44&gt;=0.95,"En meta",IF(G44&gt;=0.8,"Riesgo","Atrasado")))</f>
        <v/>
      </c>
      <c r="I44" s="54"/>
      <c r="J44" s="60" t="str">
        <f aca="false">IF(I44="","",IF($I$9="","",IF($I$9=0,"",I44/$I$9)))</f>
        <v/>
      </c>
      <c r="K44" s="54"/>
      <c r="L44" s="60" t="str">
        <f aca="false">IF(K44="","",IF($K$9="","",IF($K$9=0,"",K44/$K$9)))</f>
        <v/>
      </c>
      <c r="M44" s="54"/>
      <c r="N44" s="60" t="str">
        <f aca="false">IF(M44="","",IF($M$9="","",IF($M$9=0,"",M44/$M$9)))</f>
        <v/>
      </c>
      <c r="O44" s="54"/>
      <c r="P44" s="60" t="str">
        <f aca="false">IF(O44="","",IF($O$9="","",IF($O$9=0,"",O44/$O$9)))</f>
        <v/>
      </c>
      <c r="Q44" s="54"/>
      <c r="R44" s="60" t="str">
        <f aca="false">IF(Q44="","",IF($Q$9="","",IF($Q$9=0,"",Q44/$Q$9)))</f>
        <v/>
      </c>
      <c r="S44" s="56"/>
      <c r="T44" s="60" t="str">
        <f aca="false">IF(S44="","",IF($S$9="","",IF($S$9=0,"",S44/$S$9)))</f>
        <v/>
      </c>
      <c r="U44" s="54"/>
      <c r="V44" s="60" t="str">
        <f aca="false">IF(U44="","",IF($U$9="","",IF($U$9=0,"",U44/$U$9)))</f>
        <v/>
      </c>
      <c r="W44" s="54"/>
      <c r="X44" s="60" t="str">
        <f aca="false">IF(W44="","",IF($W$9="","",IF($W$9=0,"",W44/$W$9)))</f>
        <v/>
      </c>
    </row>
    <row r="45" customFormat="false" ht="15" hidden="false" customHeight="false" outlineLevel="0" collapsed="false">
      <c r="A45" s="5" t="n">
        <v>35</v>
      </c>
      <c r="B45" s="50" t="n">
        <v>46426</v>
      </c>
      <c r="C45" s="61" t="n">
        <f aca="false">$B$5/$B$8</f>
        <v>246.913580246914</v>
      </c>
      <c r="D45" s="52"/>
      <c r="E45" s="61" t="n">
        <f aca="false">SUM($C$11:C45)</f>
        <v>8641.97530864198</v>
      </c>
      <c r="F45" s="61" t="n">
        <f aca="false">SUM($D$11:D45)</f>
        <v>0</v>
      </c>
      <c r="G45" s="53" t="str">
        <f aca="false">IF(COUNT($D$11:D45)=0,"",F45/E45)</f>
        <v/>
      </c>
      <c r="H45" s="13" t="str">
        <f aca="false">IF(G45="","",IF(G45&gt;=0.95,"En meta",IF(G45&gt;=0.8,"Riesgo","Atrasado")))</f>
        <v/>
      </c>
      <c r="I45" s="54"/>
      <c r="J45" s="55" t="str">
        <f aca="false">IF(I45="","",IF($I$9="","",IF($I$9=0,"",I45/$I$9)))</f>
        <v/>
      </c>
      <c r="K45" s="54"/>
      <c r="L45" s="55" t="str">
        <f aca="false">IF(K45="","",IF($K$9="","",IF($K$9=0,"",K45/$K$9)))</f>
        <v/>
      </c>
      <c r="M45" s="54"/>
      <c r="N45" s="55" t="str">
        <f aca="false">IF(M45="","",IF($M$9="","",IF($M$9=0,"",M45/$M$9)))</f>
        <v/>
      </c>
      <c r="O45" s="54"/>
      <c r="P45" s="55" t="str">
        <f aca="false">IF(O45="","",IF($O$9="","",IF($O$9=0,"",O45/$O$9)))</f>
        <v/>
      </c>
      <c r="Q45" s="54"/>
      <c r="R45" s="55" t="str">
        <f aca="false">IF(Q45="","",IF($Q$9="","",IF($Q$9=0,"",Q45/$Q$9)))</f>
        <v/>
      </c>
      <c r="S45" s="56"/>
      <c r="T45" s="55" t="str">
        <f aca="false">IF(S45="","",IF($S$9="","",IF($S$9=0,"",S45/$S$9)))</f>
        <v/>
      </c>
      <c r="U45" s="54"/>
      <c r="V45" s="55" t="str">
        <f aca="false">IF(U45="","",IF($U$9="","",IF($U$9=0,"",U45/$U$9)))</f>
        <v/>
      </c>
      <c r="W45" s="54"/>
      <c r="X45" s="55" t="str">
        <f aca="false">IF(W45="","",IF($W$9="","",IF($W$9=0,"",W45/$W$9)))</f>
        <v/>
      </c>
    </row>
    <row r="46" customFormat="false" ht="15" hidden="false" customHeight="false" outlineLevel="0" collapsed="false">
      <c r="A46" s="28" t="n">
        <v>36</v>
      </c>
      <c r="B46" s="57" t="n">
        <v>46433</v>
      </c>
      <c r="C46" s="62" t="n">
        <f aca="false">$B$5/$B$8</f>
        <v>246.913580246914</v>
      </c>
      <c r="D46" s="52"/>
      <c r="E46" s="62" t="n">
        <f aca="false">SUM($C$11:C46)</f>
        <v>8888.88888888889</v>
      </c>
      <c r="F46" s="62" t="n">
        <f aca="false">SUM($D$11:D46)</f>
        <v>0</v>
      </c>
      <c r="G46" s="59" t="str">
        <f aca="false">IF(COUNT($D$11:D46)=0,"",F46/E46)</f>
        <v/>
      </c>
      <c r="H46" s="14" t="str">
        <f aca="false">IF(G46="","",IF(G46&gt;=0.95,"En meta",IF(G46&gt;=0.8,"Riesgo","Atrasado")))</f>
        <v/>
      </c>
      <c r="I46" s="54"/>
      <c r="J46" s="60" t="str">
        <f aca="false">IF(I46="","",IF($I$9="","",IF($I$9=0,"",I46/$I$9)))</f>
        <v/>
      </c>
      <c r="K46" s="54"/>
      <c r="L46" s="60" t="str">
        <f aca="false">IF(K46="","",IF($K$9="","",IF($K$9=0,"",K46/$K$9)))</f>
        <v/>
      </c>
      <c r="M46" s="54"/>
      <c r="N46" s="60" t="str">
        <f aca="false">IF(M46="","",IF($M$9="","",IF($M$9=0,"",M46/$M$9)))</f>
        <v/>
      </c>
      <c r="O46" s="54"/>
      <c r="P46" s="60" t="str">
        <f aca="false">IF(O46="","",IF($O$9="","",IF($O$9=0,"",O46/$O$9)))</f>
        <v/>
      </c>
      <c r="Q46" s="54"/>
      <c r="R46" s="60" t="str">
        <f aca="false">IF(Q46="","",IF($Q$9="","",IF($Q$9=0,"",Q46/$Q$9)))</f>
        <v/>
      </c>
      <c r="S46" s="56"/>
      <c r="T46" s="60" t="str">
        <f aca="false">IF(S46="","",IF($S$9="","",IF($S$9=0,"",S46/$S$9)))</f>
        <v/>
      </c>
      <c r="U46" s="54"/>
      <c r="V46" s="60" t="str">
        <f aca="false">IF(U46="","",IF($U$9="","",IF($U$9=0,"",U46/$U$9)))</f>
        <v/>
      </c>
      <c r="W46" s="54"/>
      <c r="X46" s="60" t="str">
        <f aca="false">IF(W46="","",IF($W$9="","",IF($W$9=0,"",W46/$W$9)))</f>
        <v/>
      </c>
    </row>
    <row r="47" customFormat="false" ht="15" hidden="false" customHeight="false" outlineLevel="0" collapsed="false">
      <c r="A47" s="5" t="n">
        <v>37</v>
      </c>
      <c r="B47" s="50" t="n">
        <v>46440</v>
      </c>
      <c r="C47" s="61" t="n">
        <f aca="false">$B$5/$B$8</f>
        <v>246.913580246914</v>
      </c>
      <c r="D47" s="52"/>
      <c r="E47" s="61" t="n">
        <f aca="false">SUM($C$11:C47)</f>
        <v>9135.8024691358</v>
      </c>
      <c r="F47" s="61" t="n">
        <f aca="false">SUM($D$11:D47)</f>
        <v>0</v>
      </c>
      <c r="G47" s="53" t="str">
        <f aca="false">IF(COUNT($D$11:D47)=0,"",F47/E47)</f>
        <v/>
      </c>
      <c r="H47" s="13" t="str">
        <f aca="false">IF(G47="","",IF(G47&gt;=0.95,"En meta",IF(G47&gt;=0.8,"Riesgo","Atrasado")))</f>
        <v/>
      </c>
      <c r="I47" s="54"/>
      <c r="J47" s="55" t="str">
        <f aca="false">IF(I47="","",IF($I$9="","",IF($I$9=0,"",I47/$I$9)))</f>
        <v/>
      </c>
      <c r="K47" s="54"/>
      <c r="L47" s="55" t="str">
        <f aca="false">IF(K47="","",IF($K$9="","",IF($K$9=0,"",K47/$K$9)))</f>
        <v/>
      </c>
      <c r="M47" s="54"/>
      <c r="N47" s="55" t="str">
        <f aca="false">IF(M47="","",IF($M$9="","",IF($M$9=0,"",M47/$M$9)))</f>
        <v/>
      </c>
      <c r="O47" s="54"/>
      <c r="P47" s="55" t="str">
        <f aca="false">IF(O47="","",IF($O$9="","",IF($O$9=0,"",O47/$O$9)))</f>
        <v/>
      </c>
      <c r="Q47" s="54"/>
      <c r="R47" s="55" t="str">
        <f aca="false">IF(Q47="","",IF($Q$9="","",IF($Q$9=0,"",Q47/$Q$9)))</f>
        <v/>
      </c>
      <c r="S47" s="56"/>
      <c r="T47" s="55" t="str">
        <f aca="false">IF(S47="","",IF($S$9="","",IF($S$9=0,"",S47/$S$9)))</f>
        <v/>
      </c>
      <c r="U47" s="54"/>
      <c r="V47" s="55" t="str">
        <f aca="false">IF(U47="","",IF($U$9="","",IF($U$9=0,"",U47/$U$9)))</f>
        <v/>
      </c>
      <c r="W47" s="54"/>
      <c r="X47" s="55" t="str">
        <f aca="false">IF(W47="","",IF($W$9="","",IF($W$9=0,"",W47/$W$9)))</f>
        <v/>
      </c>
    </row>
    <row r="48" customFormat="false" ht="15" hidden="false" customHeight="false" outlineLevel="0" collapsed="false">
      <c r="A48" s="28" t="n">
        <v>38</v>
      </c>
      <c r="B48" s="57" t="n">
        <v>46447</v>
      </c>
      <c r="C48" s="62" t="n">
        <f aca="false">$B$5/$B$8</f>
        <v>246.913580246914</v>
      </c>
      <c r="D48" s="52"/>
      <c r="E48" s="62" t="n">
        <f aca="false">SUM($C$11:C48)</f>
        <v>9382.71604938272</v>
      </c>
      <c r="F48" s="62" t="n">
        <f aca="false">SUM($D$11:D48)</f>
        <v>0</v>
      </c>
      <c r="G48" s="59" t="str">
        <f aca="false">IF(COUNT($D$11:D48)=0,"",F48/E48)</f>
        <v/>
      </c>
      <c r="H48" s="14" t="str">
        <f aca="false">IF(G48="","",IF(G48&gt;=0.95,"En meta",IF(G48&gt;=0.8,"Riesgo","Atrasado")))</f>
        <v/>
      </c>
      <c r="I48" s="54"/>
      <c r="J48" s="60" t="str">
        <f aca="false">IF(I48="","",IF($I$9="","",IF($I$9=0,"",I48/$I$9)))</f>
        <v/>
      </c>
      <c r="K48" s="54"/>
      <c r="L48" s="60" t="str">
        <f aca="false">IF(K48="","",IF($K$9="","",IF($K$9=0,"",K48/$K$9)))</f>
        <v/>
      </c>
      <c r="M48" s="54"/>
      <c r="N48" s="60" t="str">
        <f aca="false">IF(M48="","",IF($M$9="","",IF($M$9=0,"",M48/$M$9)))</f>
        <v/>
      </c>
      <c r="O48" s="54"/>
      <c r="P48" s="60" t="str">
        <f aca="false">IF(O48="","",IF($O$9="","",IF($O$9=0,"",O48/$O$9)))</f>
        <v/>
      </c>
      <c r="Q48" s="54"/>
      <c r="R48" s="60" t="str">
        <f aca="false">IF(Q48="","",IF($Q$9="","",IF($Q$9=0,"",Q48/$Q$9)))</f>
        <v/>
      </c>
      <c r="S48" s="56"/>
      <c r="T48" s="60" t="str">
        <f aca="false">IF(S48="","",IF($S$9="","",IF($S$9=0,"",S48/$S$9)))</f>
        <v/>
      </c>
      <c r="U48" s="54"/>
      <c r="V48" s="60" t="str">
        <f aca="false">IF(U48="","",IF($U$9="","",IF($U$9=0,"",U48/$U$9)))</f>
        <v/>
      </c>
      <c r="W48" s="54"/>
      <c r="X48" s="60" t="str">
        <f aca="false">IF(W48="","",IF($W$9="","",IF($W$9=0,"",W48/$W$9)))</f>
        <v/>
      </c>
    </row>
    <row r="49" customFormat="false" ht="15" hidden="false" customHeight="false" outlineLevel="0" collapsed="false">
      <c r="A49" s="5" t="n">
        <v>39</v>
      </c>
      <c r="B49" s="50" t="n">
        <v>46454</v>
      </c>
      <c r="C49" s="61" t="n">
        <f aca="false">$B$5/$B$8</f>
        <v>246.913580246914</v>
      </c>
      <c r="D49" s="52"/>
      <c r="E49" s="61" t="n">
        <f aca="false">SUM($C$11:C49)</f>
        <v>9629.62962962963</v>
      </c>
      <c r="F49" s="61" t="n">
        <f aca="false">SUM($D$11:D49)</f>
        <v>0</v>
      </c>
      <c r="G49" s="53" t="str">
        <f aca="false">IF(COUNT($D$11:D49)=0,"",F49/E49)</f>
        <v/>
      </c>
      <c r="H49" s="13" t="str">
        <f aca="false">IF(G49="","",IF(G49&gt;=0.95,"En meta",IF(G49&gt;=0.8,"Riesgo","Atrasado")))</f>
        <v/>
      </c>
      <c r="I49" s="54"/>
      <c r="J49" s="55" t="str">
        <f aca="false">IF(I49="","",IF($I$9="","",IF($I$9=0,"",I49/$I$9)))</f>
        <v/>
      </c>
      <c r="K49" s="54"/>
      <c r="L49" s="55" t="str">
        <f aca="false">IF(K49="","",IF($K$9="","",IF($K$9=0,"",K49/$K$9)))</f>
        <v/>
      </c>
      <c r="M49" s="54"/>
      <c r="N49" s="55" t="str">
        <f aca="false">IF(M49="","",IF($M$9="","",IF($M$9=0,"",M49/$M$9)))</f>
        <v/>
      </c>
      <c r="O49" s="54"/>
      <c r="P49" s="55" t="str">
        <f aca="false">IF(O49="","",IF($O$9="","",IF($O$9=0,"",O49/$O$9)))</f>
        <v/>
      </c>
      <c r="Q49" s="54"/>
      <c r="R49" s="55" t="str">
        <f aca="false">IF(Q49="","",IF($Q$9="","",IF($Q$9=0,"",Q49/$Q$9)))</f>
        <v/>
      </c>
      <c r="S49" s="56"/>
      <c r="T49" s="55" t="str">
        <f aca="false">IF(S49="","",IF($S$9="","",IF($S$9=0,"",S49/$S$9)))</f>
        <v/>
      </c>
      <c r="U49" s="54"/>
      <c r="V49" s="55" t="str">
        <f aca="false">IF(U49="","",IF($U$9="","",IF($U$9=0,"",U49/$U$9)))</f>
        <v/>
      </c>
      <c r="W49" s="54"/>
      <c r="X49" s="55" t="str">
        <f aca="false">IF(W49="","",IF($W$9="","",IF($W$9=0,"",W49/$W$9)))</f>
        <v/>
      </c>
    </row>
    <row r="50" customFormat="false" ht="15" hidden="false" customHeight="false" outlineLevel="0" collapsed="false">
      <c r="A50" s="28" t="n">
        <v>40</v>
      </c>
      <c r="B50" s="57" t="n">
        <v>46461</v>
      </c>
      <c r="C50" s="62" t="n">
        <f aca="false">$B$5/$B$8</f>
        <v>246.913580246914</v>
      </c>
      <c r="D50" s="52"/>
      <c r="E50" s="62" t="n">
        <f aca="false">SUM($C$11:C50)</f>
        <v>9876.54320987654</v>
      </c>
      <c r="F50" s="62" t="n">
        <f aca="false">SUM($D$11:D50)</f>
        <v>0</v>
      </c>
      <c r="G50" s="59" t="str">
        <f aca="false">IF(COUNT($D$11:D50)=0,"",F50/E50)</f>
        <v/>
      </c>
      <c r="H50" s="14" t="str">
        <f aca="false">IF(G50="","",IF(G50&gt;=0.95,"En meta",IF(G50&gt;=0.8,"Riesgo","Atrasado")))</f>
        <v/>
      </c>
      <c r="I50" s="54"/>
      <c r="J50" s="60" t="str">
        <f aca="false">IF(I50="","",IF($I$9="","",IF($I$9=0,"",I50/$I$9)))</f>
        <v/>
      </c>
      <c r="K50" s="54"/>
      <c r="L50" s="60" t="str">
        <f aca="false">IF(K50="","",IF($K$9="","",IF($K$9=0,"",K50/$K$9)))</f>
        <v/>
      </c>
      <c r="M50" s="54"/>
      <c r="N50" s="60" t="str">
        <f aca="false">IF(M50="","",IF($M$9="","",IF($M$9=0,"",M50/$M$9)))</f>
        <v/>
      </c>
      <c r="O50" s="54"/>
      <c r="P50" s="60" t="str">
        <f aca="false">IF(O50="","",IF($O$9="","",IF($O$9=0,"",O50/$O$9)))</f>
        <v/>
      </c>
      <c r="Q50" s="54"/>
      <c r="R50" s="60" t="str">
        <f aca="false">IF(Q50="","",IF($Q$9="","",IF($Q$9=0,"",Q50/$Q$9)))</f>
        <v/>
      </c>
      <c r="S50" s="56"/>
      <c r="T50" s="60" t="str">
        <f aca="false">IF(S50="","",IF($S$9="","",IF($S$9=0,"",S50/$S$9)))</f>
        <v/>
      </c>
      <c r="U50" s="54"/>
      <c r="V50" s="60" t="str">
        <f aca="false">IF(U50="","",IF($U$9="","",IF($U$9=0,"",U50/$U$9)))</f>
        <v/>
      </c>
      <c r="W50" s="54"/>
      <c r="X50" s="60" t="str">
        <f aca="false">IF(W50="","",IF($W$9="","",IF($W$9=0,"",W50/$W$9)))</f>
        <v/>
      </c>
    </row>
    <row r="51" customFormat="false" ht="15" hidden="false" customHeight="false" outlineLevel="0" collapsed="false">
      <c r="A51" s="5" t="n">
        <v>41</v>
      </c>
      <c r="B51" s="50" t="n">
        <v>46468</v>
      </c>
      <c r="C51" s="61" t="n">
        <f aca="false">$B$5/$B$8</f>
        <v>246.913580246914</v>
      </c>
      <c r="D51" s="52"/>
      <c r="E51" s="61" t="n">
        <f aca="false">SUM($C$11:C51)</f>
        <v>10123.4567901235</v>
      </c>
      <c r="F51" s="61" t="n">
        <f aca="false">SUM($D$11:D51)</f>
        <v>0</v>
      </c>
      <c r="G51" s="53" t="str">
        <f aca="false">IF(COUNT($D$11:D51)=0,"",F51/E51)</f>
        <v/>
      </c>
      <c r="H51" s="13" t="str">
        <f aca="false">IF(G51="","",IF(G51&gt;=0.95,"En meta",IF(G51&gt;=0.8,"Riesgo","Atrasado")))</f>
        <v/>
      </c>
      <c r="I51" s="54"/>
      <c r="J51" s="55" t="str">
        <f aca="false">IF(I51="","",IF($I$9="","",IF($I$9=0,"",I51/$I$9)))</f>
        <v/>
      </c>
      <c r="K51" s="54"/>
      <c r="L51" s="55" t="str">
        <f aca="false">IF(K51="","",IF($K$9="","",IF($K$9=0,"",K51/$K$9)))</f>
        <v/>
      </c>
      <c r="M51" s="54"/>
      <c r="N51" s="55" t="str">
        <f aca="false">IF(M51="","",IF($M$9="","",IF($M$9=0,"",M51/$M$9)))</f>
        <v/>
      </c>
      <c r="O51" s="54"/>
      <c r="P51" s="55" t="str">
        <f aca="false">IF(O51="","",IF($O$9="","",IF($O$9=0,"",O51/$O$9)))</f>
        <v/>
      </c>
      <c r="Q51" s="54"/>
      <c r="R51" s="55" t="str">
        <f aca="false">IF(Q51="","",IF($Q$9="","",IF($Q$9=0,"",Q51/$Q$9)))</f>
        <v/>
      </c>
      <c r="S51" s="56"/>
      <c r="T51" s="55" t="str">
        <f aca="false">IF(S51="","",IF($S$9="","",IF($S$9=0,"",S51/$S$9)))</f>
        <v/>
      </c>
      <c r="U51" s="54"/>
      <c r="V51" s="55" t="str">
        <f aca="false">IF(U51="","",IF($U$9="","",IF($U$9=0,"",U51/$U$9)))</f>
        <v/>
      </c>
      <c r="W51" s="54"/>
      <c r="X51" s="55" t="str">
        <f aca="false">IF(W51="","",IF($W$9="","",IF($W$9=0,"",W51/$W$9)))</f>
        <v/>
      </c>
    </row>
    <row r="52" customFormat="false" ht="15" hidden="false" customHeight="false" outlineLevel="0" collapsed="false">
      <c r="A52" s="28" t="n">
        <v>42</v>
      </c>
      <c r="B52" s="57" t="n">
        <v>46475</v>
      </c>
      <c r="C52" s="62" t="n">
        <f aca="false">$B$5/$B$8</f>
        <v>246.913580246914</v>
      </c>
      <c r="D52" s="52"/>
      <c r="E52" s="62" t="n">
        <f aca="false">SUM($C$11:C52)</f>
        <v>10370.3703703704</v>
      </c>
      <c r="F52" s="62" t="n">
        <f aca="false">SUM($D$11:D52)</f>
        <v>0</v>
      </c>
      <c r="G52" s="59" t="str">
        <f aca="false">IF(COUNT($D$11:D52)=0,"",F52/E52)</f>
        <v/>
      </c>
      <c r="H52" s="14" t="str">
        <f aca="false">IF(G52="","",IF(G52&gt;=0.95,"En meta",IF(G52&gt;=0.8,"Riesgo","Atrasado")))</f>
        <v/>
      </c>
      <c r="I52" s="54"/>
      <c r="J52" s="60" t="str">
        <f aca="false">IF(I52="","",IF($I$9="","",IF($I$9=0,"",I52/$I$9)))</f>
        <v/>
      </c>
      <c r="K52" s="54"/>
      <c r="L52" s="60" t="str">
        <f aca="false">IF(K52="","",IF($K$9="","",IF($K$9=0,"",K52/$K$9)))</f>
        <v/>
      </c>
      <c r="M52" s="54"/>
      <c r="N52" s="60" t="str">
        <f aca="false">IF(M52="","",IF($M$9="","",IF($M$9=0,"",M52/$M$9)))</f>
        <v/>
      </c>
      <c r="O52" s="54"/>
      <c r="P52" s="60" t="str">
        <f aca="false">IF(O52="","",IF($O$9="","",IF($O$9=0,"",O52/$O$9)))</f>
        <v/>
      </c>
      <c r="Q52" s="54"/>
      <c r="R52" s="60" t="str">
        <f aca="false">IF(Q52="","",IF($Q$9="","",IF($Q$9=0,"",Q52/$Q$9)))</f>
        <v/>
      </c>
      <c r="S52" s="56"/>
      <c r="T52" s="60" t="str">
        <f aca="false">IF(S52="","",IF($S$9="","",IF($S$9=0,"",S52/$S$9)))</f>
        <v/>
      </c>
      <c r="U52" s="54"/>
      <c r="V52" s="60" t="str">
        <f aca="false">IF(U52="","",IF($U$9="","",IF($U$9=0,"",U52/$U$9)))</f>
        <v/>
      </c>
      <c r="W52" s="54"/>
      <c r="X52" s="60" t="str">
        <f aca="false">IF(W52="","",IF($W$9="","",IF($W$9=0,"",W52/$W$9)))</f>
        <v/>
      </c>
    </row>
    <row r="53" customFormat="false" ht="15" hidden="false" customHeight="false" outlineLevel="0" collapsed="false">
      <c r="A53" s="5" t="n">
        <v>43</v>
      </c>
      <c r="B53" s="50" t="n">
        <v>46482</v>
      </c>
      <c r="C53" s="61" t="n">
        <f aca="false">$B$5/$B$8</f>
        <v>246.913580246914</v>
      </c>
      <c r="D53" s="52"/>
      <c r="E53" s="61" t="n">
        <f aca="false">SUM($C$11:C53)</f>
        <v>10617.2839506173</v>
      </c>
      <c r="F53" s="61" t="n">
        <f aca="false">SUM($D$11:D53)</f>
        <v>0</v>
      </c>
      <c r="G53" s="53" t="str">
        <f aca="false">IF(COUNT($D$11:D53)=0,"",F53/E53)</f>
        <v/>
      </c>
      <c r="H53" s="13" t="str">
        <f aca="false">IF(G53="","",IF(G53&gt;=0.95,"En meta",IF(G53&gt;=0.8,"Riesgo","Atrasado")))</f>
        <v/>
      </c>
      <c r="I53" s="54"/>
      <c r="J53" s="55" t="str">
        <f aca="false">IF(I53="","",IF($I$9="","",IF($I$9=0,"",I53/$I$9)))</f>
        <v/>
      </c>
      <c r="K53" s="54"/>
      <c r="L53" s="55" t="str">
        <f aca="false">IF(K53="","",IF($K$9="","",IF($K$9=0,"",K53/$K$9)))</f>
        <v/>
      </c>
      <c r="M53" s="54"/>
      <c r="N53" s="55" t="str">
        <f aca="false">IF(M53="","",IF($M$9="","",IF($M$9=0,"",M53/$M$9)))</f>
        <v/>
      </c>
      <c r="O53" s="54"/>
      <c r="P53" s="55" t="str">
        <f aca="false">IF(O53="","",IF($O$9="","",IF($O$9=0,"",O53/$O$9)))</f>
        <v/>
      </c>
      <c r="Q53" s="54"/>
      <c r="R53" s="55" t="str">
        <f aca="false">IF(Q53="","",IF($Q$9="","",IF($Q$9=0,"",Q53/$Q$9)))</f>
        <v/>
      </c>
      <c r="S53" s="56"/>
      <c r="T53" s="55" t="str">
        <f aca="false">IF(S53="","",IF($S$9="","",IF($S$9=0,"",S53/$S$9)))</f>
        <v/>
      </c>
      <c r="U53" s="54"/>
      <c r="V53" s="55" t="str">
        <f aca="false">IF(U53="","",IF($U$9="","",IF($U$9=0,"",U53/$U$9)))</f>
        <v/>
      </c>
      <c r="W53" s="54"/>
      <c r="X53" s="55" t="str">
        <f aca="false">IF(W53="","",IF($W$9="","",IF($W$9=0,"",W53/$W$9)))</f>
        <v/>
      </c>
    </row>
    <row r="54" customFormat="false" ht="15" hidden="false" customHeight="false" outlineLevel="0" collapsed="false">
      <c r="A54" s="28" t="n">
        <v>44</v>
      </c>
      <c r="B54" s="57" t="n">
        <v>46489</v>
      </c>
      <c r="C54" s="62" t="n">
        <f aca="false">$B$5/$B$8</f>
        <v>246.913580246914</v>
      </c>
      <c r="D54" s="52"/>
      <c r="E54" s="62" t="n">
        <f aca="false">SUM($C$11:C54)</f>
        <v>10864.1975308642</v>
      </c>
      <c r="F54" s="62" t="n">
        <f aca="false">SUM($D$11:D54)</f>
        <v>0</v>
      </c>
      <c r="G54" s="59" t="str">
        <f aca="false">IF(COUNT($D$11:D54)=0,"",F54/E54)</f>
        <v/>
      </c>
      <c r="H54" s="14" t="str">
        <f aca="false">IF(G54="","",IF(G54&gt;=0.95,"En meta",IF(G54&gt;=0.8,"Riesgo","Atrasado")))</f>
        <v/>
      </c>
      <c r="I54" s="54"/>
      <c r="J54" s="60" t="str">
        <f aca="false">IF(I54="","",IF($I$9="","",IF($I$9=0,"",I54/$I$9)))</f>
        <v/>
      </c>
      <c r="K54" s="54"/>
      <c r="L54" s="60" t="str">
        <f aca="false">IF(K54="","",IF($K$9="","",IF($K$9=0,"",K54/$K$9)))</f>
        <v/>
      </c>
      <c r="M54" s="54"/>
      <c r="N54" s="60" t="str">
        <f aca="false">IF(M54="","",IF($M$9="","",IF($M$9=0,"",M54/$M$9)))</f>
        <v/>
      </c>
      <c r="O54" s="54"/>
      <c r="P54" s="60" t="str">
        <f aca="false">IF(O54="","",IF($O$9="","",IF($O$9=0,"",O54/$O$9)))</f>
        <v/>
      </c>
      <c r="Q54" s="54"/>
      <c r="R54" s="60" t="str">
        <f aca="false">IF(Q54="","",IF($Q$9="","",IF($Q$9=0,"",Q54/$Q$9)))</f>
        <v/>
      </c>
      <c r="S54" s="56"/>
      <c r="T54" s="60" t="str">
        <f aca="false">IF(S54="","",IF($S$9="","",IF($S$9=0,"",S54/$S$9)))</f>
        <v/>
      </c>
      <c r="U54" s="54"/>
      <c r="V54" s="60" t="str">
        <f aca="false">IF(U54="","",IF($U$9="","",IF($U$9=0,"",U54/$U$9)))</f>
        <v/>
      </c>
      <c r="W54" s="54"/>
      <c r="X54" s="60" t="str">
        <f aca="false">IF(W54="","",IF($W$9="","",IF($W$9=0,"",W54/$W$9)))</f>
        <v/>
      </c>
    </row>
    <row r="55" customFormat="false" ht="15" hidden="false" customHeight="false" outlineLevel="0" collapsed="false">
      <c r="A55" s="5" t="n">
        <v>45</v>
      </c>
      <c r="B55" s="50" t="n">
        <v>46496</v>
      </c>
      <c r="C55" s="61" t="n">
        <f aca="false">$B$5/$B$8</f>
        <v>246.913580246914</v>
      </c>
      <c r="D55" s="52"/>
      <c r="E55" s="61" t="n">
        <f aca="false">SUM($C$11:C55)</f>
        <v>11111.1111111111</v>
      </c>
      <c r="F55" s="61" t="n">
        <f aca="false">SUM($D$11:D55)</f>
        <v>0</v>
      </c>
      <c r="G55" s="53" t="str">
        <f aca="false">IF(COUNT($D$11:D55)=0,"",F55/E55)</f>
        <v/>
      </c>
      <c r="H55" s="13" t="str">
        <f aca="false">IF(G55="","",IF(G55&gt;=0.95,"En meta",IF(G55&gt;=0.8,"Riesgo","Atrasado")))</f>
        <v/>
      </c>
      <c r="I55" s="54"/>
      <c r="J55" s="55" t="str">
        <f aca="false">IF(I55="","",IF($I$9="","",IF($I$9=0,"",I55/$I$9)))</f>
        <v/>
      </c>
      <c r="K55" s="54"/>
      <c r="L55" s="55" t="str">
        <f aca="false">IF(K55="","",IF($K$9="","",IF($K$9=0,"",K55/$K$9)))</f>
        <v/>
      </c>
      <c r="M55" s="54"/>
      <c r="N55" s="55" t="str">
        <f aca="false">IF(M55="","",IF($M$9="","",IF($M$9=0,"",M55/$M$9)))</f>
        <v/>
      </c>
      <c r="O55" s="54"/>
      <c r="P55" s="55" t="str">
        <f aca="false">IF(O55="","",IF($O$9="","",IF($O$9=0,"",O55/$O$9)))</f>
        <v/>
      </c>
      <c r="Q55" s="54"/>
      <c r="R55" s="55" t="str">
        <f aca="false">IF(Q55="","",IF($Q$9="","",IF($Q$9=0,"",Q55/$Q$9)))</f>
        <v/>
      </c>
      <c r="S55" s="56"/>
      <c r="T55" s="55" t="str">
        <f aca="false">IF(S55="","",IF($S$9="","",IF($S$9=0,"",S55/$S$9)))</f>
        <v/>
      </c>
      <c r="U55" s="54"/>
      <c r="V55" s="55" t="str">
        <f aca="false">IF(U55="","",IF($U$9="","",IF($U$9=0,"",U55/$U$9)))</f>
        <v/>
      </c>
      <c r="W55" s="54"/>
      <c r="X55" s="55" t="str">
        <f aca="false">IF(W55="","",IF($W$9="","",IF($W$9=0,"",W55/$W$9)))</f>
        <v/>
      </c>
    </row>
    <row r="56" customFormat="false" ht="15" hidden="false" customHeight="false" outlineLevel="0" collapsed="false">
      <c r="A56" s="28" t="n">
        <v>46</v>
      </c>
      <c r="B56" s="57" t="n">
        <v>46503</v>
      </c>
      <c r="C56" s="62" t="n">
        <f aca="false">$B$5/$B$8</f>
        <v>246.913580246914</v>
      </c>
      <c r="D56" s="52"/>
      <c r="E56" s="62" t="n">
        <f aca="false">SUM($C$11:C56)</f>
        <v>11358.024691358</v>
      </c>
      <c r="F56" s="62" t="n">
        <f aca="false">SUM($D$11:D56)</f>
        <v>0</v>
      </c>
      <c r="G56" s="59" t="str">
        <f aca="false">IF(COUNT($D$11:D56)=0,"",F56/E56)</f>
        <v/>
      </c>
      <c r="H56" s="14" t="str">
        <f aca="false">IF(G56="","",IF(G56&gt;=0.95,"En meta",IF(G56&gt;=0.8,"Riesgo","Atrasado")))</f>
        <v/>
      </c>
      <c r="I56" s="54"/>
      <c r="J56" s="60" t="str">
        <f aca="false">IF(I56="","",IF($I$9="","",IF($I$9=0,"",I56/$I$9)))</f>
        <v/>
      </c>
      <c r="K56" s="54"/>
      <c r="L56" s="60" t="str">
        <f aca="false">IF(K56="","",IF($K$9="","",IF($K$9=0,"",K56/$K$9)))</f>
        <v/>
      </c>
      <c r="M56" s="54"/>
      <c r="N56" s="60" t="str">
        <f aca="false">IF(M56="","",IF($M$9="","",IF($M$9=0,"",M56/$M$9)))</f>
        <v/>
      </c>
      <c r="O56" s="54"/>
      <c r="P56" s="60" t="str">
        <f aca="false">IF(O56="","",IF($O$9="","",IF($O$9=0,"",O56/$O$9)))</f>
        <v/>
      </c>
      <c r="Q56" s="54"/>
      <c r="R56" s="60" t="str">
        <f aca="false">IF(Q56="","",IF($Q$9="","",IF($Q$9=0,"",Q56/$Q$9)))</f>
        <v/>
      </c>
      <c r="S56" s="56"/>
      <c r="T56" s="60" t="str">
        <f aca="false">IF(S56="","",IF($S$9="","",IF($S$9=0,"",S56/$S$9)))</f>
        <v/>
      </c>
      <c r="U56" s="54"/>
      <c r="V56" s="60" t="str">
        <f aca="false">IF(U56="","",IF($U$9="","",IF($U$9=0,"",U56/$U$9)))</f>
        <v/>
      </c>
      <c r="W56" s="54"/>
      <c r="X56" s="60" t="str">
        <f aca="false">IF(W56="","",IF($W$9="","",IF($W$9=0,"",W56/$W$9)))</f>
        <v/>
      </c>
    </row>
    <row r="57" customFormat="false" ht="15" hidden="false" customHeight="false" outlineLevel="0" collapsed="false">
      <c r="A57" s="5" t="n">
        <v>47</v>
      </c>
      <c r="B57" s="50" t="n">
        <v>46510</v>
      </c>
      <c r="C57" s="61" t="n">
        <f aca="false">$B$5/$B$8</f>
        <v>246.913580246914</v>
      </c>
      <c r="D57" s="52"/>
      <c r="E57" s="61" t="n">
        <f aca="false">SUM($C$11:C57)</f>
        <v>11604.9382716049</v>
      </c>
      <c r="F57" s="61" t="n">
        <f aca="false">SUM($D$11:D57)</f>
        <v>0</v>
      </c>
      <c r="G57" s="53" t="str">
        <f aca="false">IF(COUNT($D$11:D57)=0,"",F57/E57)</f>
        <v/>
      </c>
      <c r="H57" s="13" t="str">
        <f aca="false">IF(G57="","",IF(G57&gt;=0.95,"En meta",IF(G57&gt;=0.8,"Riesgo","Atrasado")))</f>
        <v/>
      </c>
      <c r="I57" s="54"/>
      <c r="J57" s="55" t="str">
        <f aca="false">IF(I57="","",IF($I$9="","",IF($I$9=0,"",I57/$I$9)))</f>
        <v/>
      </c>
      <c r="K57" s="54"/>
      <c r="L57" s="55" t="str">
        <f aca="false">IF(K57="","",IF($K$9="","",IF($K$9=0,"",K57/$K$9)))</f>
        <v/>
      </c>
      <c r="M57" s="54"/>
      <c r="N57" s="55" t="str">
        <f aca="false">IF(M57="","",IF($M$9="","",IF($M$9=0,"",M57/$M$9)))</f>
        <v/>
      </c>
      <c r="O57" s="54"/>
      <c r="P57" s="55" t="str">
        <f aca="false">IF(O57="","",IF($O$9="","",IF($O$9=0,"",O57/$O$9)))</f>
        <v/>
      </c>
      <c r="Q57" s="54"/>
      <c r="R57" s="55" t="str">
        <f aca="false">IF(Q57="","",IF($Q$9="","",IF($Q$9=0,"",Q57/$Q$9)))</f>
        <v/>
      </c>
      <c r="S57" s="56"/>
      <c r="T57" s="55" t="str">
        <f aca="false">IF(S57="","",IF($S$9="","",IF($S$9=0,"",S57/$S$9)))</f>
        <v/>
      </c>
      <c r="U57" s="54"/>
      <c r="V57" s="55" t="str">
        <f aca="false">IF(U57="","",IF($U$9="","",IF($U$9=0,"",U57/$U$9)))</f>
        <v/>
      </c>
      <c r="W57" s="54"/>
      <c r="X57" s="55" t="str">
        <f aca="false">IF(W57="","",IF($W$9="","",IF($W$9=0,"",W57/$W$9)))</f>
        <v/>
      </c>
    </row>
    <row r="58" customFormat="false" ht="15" hidden="false" customHeight="false" outlineLevel="0" collapsed="false">
      <c r="A58" s="28" t="n">
        <v>48</v>
      </c>
      <c r="B58" s="57" t="n">
        <v>46517</v>
      </c>
      <c r="C58" s="62" t="n">
        <f aca="false">$B$5/$B$8</f>
        <v>246.913580246914</v>
      </c>
      <c r="D58" s="52"/>
      <c r="E58" s="62" t="n">
        <f aca="false">SUM($C$11:C58)</f>
        <v>11851.8518518519</v>
      </c>
      <c r="F58" s="62" t="n">
        <f aca="false">SUM($D$11:D58)</f>
        <v>0</v>
      </c>
      <c r="G58" s="59" t="str">
        <f aca="false">IF(COUNT($D$11:D58)=0,"",F58/E58)</f>
        <v/>
      </c>
      <c r="H58" s="14" t="str">
        <f aca="false">IF(G58="","",IF(G58&gt;=0.95,"En meta",IF(G58&gt;=0.8,"Riesgo","Atrasado")))</f>
        <v/>
      </c>
      <c r="I58" s="54"/>
      <c r="J58" s="60" t="str">
        <f aca="false">IF(I58="","",IF($I$9="","",IF($I$9=0,"",I58/$I$9)))</f>
        <v/>
      </c>
      <c r="K58" s="54"/>
      <c r="L58" s="60" t="str">
        <f aca="false">IF(K58="","",IF($K$9="","",IF($K$9=0,"",K58/$K$9)))</f>
        <v/>
      </c>
      <c r="M58" s="54"/>
      <c r="N58" s="60" t="str">
        <f aca="false">IF(M58="","",IF($M$9="","",IF($M$9=0,"",M58/$M$9)))</f>
        <v/>
      </c>
      <c r="O58" s="54"/>
      <c r="P58" s="60" t="str">
        <f aca="false">IF(O58="","",IF($O$9="","",IF($O$9=0,"",O58/$O$9)))</f>
        <v/>
      </c>
      <c r="Q58" s="54"/>
      <c r="R58" s="60" t="str">
        <f aca="false">IF(Q58="","",IF($Q$9="","",IF($Q$9=0,"",Q58/$Q$9)))</f>
        <v/>
      </c>
      <c r="S58" s="56"/>
      <c r="T58" s="60" t="str">
        <f aca="false">IF(S58="","",IF($S$9="","",IF($S$9=0,"",S58/$S$9)))</f>
        <v/>
      </c>
      <c r="U58" s="54"/>
      <c r="V58" s="60" t="str">
        <f aca="false">IF(U58="","",IF($U$9="","",IF($U$9=0,"",U58/$U$9)))</f>
        <v/>
      </c>
      <c r="W58" s="54"/>
      <c r="X58" s="60" t="str">
        <f aca="false">IF(W58="","",IF($W$9="","",IF($W$9=0,"",W58/$W$9)))</f>
        <v/>
      </c>
    </row>
    <row r="59" customFormat="false" ht="15" hidden="false" customHeight="false" outlineLevel="0" collapsed="false">
      <c r="A59" s="5" t="n">
        <v>49</v>
      </c>
      <c r="B59" s="50" t="n">
        <v>46524</v>
      </c>
      <c r="C59" s="61" t="n">
        <f aca="false">$B$5/$B$8</f>
        <v>246.913580246914</v>
      </c>
      <c r="D59" s="52"/>
      <c r="E59" s="61" t="n">
        <f aca="false">SUM($C$11:C59)</f>
        <v>12098.7654320988</v>
      </c>
      <c r="F59" s="61" t="n">
        <f aca="false">SUM($D$11:D59)</f>
        <v>0</v>
      </c>
      <c r="G59" s="53" t="str">
        <f aca="false">IF(COUNT($D$11:D59)=0,"",F59/E59)</f>
        <v/>
      </c>
      <c r="H59" s="13" t="str">
        <f aca="false">IF(G59="","",IF(G59&gt;=0.95,"En meta",IF(G59&gt;=0.8,"Riesgo","Atrasado")))</f>
        <v/>
      </c>
      <c r="I59" s="54"/>
      <c r="J59" s="55" t="str">
        <f aca="false">IF(I59="","",IF($I$9="","",IF($I$9=0,"",I59/$I$9)))</f>
        <v/>
      </c>
      <c r="K59" s="54"/>
      <c r="L59" s="55" t="str">
        <f aca="false">IF(K59="","",IF($K$9="","",IF($K$9=0,"",K59/$K$9)))</f>
        <v/>
      </c>
      <c r="M59" s="54"/>
      <c r="N59" s="55" t="str">
        <f aca="false">IF(M59="","",IF($M$9="","",IF($M$9=0,"",M59/$M$9)))</f>
        <v/>
      </c>
      <c r="O59" s="54"/>
      <c r="P59" s="55" t="str">
        <f aca="false">IF(O59="","",IF($O$9="","",IF($O$9=0,"",O59/$O$9)))</f>
        <v/>
      </c>
      <c r="Q59" s="54"/>
      <c r="R59" s="55" t="str">
        <f aca="false">IF(Q59="","",IF($Q$9="","",IF($Q$9=0,"",Q59/$Q$9)))</f>
        <v/>
      </c>
      <c r="S59" s="56"/>
      <c r="T59" s="55" t="str">
        <f aca="false">IF(S59="","",IF($S$9="","",IF($S$9=0,"",S59/$S$9)))</f>
        <v/>
      </c>
      <c r="U59" s="54"/>
      <c r="V59" s="55" t="str">
        <f aca="false">IF(U59="","",IF($U$9="","",IF($U$9=0,"",U59/$U$9)))</f>
        <v/>
      </c>
      <c r="W59" s="54"/>
      <c r="X59" s="55" t="str">
        <f aca="false">IF(W59="","",IF($W$9="","",IF($W$9=0,"",W59/$W$9)))</f>
        <v/>
      </c>
    </row>
    <row r="60" customFormat="false" ht="15" hidden="false" customHeight="false" outlineLevel="0" collapsed="false">
      <c r="A60" s="28" t="n">
        <v>50</v>
      </c>
      <c r="B60" s="57" t="n">
        <v>46531</v>
      </c>
      <c r="C60" s="62" t="n">
        <f aca="false">$B$5/$B$8</f>
        <v>246.913580246914</v>
      </c>
      <c r="D60" s="52"/>
      <c r="E60" s="62" t="n">
        <f aca="false">SUM($C$11:C60)</f>
        <v>12345.6790123457</v>
      </c>
      <c r="F60" s="62" t="n">
        <f aca="false">SUM($D$11:D60)</f>
        <v>0</v>
      </c>
      <c r="G60" s="59" t="str">
        <f aca="false">IF(COUNT($D$11:D60)=0,"",F60/E60)</f>
        <v/>
      </c>
      <c r="H60" s="14" t="str">
        <f aca="false">IF(G60="","",IF(G60&gt;=0.95,"En meta",IF(G60&gt;=0.8,"Riesgo","Atrasado")))</f>
        <v/>
      </c>
      <c r="I60" s="54"/>
      <c r="J60" s="60" t="str">
        <f aca="false">IF(I60="","",IF($I$9="","",IF($I$9=0,"",I60/$I$9)))</f>
        <v/>
      </c>
      <c r="K60" s="54"/>
      <c r="L60" s="60" t="str">
        <f aca="false">IF(K60="","",IF($K$9="","",IF($K$9=0,"",K60/$K$9)))</f>
        <v/>
      </c>
      <c r="M60" s="54"/>
      <c r="N60" s="60" t="str">
        <f aca="false">IF(M60="","",IF($M$9="","",IF($M$9=0,"",M60/$M$9)))</f>
        <v/>
      </c>
      <c r="O60" s="54"/>
      <c r="P60" s="60" t="str">
        <f aca="false">IF(O60="","",IF($O$9="","",IF($O$9=0,"",O60/$O$9)))</f>
        <v/>
      </c>
      <c r="Q60" s="54"/>
      <c r="R60" s="60" t="str">
        <f aca="false">IF(Q60="","",IF($Q$9="","",IF($Q$9=0,"",Q60/$Q$9)))</f>
        <v/>
      </c>
      <c r="S60" s="56"/>
      <c r="T60" s="60" t="str">
        <f aca="false">IF(S60="","",IF($S$9="","",IF($S$9=0,"",S60/$S$9)))</f>
        <v/>
      </c>
      <c r="U60" s="54"/>
      <c r="V60" s="60" t="str">
        <f aca="false">IF(U60="","",IF($U$9="","",IF($U$9=0,"",U60/$U$9)))</f>
        <v/>
      </c>
      <c r="W60" s="54"/>
      <c r="X60" s="60" t="str">
        <f aca="false">IF(W60="","",IF($W$9="","",IF($W$9=0,"",W60/$W$9)))</f>
        <v/>
      </c>
    </row>
    <row r="61" customFormat="false" ht="15" hidden="false" customHeight="false" outlineLevel="0" collapsed="false">
      <c r="A61" s="5" t="n">
        <v>51</v>
      </c>
      <c r="B61" s="50" t="n">
        <v>46538</v>
      </c>
      <c r="C61" s="61" t="n">
        <f aca="false">$B$5/$B$8</f>
        <v>246.913580246914</v>
      </c>
      <c r="D61" s="52"/>
      <c r="E61" s="61" t="n">
        <f aca="false">SUM($C$11:C61)</f>
        <v>12592.5925925926</v>
      </c>
      <c r="F61" s="61" t="n">
        <f aca="false">SUM($D$11:D61)</f>
        <v>0</v>
      </c>
      <c r="G61" s="53" t="str">
        <f aca="false">IF(COUNT($D$11:D61)=0,"",F61/E61)</f>
        <v/>
      </c>
      <c r="H61" s="13" t="str">
        <f aca="false">IF(G61="","",IF(G61&gt;=0.95,"En meta",IF(G61&gt;=0.8,"Riesgo","Atrasado")))</f>
        <v/>
      </c>
      <c r="I61" s="54"/>
      <c r="J61" s="55" t="str">
        <f aca="false">IF(I61="","",IF($I$9="","",IF($I$9=0,"",I61/$I$9)))</f>
        <v/>
      </c>
      <c r="K61" s="54"/>
      <c r="L61" s="55" t="str">
        <f aca="false">IF(K61="","",IF($K$9="","",IF($K$9=0,"",K61/$K$9)))</f>
        <v/>
      </c>
      <c r="M61" s="54"/>
      <c r="N61" s="55" t="str">
        <f aca="false">IF(M61="","",IF($M$9="","",IF($M$9=0,"",M61/$M$9)))</f>
        <v/>
      </c>
      <c r="O61" s="54"/>
      <c r="P61" s="55" t="str">
        <f aca="false">IF(O61="","",IF($O$9="","",IF($O$9=0,"",O61/$O$9)))</f>
        <v/>
      </c>
      <c r="Q61" s="54"/>
      <c r="R61" s="55" t="str">
        <f aca="false">IF(Q61="","",IF($Q$9="","",IF($Q$9=0,"",Q61/$Q$9)))</f>
        <v/>
      </c>
      <c r="S61" s="56"/>
      <c r="T61" s="55" t="str">
        <f aca="false">IF(S61="","",IF($S$9="","",IF($S$9=0,"",S61/$S$9)))</f>
        <v/>
      </c>
      <c r="U61" s="54"/>
      <c r="V61" s="55" t="str">
        <f aca="false">IF(U61="","",IF($U$9="","",IF($U$9=0,"",U61/$U$9)))</f>
        <v/>
      </c>
      <c r="W61" s="54"/>
      <c r="X61" s="55" t="str">
        <f aca="false">IF(W61="","",IF($W$9="","",IF($W$9=0,"",W61/$W$9)))</f>
        <v/>
      </c>
    </row>
    <row r="62" customFormat="false" ht="15" hidden="false" customHeight="false" outlineLevel="0" collapsed="false">
      <c r="A62" s="28" t="n">
        <v>52</v>
      </c>
      <c r="B62" s="57" t="n">
        <v>46545</v>
      </c>
      <c r="C62" s="62" t="n">
        <f aca="false">$B$5/$B$8</f>
        <v>246.913580246914</v>
      </c>
      <c r="D62" s="52"/>
      <c r="E62" s="62" t="n">
        <f aca="false">SUM($C$11:C62)</f>
        <v>12839.5061728395</v>
      </c>
      <c r="F62" s="62" t="n">
        <f aca="false">SUM($D$11:D62)</f>
        <v>0</v>
      </c>
      <c r="G62" s="59" t="str">
        <f aca="false">IF(COUNT($D$11:D62)=0,"",F62/E62)</f>
        <v/>
      </c>
      <c r="H62" s="14" t="str">
        <f aca="false">IF(G62="","",IF(G62&gt;=0.95,"En meta",IF(G62&gt;=0.8,"Riesgo","Atrasado")))</f>
        <v/>
      </c>
      <c r="I62" s="54"/>
      <c r="J62" s="60" t="str">
        <f aca="false">IF(I62="","",IF($I$9="","",IF($I$9=0,"",I62/$I$9)))</f>
        <v/>
      </c>
      <c r="K62" s="54"/>
      <c r="L62" s="60" t="str">
        <f aca="false">IF(K62="","",IF($K$9="","",IF($K$9=0,"",K62/$K$9)))</f>
        <v/>
      </c>
      <c r="M62" s="54"/>
      <c r="N62" s="60" t="str">
        <f aca="false">IF(M62="","",IF($M$9="","",IF($M$9=0,"",M62/$M$9)))</f>
        <v/>
      </c>
      <c r="O62" s="54"/>
      <c r="P62" s="60" t="str">
        <f aca="false">IF(O62="","",IF($O$9="","",IF($O$9=0,"",O62/$O$9)))</f>
        <v/>
      </c>
      <c r="Q62" s="54"/>
      <c r="R62" s="60" t="str">
        <f aca="false">IF(Q62="","",IF($Q$9="","",IF($Q$9=0,"",Q62/$Q$9)))</f>
        <v/>
      </c>
      <c r="S62" s="56"/>
      <c r="T62" s="60" t="str">
        <f aca="false">IF(S62="","",IF($S$9="","",IF($S$9=0,"",S62/$S$9)))</f>
        <v/>
      </c>
      <c r="U62" s="54"/>
      <c r="V62" s="60" t="str">
        <f aca="false">IF(U62="","",IF($U$9="","",IF($U$9=0,"",U62/$U$9)))</f>
        <v/>
      </c>
      <c r="W62" s="54"/>
      <c r="X62" s="60" t="str">
        <f aca="false">IF(W62="","",IF($W$9="","",IF($W$9=0,"",W62/$W$9)))</f>
        <v/>
      </c>
    </row>
    <row r="63" customFormat="false" ht="15" hidden="false" customHeight="false" outlineLevel="0" collapsed="false">
      <c r="A63" s="5" t="n">
        <v>53</v>
      </c>
      <c r="B63" s="50" t="n">
        <v>46552</v>
      </c>
      <c r="C63" s="61" t="n">
        <f aca="false">$B$5/$B$8</f>
        <v>246.913580246914</v>
      </c>
      <c r="D63" s="52"/>
      <c r="E63" s="61" t="n">
        <f aca="false">SUM($C$11:C63)</f>
        <v>13086.4197530864</v>
      </c>
      <c r="F63" s="61" t="n">
        <f aca="false">SUM($D$11:D63)</f>
        <v>0</v>
      </c>
      <c r="G63" s="53" t="str">
        <f aca="false">IF(COUNT($D$11:D63)=0,"",F63/E63)</f>
        <v/>
      </c>
      <c r="H63" s="13" t="str">
        <f aca="false">IF(G63="","",IF(G63&gt;=0.95,"En meta",IF(G63&gt;=0.8,"Riesgo","Atrasado")))</f>
        <v/>
      </c>
      <c r="I63" s="54"/>
      <c r="J63" s="55" t="str">
        <f aca="false">IF(I63="","",IF($I$9="","",IF($I$9=0,"",I63/$I$9)))</f>
        <v/>
      </c>
      <c r="K63" s="54"/>
      <c r="L63" s="55" t="str">
        <f aca="false">IF(K63="","",IF($K$9="","",IF($K$9=0,"",K63/$K$9)))</f>
        <v/>
      </c>
      <c r="M63" s="54"/>
      <c r="N63" s="55" t="str">
        <f aca="false">IF(M63="","",IF($M$9="","",IF($M$9=0,"",M63/$M$9)))</f>
        <v/>
      </c>
      <c r="O63" s="54"/>
      <c r="P63" s="55" t="str">
        <f aca="false">IF(O63="","",IF($O$9="","",IF($O$9=0,"",O63/$O$9)))</f>
        <v/>
      </c>
      <c r="Q63" s="54"/>
      <c r="R63" s="55" t="str">
        <f aca="false">IF(Q63="","",IF($Q$9="","",IF($Q$9=0,"",Q63/$Q$9)))</f>
        <v/>
      </c>
      <c r="S63" s="56"/>
      <c r="T63" s="55" t="str">
        <f aca="false">IF(S63="","",IF($S$9="","",IF($S$9=0,"",S63/$S$9)))</f>
        <v/>
      </c>
      <c r="U63" s="54"/>
      <c r="V63" s="55" t="str">
        <f aca="false">IF(U63="","",IF($U$9="","",IF($U$9=0,"",U63/$U$9)))</f>
        <v/>
      </c>
      <c r="W63" s="54"/>
      <c r="X63" s="55" t="str">
        <f aca="false">IF(W63="","",IF($W$9="","",IF($W$9=0,"",W63/$W$9)))</f>
        <v/>
      </c>
    </row>
    <row r="64" customFormat="false" ht="15" hidden="false" customHeight="false" outlineLevel="0" collapsed="false">
      <c r="A64" s="28" t="n">
        <v>54</v>
      </c>
      <c r="B64" s="57" t="n">
        <v>46559</v>
      </c>
      <c r="C64" s="62" t="n">
        <f aca="false">$B$5/$B$8</f>
        <v>246.913580246914</v>
      </c>
      <c r="D64" s="52"/>
      <c r="E64" s="62" t="n">
        <f aca="false">SUM($C$11:C64)</f>
        <v>13333.3333333333</v>
      </c>
      <c r="F64" s="62" t="n">
        <f aca="false">SUM($D$11:D64)</f>
        <v>0</v>
      </c>
      <c r="G64" s="59" t="str">
        <f aca="false">IF(COUNT($D$11:D64)=0,"",F64/E64)</f>
        <v/>
      </c>
      <c r="H64" s="14" t="str">
        <f aca="false">IF(G64="","",IF(G64&gt;=0.95,"En meta",IF(G64&gt;=0.8,"Riesgo","Atrasado")))</f>
        <v/>
      </c>
      <c r="I64" s="54"/>
      <c r="J64" s="60" t="str">
        <f aca="false">IF(I64="","",IF($I$9="","",IF($I$9=0,"",I64/$I$9)))</f>
        <v/>
      </c>
      <c r="K64" s="54"/>
      <c r="L64" s="60" t="str">
        <f aca="false">IF(K64="","",IF($K$9="","",IF($K$9=0,"",K64/$K$9)))</f>
        <v/>
      </c>
      <c r="M64" s="54"/>
      <c r="N64" s="60" t="str">
        <f aca="false">IF(M64="","",IF($M$9="","",IF($M$9=0,"",M64/$M$9)))</f>
        <v/>
      </c>
      <c r="O64" s="54"/>
      <c r="P64" s="60" t="str">
        <f aca="false">IF(O64="","",IF($O$9="","",IF($O$9=0,"",O64/$O$9)))</f>
        <v/>
      </c>
      <c r="Q64" s="54"/>
      <c r="R64" s="60" t="str">
        <f aca="false">IF(Q64="","",IF($Q$9="","",IF($Q$9=0,"",Q64/$Q$9)))</f>
        <v/>
      </c>
      <c r="S64" s="56"/>
      <c r="T64" s="60" t="str">
        <f aca="false">IF(S64="","",IF($S$9="","",IF($S$9=0,"",S64/$S$9)))</f>
        <v/>
      </c>
      <c r="U64" s="54"/>
      <c r="V64" s="60" t="str">
        <f aca="false">IF(U64="","",IF($U$9="","",IF($U$9=0,"",U64/$U$9)))</f>
        <v/>
      </c>
      <c r="W64" s="54"/>
      <c r="X64" s="60" t="str">
        <f aca="false">IF(W64="","",IF($W$9="","",IF($W$9=0,"",W64/$W$9)))</f>
        <v/>
      </c>
    </row>
    <row r="65" customFormat="false" ht="15" hidden="false" customHeight="false" outlineLevel="0" collapsed="false">
      <c r="A65" s="5" t="n">
        <v>55</v>
      </c>
      <c r="B65" s="50" t="n">
        <v>46566</v>
      </c>
      <c r="C65" s="61" t="n">
        <f aca="false">$B$5/$B$8</f>
        <v>246.913580246914</v>
      </c>
      <c r="D65" s="52"/>
      <c r="E65" s="61" t="n">
        <f aca="false">SUM($C$11:C65)</f>
        <v>13580.2469135802</v>
      </c>
      <c r="F65" s="61" t="n">
        <f aca="false">SUM($D$11:D65)</f>
        <v>0</v>
      </c>
      <c r="G65" s="53" t="str">
        <f aca="false">IF(COUNT($D$11:D65)=0,"",F65/E65)</f>
        <v/>
      </c>
      <c r="H65" s="13" t="str">
        <f aca="false">IF(G65="","",IF(G65&gt;=0.95,"En meta",IF(G65&gt;=0.8,"Riesgo","Atrasado")))</f>
        <v/>
      </c>
      <c r="I65" s="54"/>
      <c r="J65" s="55" t="str">
        <f aca="false">IF(I65="","",IF($I$9="","",IF($I$9=0,"",I65/$I$9)))</f>
        <v/>
      </c>
      <c r="K65" s="54"/>
      <c r="L65" s="55" t="str">
        <f aca="false">IF(K65="","",IF($K$9="","",IF($K$9=0,"",K65/$K$9)))</f>
        <v/>
      </c>
      <c r="M65" s="54"/>
      <c r="N65" s="55" t="str">
        <f aca="false">IF(M65="","",IF($M$9="","",IF($M$9=0,"",M65/$M$9)))</f>
        <v/>
      </c>
      <c r="O65" s="54"/>
      <c r="P65" s="55" t="str">
        <f aca="false">IF(O65="","",IF($O$9="","",IF($O$9=0,"",O65/$O$9)))</f>
        <v/>
      </c>
      <c r="Q65" s="54"/>
      <c r="R65" s="55" t="str">
        <f aca="false">IF(Q65="","",IF($Q$9="","",IF($Q$9=0,"",Q65/$Q$9)))</f>
        <v/>
      </c>
      <c r="S65" s="56"/>
      <c r="T65" s="55" t="str">
        <f aca="false">IF(S65="","",IF($S$9="","",IF($S$9=0,"",S65/$S$9)))</f>
        <v/>
      </c>
      <c r="U65" s="54"/>
      <c r="V65" s="55" t="str">
        <f aca="false">IF(U65="","",IF($U$9="","",IF($U$9=0,"",U65/$U$9)))</f>
        <v/>
      </c>
      <c r="W65" s="54"/>
      <c r="X65" s="55" t="str">
        <f aca="false">IF(W65="","",IF($W$9="","",IF($W$9=0,"",W65/$W$9)))</f>
        <v/>
      </c>
    </row>
    <row r="66" customFormat="false" ht="15" hidden="false" customHeight="false" outlineLevel="0" collapsed="false">
      <c r="A66" s="28" t="n">
        <v>56</v>
      </c>
      <c r="B66" s="57" t="n">
        <v>46573</v>
      </c>
      <c r="C66" s="62" t="n">
        <f aca="false">$B$5/$B$8</f>
        <v>246.913580246914</v>
      </c>
      <c r="D66" s="52"/>
      <c r="E66" s="62" t="n">
        <f aca="false">SUM($C$11:C66)</f>
        <v>13827.1604938272</v>
      </c>
      <c r="F66" s="62" t="n">
        <f aca="false">SUM($D$11:D66)</f>
        <v>0</v>
      </c>
      <c r="G66" s="59" t="str">
        <f aca="false">IF(COUNT($D$11:D66)=0,"",F66/E66)</f>
        <v/>
      </c>
      <c r="H66" s="14" t="str">
        <f aca="false">IF(G66="","",IF(G66&gt;=0.95,"En meta",IF(G66&gt;=0.8,"Riesgo","Atrasado")))</f>
        <v/>
      </c>
      <c r="I66" s="54"/>
      <c r="J66" s="60" t="str">
        <f aca="false">IF(I66="","",IF($I$9="","",IF($I$9=0,"",I66/$I$9)))</f>
        <v/>
      </c>
      <c r="K66" s="54"/>
      <c r="L66" s="60" t="str">
        <f aca="false">IF(K66="","",IF($K$9="","",IF($K$9=0,"",K66/$K$9)))</f>
        <v/>
      </c>
      <c r="M66" s="54"/>
      <c r="N66" s="60" t="str">
        <f aca="false">IF(M66="","",IF($M$9="","",IF($M$9=0,"",M66/$M$9)))</f>
        <v/>
      </c>
      <c r="O66" s="54"/>
      <c r="P66" s="60" t="str">
        <f aca="false">IF(O66="","",IF($O$9="","",IF($O$9=0,"",O66/$O$9)))</f>
        <v/>
      </c>
      <c r="Q66" s="54"/>
      <c r="R66" s="60" t="str">
        <f aca="false">IF(Q66="","",IF($Q$9="","",IF($Q$9=0,"",Q66/$Q$9)))</f>
        <v/>
      </c>
      <c r="S66" s="56"/>
      <c r="T66" s="60" t="str">
        <f aca="false">IF(S66="","",IF($S$9="","",IF($S$9=0,"",S66/$S$9)))</f>
        <v/>
      </c>
      <c r="U66" s="54"/>
      <c r="V66" s="60" t="str">
        <f aca="false">IF(U66="","",IF($U$9="","",IF($U$9=0,"",U66/$U$9)))</f>
        <v/>
      </c>
      <c r="W66" s="54"/>
      <c r="X66" s="60" t="str">
        <f aca="false">IF(W66="","",IF($W$9="","",IF($W$9=0,"",W66/$W$9)))</f>
        <v/>
      </c>
    </row>
    <row r="67" customFormat="false" ht="15" hidden="false" customHeight="false" outlineLevel="0" collapsed="false">
      <c r="A67" s="5" t="n">
        <v>57</v>
      </c>
      <c r="B67" s="50" t="n">
        <v>46580</v>
      </c>
      <c r="C67" s="61" t="n">
        <f aca="false">$B$5/$B$8</f>
        <v>246.913580246914</v>
      </c>
      <c r="D67" s="52"/>
      <c r="E67" s="61" t="n">
        <f aca="false">SUM($C$11:C67)</f>
        <v>14074.0740740741</v>
      </c>
      <c r="F67" s="61" t="n">
        <f aca="false">SUM($D$11:D67)</f>
        <v>0</v>
      </c>
      <c r="G67" s="53" t="str">
        <f aca="false">IF(COUNT($D$11:D67)=0,"",F67/E67)</f>
        <v/>
      </c>
      <c r="H67" s="13" t="str">
        <f aca="false">IF(G67="","",IF(G67&gt;=0.95,"En meta",IF(G67&gt;=0.8,"Riesgo","Atrasado")))</f>
        <v/>
      </c>
      <c r="I67" s="54"/>
      <c r="J67" s="55" t="str">
        <f aca="false">IF(I67="","",IF($I$9="","",IF($I$9=0,"",I67/$I$9)))</f>
        <v/>
      </c>
      <c r="K67" s="54"/>
      <c r="L67" s="55" t="str">
        <f aca="false">IF(K67="","",IF($K$9="","",IF($K$9=0,"",K67/$K$9)))</f>
        <v/>
      </c>
      <c r="M67" s="54"/>
      <c r="N67" s="55" t="str">
        <f aca="false">IF(M67="","",IF($M$9="","",IF($M$9=0,"",M67/$M$9)))</f>
        <v/>
      </c>
      <c r="O67" s="54"/>
      <c r="P67" s="55" t="str">
        <f aca="false">IF(O67="","",IF($O$9="","",IF($O$9=0,"",O67/$O$9)))</f>
        <v/>
      </c>
      <c r="Q67" s="54"/>
      <c r="R67" s="55" t="str">
        <f aca="false">IF(Q67="","",IF($Q$9="","",IF($Q$9=0,"",Q67/$Q$9)))</f>
        <v/>
      </c>
      <c r="S67" s="56"/>
      <c r="T67" s="55" t="str">
        <f aca="false">IF(S67="","",IF($S$9="","",IF($S$9=0,"",S67/$S$9)))</f>
        <v/>
      </c>
      <c r="U67" s="54"/>
      <c r="V67" s="55" t="str">
        <f aca="false">IF(U67="","",IF($U$9="","",IF($U$9=0,"",U67/$U$9)))</f>
        <v/>
      </c>
      <c r="W67" s="54"/>
      <c r="X67" s="55" t="str">
        <f aca="false">IF(W67="","",IF($W$9="","",IF($W$9=0,"",W67/$W$9)))</f>
        <v/>
      </c>
    </row>
    <row r="68" customFormat="false" ht="15" hidden="false" customHeight="false" outlineLevel="0" collapsed="false">
      <c r="A68" s="28" t="n">
        <v>58</v>
      </c>
      <c r="B68" s="57" t="n">
        <v>46587</v>
      </c>
      <c r="C68" s="62" t="n">
        <f aca="false">$B$5/$B$8</f>
        <v>246.913580246914</v>
      </c>
      <c r="D68" s="52"/>
      <c r="E68" s="62" t="n">
        <f aca="false">SUM($C$11:C68)</f>
        <v>14320.987654321</v>
      </c>
      <c r="F68" s="62" t="n">
        <f aca="false">SUM($D$11:D68)</f>
        <v>0</v>
      </c>
      <c r="G68" s="59" t="str">
        <f aca="false">IF(COUNT($D$11:D68)=0,"",F68/E68)</f>
        <v/>
      </c>
      <c r="H68" s="14" t="str">
        <f aca="false">IF(G68="","",IF(G68&gt;=0.95,"En meta",IF(G68&gt;=0.8,"Riesgo","Atrasado")))</f>
        <v/>
      </c>
      <c r="I68" s="54"/>
      <c r="J68" s="60" t="str">
        <f aca="false">IF(I68="","",IF($I$9="","",IF($I$9=0,"",I68/$I$9)))</f>
        <v/>
      </c>
      <c r="K68" s="54"/>
      <c r="L68" s="60" t="str">
        <f aca="false">IF(K68="","",IF($K$9="","",IF($K$9=0,"",K68/$K$9)))</f>
        <v/>
      </c>
      <c r="M68" s="54"/>
      <c r="N68" s="60" t="str">
        <f aca="false">IF(M68="","",IF($M$9="","",IF($M$9=0,"",M68/$M$9)))</f>
        <v/>
      </c>
      <c r="O68" s="54"/>
      <c r="P68" s="60" t="str">
        <f aca="false">IF(O68="","",IF($O$9="","",IF($O$9=0,"",O68/$O$9)))</f>
        <v/>
      </c>
      <c r="Q68" s="54"/>
      <c r="R68" s="60" t="str">
        <f aca="false">IF(Q68="","",IF($Q$9="","",IF($Q$9=0,"",Q68/$Q$9)))</f>
        <v/>
      </c>
      <c r="S68" s="56"/>
      <c r="T68" s="60" t="str">
        <f aca="false">IF(S68="","",IF($S$9="","",IF($S$9=0,"",S68/$S$9)))</f>
        <v/>
      </c>
      <c r="U68" s="54"/>
      <c r="V68" s="60" t="str">
        <f aca="false">IF(U68="","",IF($U$9="","",IF($U$9=0,"",U68/$U$9)))</f>
        <v/>
      </c>
      <c r="W68" s="54"/>
      <c r="X68" s="60" t="str">
        <f aca="false">IF(W68="","",IF($W$9="","",IF($W$9=0,"",W68/$W$9)))</f>
        <v/>
      </c>
    </row>
    <row r="69" customFormat="false" ht="15" hidden="false" customHeight="false" outlineLevel="0" collapsed="false">
      <c r="A69" s="5" t="n">
        <v>59</v>
      </c>
      <c r="B69" s="50" t="n">
        <v>46594</v>
      </c>
      <c r="C69" s="61" t="n">
        <f aca="false">$B$5/$B$8</f>
        <v>246.913580246914</v>
      </c>
      <c r="D69" s="52"/>
      <c r="E69" s="61" t="n">
        <f aca="false">SUM($C$11:C69)</f>
        <v>14567.9012345679</v>
      </c>
      <c r="F69" s="61" t="n">
        <f aca="false">SUM($D$11:D69)</f>
        <v>0</v>
      </c>
      <c r="G69" s="53" t="str">
        <f aca="false">IF(COUNT($D$11:D69)=0,"",F69/E69)</f>
        <v/>
      </c>
      <c r="H69" s="13" t="str">
        <f aca="false">IF(G69="","",IF(G69&gt;=0.95,"En meta",IF(G69&gt;=0.8,"Riesgo","Atrasado")))</f>
        <v/>
      </c>
      <c r="I69" s="54"/>
      <c r="J69" s="55" t="str">
        <f aca="false">IF(I69="","",IF($I$9="","",IF($I$9=0,"",I69/$I$9)))</f>
        <v/>
      </c>
      <c r="K69" s="54"/>
      <c r="L69" s="55" t="str">
        <f aca="false">IF(K69="","",IF($K$9="","",IF($K$9=0,"",K69/$K$9)))</f>
        <v/>
      </c>
      <c r="M69" s="54"/>
      <c r="N69" s="55" t="str">
        <f aca="false">IF(M69="","",IF($M$9="","",IF($M$9=0,"",M69/$M$9)))</f>
        <v/>
      </c>
      <c r="O69" s="54"/>
      <c r="P69" s="55" t="str">
        <f aca="false">IF(O69="","",IF($O$9="","",IF($O$9=0,"",O69/$O$9)))</f>
        <v/>
      </c>
      <c r="Q69" s="54"/>
      <c r="R69" s="55" t="str">
        <f aca="false">IF(Q69="","",IF($Q$9="","",IF($Q$9=0,"",Q69/$Q$9)))</f>
        <v/>
      </c>
      <c r="S69" s="56"/>
      <c r="T69" s="55" t="str">
        <f aca="false">IF(S69="","",IF($S$9="","",IF($S$9=0,"",S69/$S$9)))</f>
        <v/>
      </c>
      <c r="U69" s="54"/>
      <c r="V69" s="55" t="str">
        <f aca="false">IF(U69="","",IF($U$9="","",IF($U$9=0,"",U69/$U$9)))</f>
        <v/>
      </c>
      <c r="W69" s="54"/>
      <c r="X69" s="55" t="str">
        <f aca="false">IF(W69="","",IF($W$9="","",IF($W$9=0,"",W69/$W$9)))</f>
        <v/>
      </c>
    </row>
    <row r="70" customFormat="false" ht="15" hidden="false" customHeight="false" outlineLevel="0" collapsed="false">
      <c r="A70" s="28" t="n">
        <v>60</v>
      </c>
      <c r="B70" s="57" t="n">
        <v>46601</v>
      </c>
      <c r="C70" s="62" t="n">
        <f aca="false">$B$5/$B$8</f>
        <v>246.913580246914</v>
      </c>
      <c r="D70" s="52"/>
      <c r="E70" s="62" t="n">
        <f aca="false">SUM($C$11:C70)</f>
        <v>14814.8148148148</v>
      </c>
      <c r="F70" s="62" t="n">
        <f aca="false">SUM($D$11:D70)</f>
        <v>0</v>
      </c>
      <c r="G70" s="59" t="str">
        <f aca="false">IF(COUNT($D$11:D70)=0,"",F70/E70)</f>
        <v/>
      </c>
      <c r="H70" s="14" t="str">
        <f aca="false">IF(G70="","",IF(G70&gt;=0.95,"En meta",IF(G70&gt;=0.8,"Riesgo","Atrasado")))</f>
        <v/>
      </c>
      <c r="I70" s="54"/>
      <c r="J70" s="60" t="str">
        <f aca="false">IF(I70="","",IF($I$9="","",IF($I$9=0,"",I70/$I$9)))</f>
        <v/>
      </c>
      <c r="K70" s="54"/>
      <c r="L70" s="60" t="str">
        <f aca="false">IF(K70="","",IF($K$9="","",IF($K$9=0,"",K70/$K$9)))</f>
        <v/>
      </c>
      <c r="M70" s="54"/>
      <c r="N70" s="60" t="str">
        <f aca="false">IF(M70="","",IF($M$9="","",IF($M$9=0,"",M70/$M$9)))</f>
        <v/>
      </c>
      <c r="O70" s="54"/>
      <c r="P70" s="60" t="str">
        <f aca="false">IF(O70="","",IF($O$9="","",IF($O$9=0,"",O70/$O$9)))</f>
        <v/>
      </c>
      <c r="Q70" s="54"/>
      <c r="R70" s="60" t="str">
        <f aca="false">IF(Q70="","",IF($Q$9="","",IF($Q$9=0,"",Q70/$Q$9)))</f>
        <v/>
      </c>
      <c r="S70" s="56"/>
      <c r="T70" s="60" t="str">
        <f aca="false">IF(S70="","",IF($S$9="","",IF($S$9=0,"",S70/$S$9)))</f>
        <v/>
      </c>
      <c r="U70" s="54"/>
      <c r="V70" s="60" t="str">
        <f aca="false">IF(U70="","",IF($U$9="","",IF($U$9=0,"",U70/$U$9)))</f>
        <v/>
      </c>
      <c r="W70" s="54"/>
      <c r="X70" s="60" t="str">
        <f aca="false">IF(W70="","",IF($W$9="","",IF($W$9=0,"",W70/$W$9)))</f>
        <v/>
      </c>
    </row>
    <row r="71" customFormat="false" ht="15" hidden="false" customHeight="false" outlineLevel="0" collapsed="false">
      <c r="A71" s="5" t="n">
        <v>61</v>
      </c>
      <c r="B71" s="50" t="n">
        <v>46608</v>
      </c>
      <c r="C71" s="61" t="n">
        <f aca="false">$B$5/$B$8</f>
        <v>246.913580246914</v>
      </c>
      <c r="D71" s="52"/>
      <c r="E71" s="61" t="n">
        <f aca="false">SUM($C$11:C71)</f>
        <v>15061.7283950617</v>
      </c>
      <c r="F71" s="61" t="n">
        <f aca="false">SUM($D$11:D71)</f>
        <v>0</v>
      </c>
      <c r="G71" s="53" t="str">
        <f aca="false">IF(COUNT($D$11:D71)=0,"",F71/E71)</f>
        <v/>
      </c>
      <c r="H71" s="13" t="str">
        <f aca="false">IF(G71="","",IF(G71&gt;=0.95,"En meta",IF(G71&gt;=0.8,"Riesgo","Atrasado")))</f>
        <v/>
      </c>
      <c r="I71" s="54"/>
      <c r="J71" s="55" t="str">
        <f aca="false">IF(I71="","",IF($I$9="","",IF($I$9=0,"",I71/$I$9)))</f>
        <v/>
      </c>
      <c r="K71" s="54"/>
      <c r="L71" s="55" t="str">
        <f aca="false">IF(K71="","",IF($K$9="","",IF($K$9=0,"",K71/$K$9)))</f>
        <v/>
      </c>
      <c r="M71" s="54"/>
      <c r="N71" s="55" t="str">
        <f aca="false">IF(M71="","",IF($M$9="","",IF($M$9=0,"",M71/$M$9)))</f>
        <v/>
      </c>
      <c r="O71" s="54"/>
      <c r="P71" s="55" t="str">
        <f aca="false">IF(O71="","",IF($O$9="","",IF($O$9=0,"",O71/$O$9)))</f>
        <v/>
      </c>
      <c r="Q71" s="54"/>
      <c r="R71" s="55" t="str">
        <f aca="false">IF(Q71="","",IF($Q$9="","",IF($Q$9=0,"",Q71/$Q$9)))</f>
        <v/>
      </c>
      <c r="S71" s="56"/>
      <c r="T71" s="55" t="str">
        <f aca="false">IF(S71="","",IF($S$9="","",IF($S$9=0,"",S71/$S$9)))</f>
        <v/>
      </c>
      <c r="U71" s="54"/>
      <c r="V71" s="55" t="str">
        <f aca="false">IF(U71="","",IF($U$9="","",IF($U$9=0,"",U71/$U$9)))</f>
        <v/>
      </c>
      <c r="W71" s="54"/>
      <c r="X71" s="55" t="str">
        <f aca="false">IF(W71="","",IF($W$9="","",IF($W$9=0,"",W71/$W$9)))</f>
        <v/>
      </c>
    </row>
    <row r="72" customFormat="false" ht="15" hidden="false" customHeight="false" outlineLevel="0" collapsed="false">
      <c r="A72" s="28" t="n">
        <v>62</v>
      </c>
      <c r="B72" s="57" t="n">
        <v>46615</v>
      </c>
      <c r="C72" s="62" t="n">
        <f aca="false">$B$5/$B$8</f>
        <v>246.913580246914</v>
      </c>
      <c r="D72" s="52"/>
      <c r="E72" s="62" t="n">
        <f aca="false">SUM($C$11:C72)</f>
        <v>15308.6419753086</v>
      </c>
      <c r="F72" s="62" t="n">
        <f aca="false">SUM($D$11:D72)</f>
        <v>0</v>
      </c>
      <c r="G72" s="59" t="str">
        <f aca="false">IF(COUNT($D$11:D72)=0,"",F72/E72)</f>
        <v/>
      </c>
      <c r="H72" s="14" t="str">
        <f aca="false">IF(G72="","",IF(G72&gt;=0.95,"En meta",IF(G72&gt;=0.8,"Riesgo","Atrasado")))</f>
        <v/>
      </c>
      <c r="I72" s="54"/>
      <c r="J72" s="60" t="str">
        <f aca="false">IF(I72="","",IF($I$9="","",IF($I$9=0,"",I72/$I$9)))</f>
        <v/>
      </c>
      <c r="K72" s="54"/>
      <c r="L72" s="60" t="str">
        <f aca="false">IF(K72="","",IF($K$9="","",IF($K$9=0,"",K72/$K$9)))</f>
        <v/>
      </c>
      <c r="M72" s="54"/>
      <c r="N72" s="60" t="str">
        <f aca="false">IF(M72="","",IF($M$9="","",IF($M$9=0,"",M72/$M$9)))</f>
        <v/>
      </c>
      <c r="O72" s="54"/>
      <c r="P72" s="60" t="str">
        <f aca="false">IF(O72="","",IF($O$9="","",IF($O$9=0,"",O72/$O$9)))</f>
        <v/>
      </c>
      <c r="Q72" s="54"/>
      <c r="R72" s="60" t="str">
        <f aca="false">IF(Q72="","",IF($Q$9="","",IF($Q$9=0,"",Q72/$Q$9)))</f>
        <v/>
      </c>
      <c r="S72" s="56"/>
      <c r="T72" s="60" t="str">
        <f aca="false">IF(S72="","",IF($S$9="","",IF($S$9=0,"",S72/$S$9)))</f>
        <v/>
      </c>
      <c r="U72" s="54"/>
      <c r="V72" s="60" t="str">
        <f aca="false">IF(U72="","",IF($U$9="","",IF($U$9=0,"",U72/$U$9)))</f>
        <v/>
      </c>
      <c r="W72" s="54"/>
      <c r="X72" s="60" t="str">
        <f aca="false">IF(W72="","",IF($W$9="","",IF($W$9=0,"",W72/$W$9)))</f>
        <v/>
      </c>
    </row>
    <row r="73" customFormat="false" ht="15" hidden="false" customHeight="false" outlineLevel="0" collapsed="false">
      <c r="A73" s="5" t="n">
        <v>63</v>
      </c>
      <c r="B73" s="50" t="n">
        <v>46622</v>
      </c>
      <c r="C73" s="61" t="n">
        <f aca="false">$B$5/$B$8</f>
        <v>246.913580246914</v>
      </c>
      <c r="D73" s="52"/>
      <c r="E73" s="61" t="n">
        <f aca="false">SUM($C$11:C73)</f>
        <v>15555.5555555556</v>
      </c>
      <c r="F73" s="61" t="n">
        <f aca="false">SUM($D$11:D73)</f>
        <v>0</v>
      </c>
      <c r="G73" s="53" t="str">
        <f aca="false">IF(COUNT($D$11:D73)=0,"",F73/E73)</f>
        <v/>
      </c>
      <c r="H73" s="13" t="str">
        <f aca="false">IF(G73="","",IF(G73&gt;=0.95,"En meta",IF(G73&gt;=0.8,"Riesgo","Atrasado")))</f>
        <v/>
      </c>
      <c r="I73" s="54"/>
      <c r="J73" s="55" t="str">
        <f aca="false">IF(I73="","",IF($I$9="","",IF($I$9=0,"",I73/$I$9)))</f>
        <v/>
      </c>
      <c r="K73" s="54"/>
      <c r="L73" s="55" t="str">
        <f aca="false">IF(K73="","",IF($K$9="","",IF($K$9=0,"",K73/$K$9)))</f>
        <v/>
      </c>
      <c r="M73" s="54"/>
      <c r="N73" s="55" t="str">
        <f aca="false">IF(M73="","",IF($M$9="","",IF($M$9=0,"",M73/$M$9)))</f>
        <v/>
      </c>
      <c r="O73" s="54"/>
      <c r="P73" s="55" t="str">
        <f aca="false">IF(O73="","",IF($O$9="","",IF($O$9=0,"",O73/$O$9)))</f>
        <v/>
      </c>
      <c r="Q73" s="54"/>
      <c r="R73" s="55" t="str">
        <f aca="false">IF(Q73="","",IF($Q$9="","",IF($Q$9=0,"",Q73/$Q$9)))</f>
        <v/>
      </c>
      <c r="S73" s="56"/>
      <c r="T73" s="55" t="str">
        <f aca="false">IF(S73="","",IF($S$9="","",IF($S$9=0,"",S73/$S$9)))</f>
        <v/>
      </c>
      <c r="U73" s="54"/>
      <c r="V73" s="55" t="str">
        <f aca="false">IF(U73="","",IF($U$9="","",IF($U$9=0,"",U73/$U$9)))</f>
        <v/>
      </c>
      <c r="W73" s="54"/>
      <c r="X73" s="55" t="str">
        <f aca="false">IF(W73="","",IF($W$9="","",IF($W$9=0,"",W73/$W$9)))</f>
        <v/>
      </c>
    </row>
    <row r="74" customFormat="false" ht="15" hidden="false" customHeight="false" outlineLevel="0" collapsed="false">
      <c r="A74" s="28" t="n">
        <v>64</v>
      </c>
      <c r="B74" s="57" t="n">
        <v>46629</v>
      </c>
      <c r="C74" s="62" t="n">
        <f aca="false">$B$5/$B$8</f>
        <v>246.913580246914</v>
      </c>
      <c r="D74" s="52"/>
      <c r="E74" s="62" t="n">
        <f aca="false">SUM($C$11:C74)</f>
        <v>15802.4691358025</v>
      </c>
      <c r="F74" s="62" t="n">
        <f aca="false">SUM($D$11:D74)</f>
        <v>0</v>
      </c>
      <c r="G74" s="59" t="str">
        <f aca="false">IF(COUNT($D$11:D74)=0,"",F74/E74)</f>
        <v/>
      </c>
      <c r="H74" s="14" t="str">
        <f aca="false">IF(G74="","",IF(G74&gt;=0.95,"En meta",IF(G74&gt;=0.8,"Riesgo","Atrasado")))</f>
        <v/>
      </c>
      <c r="I74" s="54"/>
      <c r="J74" s="60" t="str">
        <f aca="false">IF(I74="","",IF($I$9="","",IF($I$9=0,"",I74/$I$9)))</f>
        <v/>
      </c>
      <c r="K74" s="54"/>
      <c r="L74" s="60" t="str">
        <f aca="false">IF(K74="","",IF($K$9="","",IF($K$9=0,"",K74/$K$9)))</f>
        <v/>
      </c>
      <c r="M74" s="54"/>
      <c r="N74" s="60" t="str">
        <f aca="false">IF(M74="","",IF($M$9="","",IF($M$9=0,"",M74/$M$9)))</f>
        <v/>
      </c>
      <c r="O74" s="54"/>
      <c r="P74" s="60" t="str">
        <f aca="false">IF(O74="","",IF($O$9="","",IF($O$9=0,"",O74/$O$9)))</f>
        <v/>
      </c>
      <c r="Q74" s="54"/>
      <c r="R74" s="60" t="str">
        <f aca="false">IF(Q74="","",IF($Q$9="","",IF($Q$9=0,"",Q74/$Q$9)))</f>
        <v/>
      </c>
      <c r="S74" s="56"/>
      <c r="T74" s="60" t="str">
        <f aca="false">IF(S74="","",IF($S$9="","",IF($S$9=0,"",S74/$S$9)))</f>
        <v/>
      </c>
      <c r="U74" s="54"/>
      <c r="V74" s="60" t="str">
        <f aca="false">IF(U74="","",IF($U$9="","",IF($U$9=0,"",U74/$U$9)))</f>
        <v/>
      </c>
      <c r="W74" s="54"/>
      <c r="X74" s="60" t="str">
        <f aca="false">IF(W74="","",IF($W$9="","",IF($W$9=0,"",W74/$W$9)))</f>
        <v/>
      </c>
    </row>
    <row r="75" customFormat="false" ht="15" hidden="false" customHeight="false" outlineLevel="0" collapsed="false">
      <c r="A75" s="5" t="n">
        <v>65</v>
      </c>
      <c r="B75" s="50" t="n">
        <v>46636</v>
      </c>
      <c r="C75" s="61" t="n">
        <f aca="false">$B$5/$B$8</f>
        <v>246.913580246914</v>
      </c>
      <c r="D75" s="52"/>
      <c r="E75" s="61" t="n">
        <f aca="false">SUM($C$11:C75)</f>
        <v>16049.3827160494</v>
      </c>
      <c r="F75" s="61" t="n">
        <f aca="false">SUM($D$11:D75)</f>
        <v>0</v>
      </c>
      <c r="G75" s="53" t="str">
        <f aca="false">IF(COUNT($D$11:D75)=0,"",F75/E75)</f>
        <v/>
      </c>
      <c r="H75" s="13" t="str">
        <f aca="false">IF(G75="","",IF(G75&gt;=0.95,"En meta",IF(G75&gt;=0.8,"Riesgo","Atrasado")))</f>
        <v/>
      </c>
      <c r="I75" s="54"/>
      <c r="J75" s="55" t="str">
        <f aca="false">IF(I75="","",IF($I$9="","",IF($I$9=0,"",I75/$I$9)))</f>
        <v/>
      </c>
      <c r="K75" s="54"/>
      <c r="L75" s="55" t="str">
        <f aca="false">IF(K75="","",IF($K$9="","",IF($K$9=0,"",K75/$K$9)))</f>
        <v/>
      </c>
      <c r="M75" s="54"/>
      <c r="N75" s="55" t="str">
        <f aca="false">IF(M75="","",IF($M$9="","",IF($M$9=0,"",M75/$M$9)))</f>
        <v/>
      </c>
      <c r="O75" s="54"/>
      <c r="P75" s="55" t="str">
        <f aca="false">IF(O75="","",IF($O$9="","",IF($O$9=0,"",O75/$O$9)))</f>
        <v/>
      </c>
      <c r="Q75" s="54"/>
      <c r="R75" s="55" t="str">
        <f aca="false">IF(Q75="","",IF($Q$9="","",IF($Q$9=0,"",Q75/$Q$9)))</f>
        <v/>
      </c>
      <c r="S75" s="56"/>
      <c r="T75" s="55" t="str">
        <f aca="false">IF(S75="","",IF($S$9="","",IF($S$9=0,"",S75/$S$9)))</f>
        <v/>
      </c>
      <c r="U75" s="54"/>
      <c r="V75" s="55" t="str">
        <f aca="false">IF(U75="","",IF($U$9="","",IF($U$9=0,"",U75/$U$9)))</f>
        <v/>
      </c>
      <c r="W75" s="54"/>
      <c r="X75" s="55" t="str">
        <f aca="false">IF(W75="","",IF($W$9="","",IF($W$9=0,"",W75/$W$9)))</f>
        <v/>
      </c>
    </row>
    <row r="76" customFormat="false" ht="15" hidden="false" customHeight="false" outlineLevel="0" collapsed="false">
      <c r="A76" s="28" t="n">
        <v>66</v>
      </c>
      <c r="B76" s="57" t="n">
        <v>46643</v>
      </c>
      <c r="C76" s="62" t="n">
        <f aca="false">$B$5/$B$8</f>
        <v>246.913580246914</v>
      </c>
      <c r="D76" s="52"/>
      <c r="E76" s="62" t="n">
        <f aca="false">SUM($C$11:C76)</f>
        <v>16296.2962962963</v>
      </c>
      <c r="F76" s="62" t="n">
        <f aca="false">SUM($D$11:D76)</f>
        <v>0</v>
      </c>
      <c r="G76" s="59" t="str">
        <f aca="false">IF(COUNT($D$11:D76)=0,"",F76/E76)</f>
        <v/>
      </c>
      <c r="H76" s="14" t="str">
        <f aca="false">IF(G76="","",IF(G76&gt;=0.95,"En meta",IF(G76&gt;=0.8,"Riesgo","Atrasado")))</f>
        <v/>
      </c>
      <c r="I76" s="54"/>
      <c r="J76" s="60" t="str">
        <f aca="false">IF(I76="","",IF($I$9="","",IF($I$9=0,"",I76/$I$9)))</f>
        <v/>
      </c>
      <c r="K76" s="54"/>
      <c r="L76" s="60" t="str">
        <f aca="false">IF(K76="","",IF($K$9="","",IF($K$9=0,"",K76/$K$9)))</f>
        <v/>
      </c>
      <c r="M76" s="54"/>
      <c r="N76" s="60" t="str">
        <f aca="false">IF(M76="","",IF($M$9="","",IF($M$9=0,"",M76/$M$9)))</f>
        <v/>
      </c>
      <c r="O76" s="54"/>
      <c r="P76" s="60" t="str">
        <f aca="false">IF(O76="","",IF($O$9="","",IF($O$9=0,"",O76/$O$9)))</f>
        <v/>
      </c>
      <c r="Q76" s="54"/>
      <c r="R76" s="60" t="str">
        <f aca="false">IF(Q76="","",IF($Q$9="","",IF($Q$9=0,"",Q76/$Q$9)))</f>
        <v/>
      </c>
      <c r="S76" s="56"/>
      <c r="T76" s="60" t="str">
        <f aca="false">IF(S76="","",IF($S$9="","",IF($S$9=0,"",S76/$S$9)))</f>
        <v/>
      </c>
      <c r="U76" s="54"/>
      <c r="V76" s="60" t="str">
        <f aca="false">IF(U76="","",IF($U$9="","",IF($U$9=0,"",U76/$U$9)))</f>
        <v/>
      </c>
      <c r="W76" s="54"/>
      <c r="X76" s="60" t="str">
        <f aca="false">IF(W76="","",IF($W$9="","",IF($W$9=0,"",W76/$W$9)))</f>
        <v/>
      </c>
    </row>
    <row r="77" customFormat="false" ht="15" hidden="false" customHeight="false" outlineLevel="0" collapsed="false">
      <c r="A77" s="5" t="n">
        <v>67</v>
      </c>
      <c r="B77" s="50" t="n">
        <v>46650</v>
      </c>
      <c r="C77" s="61" t="n">
        <f aca="false">$B$5/$B$8</f>
        <v>246.913580246914</v>
      </c>
      <c r="D77" s="52"/>
      <c r="E77" s="61" t="n">
        <f aca="false">SUM($C$11:C77)</f>
        <v>16543.2098765432</v>
      </c>
      <c r="F77" s="61" t="n">
        <f aca="false">SUM($D$11:D77)</f>
        <v>0</v>
      </c>
      <c r="G77" s="53" t="str">
        <f aca="false">IF(COUNT($D$11:D77)=0,"",F77/E77)</f>
        <v/>
      </c>
      <c r="H77" s="13" t="str">
        <f aca="false">IF(G77="","",IF(G77&gt;=0.95,"En meta",IF(G77&gt;=0.8,"Riesgo","Atrasado")))</f>
        <v/>
      </c>
      <c r="I77" s="54"/>
      <c r="J77" s="55" t="str">
        <f aca="false">IF(I77="","",IF($I$9="","",IF($I$9=0,"",I77/$I$9)))</f>
        <v/>
      </c>
      <c r="K77" s="54"/>
      <c r="L77" s="55" t="str">
        <f aca="false">IF(K77="","",IF($K$9="","",IF($K$9=0,"",K77/$K$9)))</f>
        <v/>
      </c>
      <c r="M77" s="54"/>
      <c r="N77" s="55" t="str">
        <f aca="false">IF(M77="","",IF($M$9="","",IF($M$9=0,"",M77/$M$9)))</f>
        <v/>
      </c>
      <c r="O77" s="54"/>
      <c r="P77" s="55" t="str">
        <f aca="false">IF(O77="","",IF($O$9="","",IF($O$9=0,"",O77/$O$9)))</f>
        <v/>
      </c>
      <c r="Q77" s="54"/>
      <c r="R77" s="55" t="str">
        <f aca="false">IF(Q77="","",IF($Q$9="","",IF($Q$9=0,"",Q77/$Q$9)))</f>
        <v/>
      </c>
      <c r="S77" s="56"/>
      <c r="T77" s="55" t="str">
        <f aca="false">IF(S77="","",IF($S$9="","",IF($S$9=0,"",S77/$S$9)))</f>
        <v/>
      </c>
      <c r="U77" s="54"/>
      <c r="V77" s="55" t="str">
        <f aca="false">IF(U77="","",IF($U$9="","",IF($U$9=0,"",U77/$U$9)))</f>
        <v/>
      </c>
      <c r="W77" s="54"/>
      <c r="X77" s="55" t="str">
        <f aca="false">IF(W77="","",IF($W$9="","",IF($W$9=0,"",W77/$W$9)))</f>
        <v/>
      </c>
    </row>
    <row r="78" customFormat="false" ht="15" hidden="false" customHeight="false" outlineLevel="0" collapsed="false">
      <c r="A78" s="28" t="n">
        <v>68</v>
      </c>
      <c r="B78" s="57" t="n">
        <v>46657</v>
      </c>
      <c r="C78" s="62" t="n">
        <f aca="false">$B$5/$B$8</f>
        <v>246.913580246914</v>
      </c>
      <c r="D78" s="52"/>
      <c r="E78" s="62" t="n">
        <f aca="false">SUM($C$11:C78)</f>
        <v>16790.1234567901</v>
      </c>
      <c r="F78" s="62" t="n">
        <f aca="false">SUM($D$11:D78)</f>
        <v>0</v>
      </c>
      <c r="G78" s="59" t="str">
        <f aca="false">IF(COUNT($D$11:D78)=0,"",F78/E78)</f>
        <v/>
      </c>
      <c r="H78" s="14" t="str">
        <f aca="false">IF(G78="","",IF(G78&gt;=0.95,"En meta",IF(G78&gt;=0.8,"Riesgo","Atrasado")))</f>
        <v/>
      </c>
      <c r="I78" s="54"/>
      <c r="J78" s="60" t="str">
        <f aca="false">IF(I78="","",IF($I$9="","",IF($I$9=0,"",I78/$I$9)))</f>
        <v/>
      </c>
      <c r="K78" s="54"/>
      <c r="L78" s="60" t="str">
        <f aca="false">IF(K78="","",IF($K$9="","",IF($K$9=0,"",K78/$K$9)))</f>
        <v/>
      </c>
      <c r="M78" s="54"/>
      <c r="N78" s="60" t="str">
        <f aca="false">IF(M78="","",IF($M$9="","",IF($M$9=0,"",M78/$M$9)))</f>
        <v/>
      </c>
      <c r="O78" s="54"/>
      <c r="P78" s="60" t="str">
        <f aca="false">IF(O78="","",IF($O$9="","",IF($O$9=0,"",O78/$O$9)))</f>
        <v/>
      </c>
      <c r="Q78" s="54"/>
      <c r="R78" s="60" t="str">
        <f aca="false">IF(Q78="","",IF($Q$9="","",IF($Q$9=0,"",Q78/$Q$9)))</f>
        <v/>
      </c>
      <c r="S78" s="56"/>
      <c r="T78" s="60" t="str">
        <f aca="false">IF(S78="","",IF($S$9="","",IF($S$9=0,"",S78/$S$9)))</f>
        <v/>
      </c>
      <c r="U78" s="54"/>
      <c r="V78" s="60" t="str">
        <f aca="false">IF(U78="","",IF($U$9="","",IF($U$9=0,"",U78/$U$9)))</f>
        <v/>
      </c>
      <c r="W78" s="54"/>
      <c r="X78" s="60" t="str">
        <f aca="false">IF(W78="","",IF($W$9="","",IF($W$9=0,"",W78/$W$9)))</f>
        <v/>
      </c>
    </row>
    <row r="79" customFormat="false" ht="15" hidden="false" customHeight="false" outlineLevel="0" collapsed="false">
      <c r="A79" s="5" t="n">
        <v>69</v>
      </c>
      <c r="B79" s="50" t="n">
        <v>46664</v>
      </c>
      <c r="C79" s="61" t="n">
        <f aca="false">$B$5/$B$8</f>
        <v>246.913580246914</v>
      </c>
      <c r="D79" s="52"/>
      <c r="E79" s="61" t="n">
        <f aca="false">SUM($C$11:C79)</f>
        <v>17037.037037037</v>
      </c>
      <c r="F79" s="61" t="n">
        <f aca="false">SUM($D$11:D79)</f>
        <v>0</v>
      </c>
      <c r="G79" s="53" t="str">
        <f aca="false">IF(COUNT($D$11:D79)=0,"",F79/E79)</f>
        <v/>
      </c>
      <c r="H79" s="13" t="str">
        <f aca="false">IF(G79="","",IF(G79&gt;=0.95,"En meta",IF(G79&gt;=0.8,"Riesgo","Atrasado")))</f>
        <v/>
      </c>
      <c r="I79" s="54"/>
      <c r="J79" s="55" t="str">
        <f aca="false">IF(I79="","",IF($I$9="","",IF($I$9=0,"",I79/$I$9)))</f>
        <v/>
      </c>
      <c r="K79" s="54"/>
      <c r="L79" s="55" t="str">
        <f aca="false">IF(K79="","",IF($K$9="","",IF($K$9=0,"",K79/$K$9)))</f>
        <v/>
      </c>
      <c r="M79" s="54"/>
      <c r="N79" s="55" t="str">
        <f aca="false">IF(M79="","",IF($M$9="","",IF($M$9=0,"",M79/$M$9)))</f>
        <v/>
      </c>
      <c r="O79" s="54"/>
      <c r="P79" s="55" t="str">
        <f aca="false">IF(O79="","",IF($O$9="","",IF($O$9=0,"",O79/$O$9)))</f>
        <v/>
      </c>
      <c r="Q79" s="54"/>
      <c r="R79" s="55" t="str">
        <f aca="false">IF(Q79="","",IF($Q$9="","",IF($Q$9=0,"",Q79/$Q$9)))</f>
        <v/>
      </c>
      <c r="S79" s="56"/>
      <c r="T79" s="55" t="str">
        <f aca="false">IF(S79="","",IF($S$9="","",IF($S$9=0,"",S79/$S$9)))</f>
        <v/>
      </c>
      <c r="U79" s="54"/>
      <c r="V79" s="55" t="str">
        <f aca="false">IF(U79="","",IF($U$9="","",IF($U$9=0,"",U79/$U$9)))</f>
        <v/>
      </c>
      <c r="W79" s="54"/>
      <c r="X79" s="55" t="str">
        <f aca="false">IF(W79="","",IF($W$9="","",IF($W$9=0,"",W79/$W$9)))</f>
        <v/>
      </c>
    </row>
    <row r="80" customFormat="false" ht="15" hidden="false" customHeight="false" outlineLevel="0" collapsed="false">
      <c r="A80" s="28" t="n">
        <v>70</v>
      </c>
      <c r="B80" s="57" t="n">
        <v>46671</v>
      </c>
      <c r="C80" s="62" t="n">
        <f aca="false">$B$5/$B$8</f>
        <v>246.913580246914</v>
      </c>
      <c r="D80" s="52"/>
      <c r="E80" s="62" t="n">
        <f aca="false">SUM($C$11:C80)</f>
        <v>17283.950617284</v>
      </c>
      <c r="F80" s="62" t="n">
        <f aca="false">SUM($D$11:D80)</f>
        <v>0</v>
      </c>
      <c r="G80" s="59" t="str">
        <f aca="false">IF(COUNT($D$11:D80)=0,"",F80/E80)</f>
        <v/>
      </c>
      <c r="H80" s="14" t="str">
        <f aca="false">IF(G80="","",IF(G80&gt;=0.95,"En meta",IF(G80&gt;=0.8,"Riesgo","Atrasado")))</f>
        <v/>
      </c>
      <c r="I80" s="54"/>
      <c r="J80" s="60" t="str">
        <f aca="false">IF(I80="","",IF($I$9="","",IF($I$9=0,"",I80/$I$9)))</f>
        <v/>
      </c>
      <c r="K80" s="54"/>
      <c r="L80" s="60" t="str">
        <f aca="false">IF(K80="","",IF($K$9="","",IF($K$9=0,"",K80/$K$9)))</f>
        <v/>
      </c>
      <c r="M80" s="54"/>
      <c r="N80" s="60" t="str">
        <f aca="false">IF(M80="","",IF($M$9="","",IF($M$9=0,"",M80/$M$9)))</f>
        <v/>
      </c>
      <c r="O80" s="54"/>
      <c r="P80" s="60" t="str">
        <f aca="false">IF(O80="","",IF($O$9="","",IF($O$9=0,"",O80/$O$9)))</f>
        <v/>
      </c>
      <c r="Q80" s="54"/>
      <c r="R80" s="60" t="str">
        <f aca="false">IF(Q80="","",IF($Q$9="","",IF($Q$9=0,"",Q80/$Q$9)))</f>
        <v/>
      </c>
      <c r="S80" s="56"/>
      <c r="T80" s="60" t="str">
        <f aca="false">IF(S80="","",IF($S$9="","",IF($S$9=0,"",S80/$S$9)))</f>
        <v/>
      </c>
      <c r="U80" s="54"/>
      <c r="V80" s="60" t="str">
        <f aca="false">IF(U80="","",IF($U$9="","",IF($U$9=0,"",U80/$U$9)))</f>
        <v/>
      </c>
      <c r="W80" s="54"/>
      <c r="X80" s="60" t="str">
        <f aca="false">IF(W80="","",IF($W$9="","",IF($W$9=0,"",W80/$W$9)))</f>
        <v/>
      </c>
    </row>
    <row r="81" customFormat="false" ht="15" hidden="false" customHeight="false" outlineLevel="0" collapsed="false">
      <c r="A81" s="5" t="n">
        <v>71</v>
      </c>
      <c r="B81" s="50" t="n">
        <v>46678</v>
      </c>
      <c r="C81" s="61" t="n">
        <f aca="false">$B$5/$B$8</f>
        <v>246.913580246914</v>
      </c>
      <c r="D81" s="52"/>
      <c r="E81" s="61" t="n">
        <f aca="false">SUM($C$11:C81)</f>
        <v>17530.8641975309</v>
      </c>
      <c r="F81" s="61" t="n">
        <f aca="false">SUM($D$11:D81)</f>
        <v>0</v>
      </c>
      <c r="G81" s="53" t="str">
        <f aca="false">IF(COUNT($D$11:D81)=0,"",F81/E81)</f>
        <v/>
      </c>
      <c r="H81" s="13" t="str">
        <f aca="false">IF(G81="","",IF(G81&gt;=0.95,"En meta",IF(G81&gt;=0.8,"Riesgo","Atrasado")))</f>
        <v/>
      </c>
      <c r="I81" s="54"/>
      <c r="J81" s="55" t="str">
        <f aca="false">IF(I81="","",IF($I$9="","",IF($I$9=0,"",I81/$I$9)))</f>
        <v/>
      </c>
      <c r="K81" s="54"/>
      <c r="L81" s="55" t="str">
        <f aca="false">IF(K81="","",IF($K$9="","",IF($K$9=0,"",K81/$K$9)))</f>
        <v/>
      </c>
      <c r="M81" s="54"/>
      <c r="N81" s="55" t="str">
        <f aca="false">IF(M81="","",IF($M$9="","",IF($M$9=0,"",M81/$M$9)))</f>
        <v/>
      </c>
      <c r="O81" s="54"/>
      <c r="P81" s="55" t="str">
        <f aca="false">IF(O81="","",IF($O$9="","",IF($O$9=0,"",O81/$O$9)))</f>
        <v/>
      </c>
      <c r="Q81" s="54"/>
      <c r="R81" s="55" t="str">
        <f aca="false">IF(Q81="","",IF($Q$9="","",IF($Q$9=0,"",Q81/$Q$9)))</f>
        <v/>
      </c>
      <c r="S81" s="56"/>
      <c r="T81" s="55" t="str">
        <f aca="false">IF(S81="","",IF($S$9="","",IF($S$9=0,"",S81/$S$9)))</f>
        <v/>
      </c>
      <c r="U81" s="54"/>
      <c r="V81" s="55" t="str">
        <f aca="false">IF(U81="","",IF($U$9="","",IF($U$9=0,"",U81/$U$9)))</f>
        <v/>
      </c>
      <c r="W81" s="54"/>
      <c r="X81" s="55" t="str">
        <f aca="false">IF(W81="","",IF($W$9="","",IF($W$9=0,"",W81/$W$9)))</f>
        <v/>
      </c>
    </row>
    <row r="82" customFormat="false" ht="15" hidden="false" customHeight="false" outlineLevel="0" collapsed="false">
      <c r="A82" s="28" t="n">
        <v>72</v>
      </c>
      <c r="B82" s="57" t="n">
        <v>46685</v>
      </c>
      <c r="C82" s="62" t="n">
        <f aca="false">$B$5/$B$8</f>
        <v>246.913580246914</v>
      </c>
      <c r="D82" s="52"/>
      <c r="E82" s="62" t="n">
        <f aca="false">SUM($C$11:C82)</f>
        <v>17777.7777777778</v>
      </c>
      <c r="F82" s="62" t="n">
        <f aca="false">SUM($D$11:D82)</f>
        <v>0</v>
      </c>
      <c r="G82" s="59" t="str">
        <f aca="false">IF(COUNT($D$11:D82)=0,"",F82/E82)</f>
        <v/>
      </c>
      <c r="H82" s="14" t="str">
        <f aca="false">IF(G82="","",IF(G82&gt;=0.95,"En meta",IF(G82&gt;=0.8,"Riesgo","Atrasado")))</f>
        <v/>
      </c>
      <c r="I82" s="54"/>
      <c r="J82" s="60" t="str">
        <f aca="false">IF(I82="","",IF($I$9="","",IF($I$9=0,"",I82/$I$9)))</f>
        <v/>
      </c>
      <c r="K82" s="54"/>
      <c r="L82" s="60" t="str">
        <f aca="false">IF(K82="","",IF($K$9="","",IF($K$9=0,"",K82/$K$9)))</f>
        <v/>
      </c>
      <c r="M82" s="54"/>
      <c r="N82" s="60" t="str">
        <f aca="false">IF(M82="","",IF($M$9="","",IF($M$9=0,"",M82/$M$9)))</f>
        <v/>
      </c>
      <c r="O82" s="54"/>
      <c r="P82" s="60" t="str">
        <f aca="false">IF(O82="","",IF($O$9="","",IF($O$9=0,"",O82/$O$9)))</f>
        <v/>
      </c>
      <c r="Q82" s="54"/>
      <c r="R82" s="60" t="str">
        <f aca="false">IF(Q82="","",IF($Q$9="","",IF($Q$9=0,"",Q82/$Q$9)))</f>
        <v/>
      </c>
      <c r="S82" s="56"/>
      <c r="T82" s="60" t="str">
        <f aca="false">IF(S82="","",IF($S$9="","",IF($S$9=0,"",S82/$S$9)))</f>
        <v/>
      </c>
      <c r="U82" s="54"/>
      <c r="V82" s="60" t="str">
        <f aca="false">IF(U82="","",IF($U$9="","",IF($U$9=0,"",U82/$U$9)))</f>
        <v/>
      </c>
      <c r="W82" s="54"/>
      <c r="X82" s="60" t="str">
        <f aca="false">IF(W82="","",IF($W$9="","",IF($W$9=0,"",W82/$W$9)))</f>
        <v/>
      </c>
    </row>
    <row r="83" customFormat="false" ht="15" hidden="false" customHeight="false" outlineLevel="0" collapsed="false">
      <c r="A83" s="5" t="n">
        <v>73</v>
      </c>
      <c r="B83" s="50" t="n">
        <v>46692</v>
      </c>
      <c r="C83" s="61" t="n">
        <f aca="false">$B$5/$B$8</f>
        <v>246.913580246914</v>
      </c>
      <c r="D83" s="52"/>
      <c r="E83" s="61" t="n">
        <f aca="false">SUM($C$11:C83)</f>
        <v>18024.6913580247</v>
      </c>
      <c r="F83" s="61" t="n">
        <f aca="false">SUM($D$11:D83)</f>
        <v>0</v>
      </c>
      <c r="G83" s="53" t="str">
        <f aca="false">IF(COUNT($D$11:D83)=0,"",F83/E83)</f>
        <v/>
      </c>
      <c r="H83" s="13" t="str">
        <f aca="false">IF(G83="","",IF(G83&gt;=0.95,"En meta",IF(G83&gt;=0.8,"Riesgo","Atrasado")))</f>
        <v/>
      </c>
      <c r="I83" s="54"/>
      <c r="J83" s="55" t="str">
        <f aca="false">IF(I83="","",IF($I$9="","",IF($I$9=0,"",I83/$I$9)))</f>
        <v/>
      </c>
      <c r="K83" s="54"/>
      <c r="L83" s="55" t="str">
        <f aca="false">IF(K83="","",IF($K$9="","",IF($K$9=0,"",K83/$K$9)))</f>
        <v/>
      </c>
      <c r="M83" s="54"/>
      <c r="N83" s="55" t="str">
        <f aca="false">IF(M83="","",IF($M$9="","",IF($M$9=0,"",M83/$M$9)))</f>
        <v/>
      </c>
      <c r="O83" s="54"/>
      <c r="P83" s="55" t="str">
        <f aca="false">IF(O83="","",IF($O$9="","",IF($O$9=0,"",O83/$O$9)))</f>
        <v/>
      </c>
      <c r="Q83" s="54"/>
      <c r="R83" s="55" t="str">
        <f aca="false">IF(Q83="","",IF($Q$9="","",IF($Q$9=0,"",Q83/$Q$9)))</f>
        <v/>
      </c>
      <c r="S83" s="56"/>
      <c r="T83" s="55" t="str">
        <f aca="false">IF(S83="","",IF($S$9="","",IF($S$9=0,"",S83/$S$9)))</f>
        <v/>
      </c>
      <c r="U83" s="54"/>
      <c r="V83" s="55" t="str">
        <f aca="false">IF(U83="","",IF($U$9="","",IF($U$9=0,"",U83/$U$9)))</f>
        <v/>
      </c>
      <c r="W83" s="54"/>
      <c r="X83" s="55" t="str">
        <f aca="false">IF(W83="","",IF($W$9="","",IF($W$9=0,"",W83/$W$9)))</f>
        <v/>
      </c>
    </row>
    <row r="84" customFormat="false" ht="15" hidden="false" customHeight="false" outlineLevel="0" collapsed="false">
      <c r="A84" s="28" t="n">
        <v>74</v>
      </c>
      <c r="B84" s="57" t="n">
        <v>46699</v>
      </c>
      <c r="C84" s="62" t="n">
        <f aca="false">$B$5/$B$8</f>
        <v>246.913580246914</v>
      </c>
      <c r="D84" s="52"/>
      <c r="E84" s="62" t="n">
        <f aca="false">SUM($C$11:C84)</f>
        <v>18271.6049382716</v>
      </c>
      <c r="F84" s="62" t="n">
        <f aca="false">SUM($D$11:D84)</f>
        <v>0</v>
      </c>
      <c r="G84" s="59" t="str">
        <f aca="false">IF(COUNT($D$11:D84)=0,"",F84/E84)</f>
        <v/>
      </c>
      <c r="H84" s="14" t="str">
        <f aca="false">IF(G84="","",IF(G84&gt;=0.95,"En meta",IF(G84&gt;=0.8,"Riesgo","Atrasado")))</f>
        <v/>
      </c>
      <c r="I84" s="54"/>
      <c r="J84" s="60" t="str">
        <f aca="false">IF(I84="","",IF($I$9="","",IF($I$9=0,"",I84/$I$9)))</f>
        <v/>
      </c>
      <c r="K84" s="54"/>
      <c r="L84" s="60" t="str">
        <f aca="false">IF(K84="","",IF($K$9="","",IF($K$9=0,"",K84/$K$9)))</f>
        <v/>
      </c>
      <c r="M84" s="54"/>
      <c r="N84" s="60" t="str">
        <f aca="false">IF(M84="","",IF($M$9="","",IF($M$9=0,"",M84/$M$9)))</f>
        <v/>
      </c>
      <c r="O84" s="54"/>
      <c r="P84" s="60" t="str">
        <f aca="false">IF(O84="","",IF($O$9="","",IF($O$9=0,"",O84/$O$9)))</f>
        <v/>
      </c>
      <c r="Q84" s="54"/>
      <c r="R84" s="60" t="str">
        <f aca="false">IF(Q84="","",IF($Q$9="","",IF($Q$9=0,"",Q84/$Q$9)))</f>
        <v/>
      </c>
      <c r="S84" s="56"/>
      <c r="T84" s="60" t="str">
        <f aca="false">IF(S84="","",IF($S$9="","",IF($S$9=0,"",S84/$S$9)))</f>
        <v/>
      </c>
      <c r="U84" s="54"/>
      <c r="V84" s="60" t="str">
        <f aca="false">IF(U84="","",IF($U$9="","",IF($U$9=0,"",U84/$U$9)))</f>
        <v/>
      </c>
      <c r="W84" s="54"/>
      <c r="X84" s="60" t="str">
        <f aca="false">IF(W84="","",IF($W$9="","",IF($W$9=0,"",W84/$W$9)))</f>
        <v/>
      </c>
    </row>
    <row r="85" customFormat="false" ht="15" hidden="false" customHeight="false" outlineLevel="0" collapsed="false">
      <c r="A85" s="5" t="n">
        <v>75</v>
      </c>
      <c r="B85" s="50" t="n">
        <v>46706</v>
      </c>
      <c r="C85" s="61" t="n">
        <f aca="false">$B$5/$B$8</f>
        <v>246.913580246914</v>
      </c>
      <c r="D85" s="52"/>
      <c r="E85" s="61" t="n">
        <f aca="false">SUM($C$11:C85)</f>
        <v>18518.5185185185</v>
      </c>
      <c r="F85" s="61" t="n">
        <f aca="false">SUM($D$11:D85)</f>
        <v>0</v>
      </c>
      <c r="G85" s="53" t="str">
        <f aca="false">IF(COUNT($D$11:D85)=0,"",F85/E85)</f>
        <v/>
      </c>
      <c r="H85" s="13" t="str">
        <f aca="false">IF(G85="","",IF(G85&gt;=0.95,"En meta",IF(G85&gt;=0.8,"Riesgo","Atrasado")))</f>
        <v/>
      </c>
      <c r="I85" s="54"/>
      <c r="J85" s="55" t="str">
        <f aca="false">IF(I85="","",IF($I$9="","",IF($I$9=0,"",I85/$I$9)))</f>
        <v/>
      </c>
      <c r="K85" s="54"/>
      <c r="L85" s="55" t="str">
        <f aca="false">IF(K85="","",IF($K$9="","",IF($K$9=0,"",K85/$K$9)))</f>
        <v/>
      </c>
      <c r="M85" s="54"/>
      <c r="N85" s="55" t="str">
        <f aca="false">IF(M85="","",IF($M$9="","",IF($M$9=0,"",M85/$M$9)))</f>
        <v/>
      </c>
      <c r="O85" s="54"/>
      <c r="P85" s="55" t="str">
        <f aca="false">IF(O85="","",IF($O$9="","",IF($O$9=0,"",O85/$O$9)))</f>
        <v/>
      </c>
      <c r="Q85" s="54"/>
      <c r="R85" s="55" t="str">
        <f aca="false">IF(Q85="","",IF($Q$9="","",IF($Q$9=0,"",Q85/$Q$9)))</f>
        <v/>
      </c>
      <c r="S85" s="56"/>
      <c r="T85" s="55" t="str">
        <f aca="false">IF(S85="","",IF($S$9="","",IF($S$9=0,"",S85/$S$9)))</f>
        <v/>
      </c>
      <c r="U85" s="54"/>
      <c r="V85" s="55" t="str">
        <f aca="false">IF(U85="","",IF($U$9="","",IF($U$9=0,"",U85/$U$9)))</f>
        <v/>
      </c>
      <c r="W85" s="54"/>
      <c r="X85" s="55" t="str">
        <f aca="false">IF(W85="","",IF($W$9="","",IF($W$9=0,"",W85/$W$9)))</f>
        <v/>
      </c>
    </row>
    <row r="86" customFormat="false" ht="15" hidden="false" customHeight="false" outlineLevel="0" collapsed="false">
      <c r="A86" s="28" t="n">
        <v>76</v>
      </c>
      <c r="B86" s="57" t="n">
        <v>46713</v>
      </c>
      <c r="C86" s="62" t="n">
        <f aca="false">$B$5/$B$8</f>
        <v>246.913580246914</v>
      </c>
      <c r="D86" s="52"/>
      <c r="E86" s="62" t="n">
        <f aca="false">SUM($C$11:C86)</f>
        <v>18765.4320987654</v>
      </c>
      <c r="F86" s="62" t="n">
        <f aca="false">SUM($D$11:D86)</f>
        <v>0</v>
      </c>
      <c r="G86" s="59" t="str">
        <f aca="false">IF(COUNT($D$11:D86)=0,"",F86/E86)</f>
        <v/>
      </c>
      <c r="H86" s="14" t="str">
        <f aca="false">IF(G86="","",IF(G86&gt;=0.95,"En meta",IF(G86&gt;=0.8,"Riesgo","Atrasado")))</f>
        <v/>
      </c>
      <c r="I86" s="54"/>
      <c r="J86" s="60" t="str">
        <f aca="false">IF(I86="","",IF($I$9="","",IF($I$9=0,"",I86/$I$9)))</f>
        <v/>
      </c>
      <c r="K86" s="54"/>
      <c r="L86" s="60" t="str">
        <f aca="false">IF(K86="","",IF($K$9="","",IF($K$9=0,"",K86/$K$9)))</f>
        <v/>
      </c>
      <c r="M86" s="54"/>
      <c r="N86" s="60" t="str">
        <f aca="false">IF(M86="","",IF($M$9="","",IF($M$9=0,"",M86/$M$9)))</f>
        <v/>
      </c>
      <c r="O86" s="54"/>
      <c r="P86" s="60" t="str">
        <f aca="false">IF(O86="","",IF($O$9="","",IF($O$9=0,"",O86/$O$9)))</f>
        <v/>
      </c>
      <c r="Q86" s="54"/>
      <c r="R86" s="60" t="str">
        <f aca="false">IF(Q86="","",IF($Q$9="","",IF($Q$9=0,"",Q86/$Q$9)))</f>
        <v/>
      </c>
      <c r="S86" s="56"/>
      <c r="T86" s="60" t="str">
        <f aca="false">IF(S86="","",IF($S$9="","",IF($S$9=0,"",S86/$S$9)))</f>
        <v/>
      </c>
      <c r="U86" s="54"/>
      <c r="V86" s="60" t="str">
        <f aca="false">IF(U86="","",IF($U$9="","",IF($U$9=0,"",U86/$U$9)))</f>
        <v/>
      </c>
      <c r="W86" s="54"/>
      <c r="X86" s="60" t="str">
        <f aca="false">IF(W86="","",IF($W$9="","",IF($W$9=0,"",W86/$W$9)))</f>
        <v/>
      </c>
    </row>
    <row r="87" customFormat="false" ht="15" hidden="false" customHeight="false" outlineLevel="0" collapsed="false">
      <c r="A87" s="5" t="n">
        <v>77</v>
      </c>
      <c r="B87" s="50" t="n">
        <v>46720</v>
      </c>
      <c r="C87" s="61" t="n">
        <f aca="false">$B$5/$B$8</f>
        <v>246.913580246914</v>
      </c>
      <c r="D87" s="52"/>
      <c r="E87" s="61" t="n">
        <f aca="false">SUM($C$11:C87)</f>
        <v>19012.3456790123</v>
      </c>
      <c r="F87" s="61" t="n">
        <f aca="false">SUM($D$11:D87)</f>
        <v>0</v>
      </c>
      <c r="G87" s="53" t="str">
        <f aca="false">IF(COUNT($D$11:D87)=0,"",F87/E87)</f>
        <v/>
      </c>
      <c r="H87" s="13" t="str">
        <f aca="false">IF(G87="","",IF(G87&gt;=0.95,"En meta",IF(G87&gt;=0.8,"Riesgo","Atrasado")))</f>
        <v/>
      </c>
      <c r="I87" s="54"/>
      <c r="J87" s="55" t="str">
        <f aca="false">IF(I87="","",IF($I$9="","",IF($I$9=0,"",I87/$I$9)))</f>
        <v/>
      </c>
      <c r="K87" s="54"/>
      <c r="L87" s="55" t="str">
        <f aca="false">IF(K87="","",IF($K$9="","",IF($K$9=0,"",K87/$K$9)))</f>
        <v/>
      </c>
      <c r="M87" s="54"/>
      <c r="N87" s="55" t="str">
        <f aca="false">IF(M87="","",IF($M$9="","",IF($M$9=0,"",M87/$M$9)))</f>
        <v/>
      </c>
      <c r="O87" s="54"/>
      <c r="P87" s="55" t="str">
        <f aca="false">IF(O87="","",IF($O$9="","",IF($O$9=0,"",O87/$O$9)))</f>
        <v/>
      </c>
      <c r="Q87" s="54"/>
      <c r="R87" s="55" t="str">
        <f aca="false">IF(Q87="","",IF($Q$9="","",IF($Q$9=0,"",Q87/$Q$9)))</f>
        <v/>
      </c>
      <c r="S87" s="56"/>
      <c r="T87" s="55" t="str">
        <f aca="false">IF(S87="","",IF($S$9="","",IF($S$9=0,"",S87/$S$9)))</f>
        <v/>
      </c>
      <c r="U87" s="54"/>
      <c r="V87" s="55" t="str">
        <f aca="false">IF(U87="","",IF($U$9="","",IF($U$9=0,"",U87/$U$9)))</f>
        <v/>
      </c>
      <c r="W87" s="54"/>
      <c r="X87" s="55" t="str">
        <f aca="false">IF(W87="","",IF($W$9="","",IF($W$9=0,"",W87/$W$9)))</f>
        <v/>
      </c>
    </row>
    <row r="88" customFormat="false" ht="15" hidden="false" customHeight="false" outlineLevel="0" collapsed="false">
      <c r="A88" s="28" t="n">
        <v>78</v>
      </c>
      <c r="B88" s="57" t="n">
        <v>46727</v>
      </c>
      <c r="C88" s="62" t="n">
        <f aca="false">$B$5/$B$8</f>
        <v>246.913580246914</v>
      </c>
      <c r="D88" s="52"/>
      <c r="E88" s="62" t="n">
        <f aca="false">SUM($C$11:C88)</f>
        <v>19259.2592592593</v>
      </c>
      <c r="F88" s="62" t="n">
        <f aca="false">SUM($D$11:D88)</f>
        <v>0</v>
      </c>
      <c r="G88" s="59" t="str">
        <f aca="false">IF(COUNT($D$11:D88)=0,"",F88/E88)</f>
        <v/>
      </c>
      <c r="H88" s="14" t="str">
        <f aca="false">IF(G88="","",IF(G88&gt;=0.95,"En meta",IF(G88&gt;=0.8,"Riesgo","Atrasado")))</f>
        <v/>
      </c>
      <c r="I88" s="54"/>
      <c r="J88" s="60" t="str">
        <f aca="false">IF(I88="","",IF($I$9="","",IF($I$9=0,"",I88/$I$9)))</f>
        <v/>
      </c>
      <c r="K88" s="54"/>
      <c r="L88" s="60" t="str">
        <f aca="false">IF(K88="","",IF($K$9="","",IF($K$9=0,"",K88/$K$9)))</f>
        <v/>
      </c>
      <c r="M88" s="54"/>
      <c r="N88" s="60" t="str">
        <f aca="false">IF(M88="","",IF($M$9="","",IF($M$9=0,"",M88/$M$9)))</f>
        <v/>
      </c>
      <c r="O88" s="54"/>
      <c r="P88" s="60" t="str">
        <f aca="false">IF(O88="","",IF($O$9="","",IF($O$9=0,"",O88/$O$9)))</f>
        <v/>
      </c>
      <c r="Q88" s="54"/>
      <c r="R88" s="60" t="str">
        <f aca="false">IF(Q88="","",IF($Q$9="","",IF($Q$9=0,"",Q88/$Q$9)))</f>
        <v/>
      </c>
      <c r="S88" s="56"/>
      <c r="T88" s="60" t="str">
        <f aca="false">IF(S88="","",IF($S$9="","",IF($S$9=0,"",S88/$S$9)))</f>
        <v/>
      </c>
      <c r="U88" s="54"/>
      <c r="V88" s="60" t="str">
        <f aca="false">IF(U88="","",IF($U$9="","",IF($U$9=0,"",U88/$U$9)))</f>
        <v/>
      </c>
      <c r="W88" s="54"/>
      <c r="X88" s="60" t="str">
        <f aca="false">IF(W88="","",IF($W$9="","",IF($W$9=0,"",W88/$W$9)))</f>
        <v/>
      </c>
    </row>
    <row r="89" customFormat="false" ht="15" hidden="false" customHeight="false" outlineLevel="0" collapsed="false">
      <c r="A89" s="5" t="n">
        <v>79</v>
      </c>
      <c r="B89" s="50" t="n">
        <v>46734</v>
      </c>
      <c r="C89" s="61" t="n">
        <f aca="false">$B$5/$B$8</f>
        <v>246.913580246914</v>
      </c>
      <c r="D89" s="52"/>
      <c r="E89" s="61" t="n">
        <f aca="false">SUM($C$11:C89)</f>
        <v>19506.1728395062</v>
      </c>
      <c r="F89" s="61" t="n">
        <f aca="false">SUM($D$11:D89)</f>
        <v>0</v>
      </c>
      <c r="G89" s="53" t="str">
        <f aca="false">IF(COUNT($D$11:D89)=0,"",F89/E89)</f>
        <v/>
      </c>
      <c r="H89" s="13" t="str">
        <f aca="false">IF(G89="","",IF(G89&gt;=0.95,"En meta",IF(G89&gt;=0.8,"Riesgo","Atrasado")))</f>
        <v/>
      </c>
      <c r="I89" s="54"/>
      <c r="J89" s="55" t="str">
        <f aca="false">IF(I89="","",IF($I$9="","",IF($I$9=0,"",I89/$I$9)))</f>
        <v/>
      </c>
      <c r="K89" s="54"/>
      <c r="L89" s="55" t="str">
        <f aca="false">IF(K89="","",IF($K$9="","",IF($K$9=0,"",K89/$K$9)))</f>
        <v/>
      </c>
      <c r="M89" s="54"/>
      <c r="N89" s="55" t="str">
        <f aca="false">IF(M89="","",IF($M$9="","",IF($M$9=0,"",M89/$M$9)))</f>
        <v/>
      </c>
      <c r="O89" s="54"/>
      <c r="P89" s="55" t="str">
        <f aca="false">IF(O89="","",IF($O$9="","",IF($O$9=0,"",O89/$O$9)))</f>
        <v/>
      </c>
      <c r="Q89" s="54"/>
      <c r="R89" s="55" t="str">
        <f aca="false">IF(Q89="","",IF($Q$9="","",IF($Q$9=0,"",Q89/$Q$9)))</f>
        <v/>
      </c>
      <c r="S89" s="56"/>
      <c r="T89" s="55" t="str">
        <f aca="false">IF(S89="","",IF($S$9="","",IF($S$9=0,"",S89/$S$9)))</f>
        <v/>
      </c>
      <c r="U89" s="54"/>
      <c r="V89" s="55" t="str">
        <f aca="false">IF(U89="","",IF($U$9="","",IF($U$9=0,"",U89/$U$9)))</f>
        <v/>
      </c>
      <c r="W89" s="54"/>
      <c r="X89" s="55" t="str">
        <f aca="false">IF(W89="","",IF($W$9="","",IF($W$9=0,"",W89/$W$9)))</f>
        <v/>
      </c>
    </row>
    <row r="90" customFormat="false" ht="15" hidden="false" customHeight="false" outlineLevel="0" collapsed="false">
      <c r="A90" s="28" t="n">
        <v>80</v>
      </c>
      <c r="B90" s="57" t="n">
        <v>46741</v>
      </c>
      <c r="C90" s="62" t="n">
        <f aca="false">$B$5/$B$8</f>
        <v>246.913580246914</v>
      </c>
      <c r="D90" s="52"/>
      <c r="E90" s="62" t="n">
        <f aca="false">SUM($C$11:C90)</f>
        <v>19753.0864197531</v>
      </c>
      <c r="F90" s="62" t="n">
        <f aca="false">SUM($D$11:D90)</f>
        <v>0</v>
      </c>
      <c r="G90" s="59" t="str">
        <f aca="false">IF(COUNT($D$11:D90)=0,"",F90/E90)</f>
        <v/>
      </c>
      <c r="H90" s="14" t="str">
        <f aca="false">IF(G90="","",IF(G90&gt;=0.95,"En meta",IF(G90&gt;=0.8,"Riesgo","Atrasado")))</f>
        <v/>
      </c>
      <c r="I90" s="54"/>
      <c r="J90" s="60" t="str">
        <f aca="false">IF(I90="","",IF($I$9="","",IF($I$9=0,"",I90/$I$9)))</f>
        <v/>
      </c>
      <c r="K90" s="54"/>
      <c r="L90" s="60" t="str">
        <f aca="false">IF(K90="","",IF($K$9="","",IF($K$9=0,"",K90/$K$9)))</f>
        <v/>
      </c>
      <c r="M90" s="54"/>
      <c r="N90" s="60" t="str">
        <f aca="false">IF(M90="","",IF($M$9="","",IF($M$9=0,"",M90/$M$9)))</f>
        <v/>
      </c>
      <c r="O90" s="54"/>
      <c r="P90" s="60" t="str">
        <f aca="false">IF(O90="","",IF($O$9="","",IF($O$9=0,"",O90/$O$9)))</f>
        <v/>
      </c>
      <c r="Q90" s="54"/>
      <c r="R90" s="60" t="str">
        <f aca="false">IF(Q90="","",IF($Q$9="","",IF($Q$9=0,"",Q90/$Q$9)))</f>
        <v/>
      </c>
      <c r="S90" s="56"/>
      <c r="T90" s="60" t="str">
        <f aca="false">IF(S90="","",IF($S$9="","",IF($S$9=0,"",S90/$S$9)))</f>
        <v/>
      </c>
      <c r="U90" s="54"/>
      <c r="V90" s="60" t="str">
        <f aca="false">IF(U90="","",IF($U$9="","",IF($U$9=0,"",U90/$U$9)))</f>
        <v/>
      </c>
      <c r="W90" s="54"/>
      <c r="X90" s="60" t="str">
        <f aca="false">IF(W90="","",IF($W$9="","",IF($W$9=0,"",W90/$W$9)))</f>
        <v/>
      </c>
    </row>
    <row r="91" customFormat="false" ht="15" hidden="false" customHeight="false" outlineLevel="0" collapsed="false">
      <c r="A91" s="5" t="n">
        <v>81</v>
      </c>
      <c r="B91" s="50" t="n">
        <v>46748</v>
      </c>
      <c r="C91" s="61" t="n">
        <f aca="false">$B$5/$B$8</f>
        <v>246.913580246914</v>
      </c>
      <c r="D91" s="52"/>
      <c r="E91" s="61" t="n">
        <f aca="false">SUM($C$11:C91)</f>
        <v>20000</v>
      </c>
      <c r="F91" s="61" t="n">
        <f aca="false">SUM($D$11:D91)</f>
        <v>0</v>
      </c>
      <c r="G91" s="53" t="str">
        <f aca="false">IF(COUNT($D$11:D91)=0,"",F91/E91)</f>
        <v/>
      </c>
      <c r="H91" s="13" t="str">
        <f aca="false">IF(G91="","",IF(G91&gt;=0.95,"En meta",IF(G91&gt;=0.8,"Riesgo","Atrasado")))</f>
        <v/>
      </c>
      <c r="I91" s="54"/>
      <c r="J91" s="55" t="str">
        <f aca="false">IF(I91="","",IF($I$9="","",IF($I$9=0,"",I91/$I$9)))</f>
        <v/>
      </c>
      <c r="K91" s="54"/>
      <c r="L91" s="55" t="str">
        <f aca="false">IF(K91="","",IF($K$9="","",IF($K$9=0,"",K91/$K$9)))</f>
        <v/>
      </c>
      <c r="M91" s="54"/>
      <c r="N91" s="55" t="str">
        <f aca="false">IF(M91="","",IF($M$9="","",IF($M$9=0,"",M91/$M$9)))</f>
        <v/>
      </c>
      <c r="O91" s="54"/>
      <c r="P91" s="55" t="str">
        <f aca="false">IF(O91="","",IF($O$9="","",IF($O$9=0,"",O91/$O$9)))</f>
        <v/>
      </c>
      <c r="Q91" s="54"/>
      <c r="R91" s="55" t="str">
        <f aca="false">IF(Q91="","",IF($Q$9="","",IF($Q$9=0,"",Q91/$Q$9)))</f>
        <v/>
      </c>
      <c r="S91" s="56"/>
      <c r="T91" s="55" t="str">
        <f aca="false">IF(S91="","",IF($S$9="","",IF($S$9=0,"",S91/$S$9)))</f>
        <v/>
      </c>
      <c r="U91" s="54"/>
      <c r="V91" s="55" t="str">
        <f aca="false">IF(U91="","",IF($U$9="","",IF($U$9=0,"",U91/$U$9)))</f>
        <v/>
      </c>
      <c r="W91" s="54"/>
      <c r="X91" s="55" t="str">
        <f aca="false">IF(W91="","",IF($W$9="","",IF($W$9=0,"",W91/$W$9)))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142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143</v>
      </c>
    </row>
    <row r="3" customFormat="false" ht="15" hidden="false" customHeight="false" outlineLevel="0" collapsed="false">
      <c r="A3" s="17" t="s">
        <v>77</v>
      </c>
      <c r="B3" s="40" t="s">
        <v>144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54</v>
      </c>
    </row>
    <row r="5" customFormat="false" ht="15" hidden="false" customHeight="false" outlineLevel="0" collapsed="false">
      <c r="A5" s="17" t="s">
        <v>82</v>
      </c>
      <c r="B5" s="42" t="n">
        <v>0</v>
      </c>
      <c r="D5" s="17" t="s">
        <v>83</v>
      </c>
      <c r="E5" s="43" t="n">
        <v>46188</v>
      </c>
      <c r="G5" s="17" t="s">
        <v>84</v>
      </c>
      <c r="H5" s="43" t="n">
        <v>46748</v>
      </c>
    </row>
    <row r="6" customFormat="false" ht="15" hidden="false" customHeight="false" outlineLevel="0" collapsed="false">
      <c r="A6" s="17" t="s">
        <v>85</v>
      </c>
      <c r="B6" s="40" t="s">
        <v>86</v>
      </c>
    </row>
    <row r="8" customFormat="false" ht="42" hidden="false" customHeight="true" outlineLevel="0" collapsed="false">
      <c r="A8" s="17" t="s">
        <v>87</v>
      </c>
      <c r="B8" s="44" t="n">
        <f aca="false">COUNT(A11:A91)</f>
        <v>81</v>
      </c>
      <c r="H8" s="45" t="s">
        <v>88</v>
      </c>
      <c r="I8" s="46" t="s">
        <v>145</v>
      </c>
      <c r="J8" s="46"/>
      <c r="K8" s="46" t="s">
        <v>146</v>
      </c>
      <c r="L8" s="46"/>
      <c r="M8" s="46" t="s">
        <v>147</v>
      </c>
      <c r="N8" s="46"/>
      <c r="O8" s="46" t="s">
        <v>148</v>
      </c>
      <c r="P8" s="46"/>
      <c r="Q8" s="46" t="s">
        <v>149</v>
      </c>
      <c r="R8" s="46"/>
      <c r="S8" s="46" t="s">
        <v>150</v>
      </c>
      <c r="T8" s="46"/>
      <c r="U8" s="46" t="s">
        <v>96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8" t="n">
        <v>1</v>
      </c>
      <c r="J9" s="48"/>
      <c r="K9" s="47" t="n">
        <v>2</v>
      </c>
      <c r="L9" s="47"/>
      <c r="M9" s="47" t="n">
        <v>3</v>
      </c>
      <c r="N9" s="47"/>
      <c r="O9" s="47" t="n">
        <v>1</v>
      </c>
      <c r="P9" s="47"/>
      <c r="Q9" s="48" t="n">
        <v>1</v>
      </c>
      <c r="R9" s="48"/>
      <c r="S9" s="47" t="n">
        <v>1</v>
      </c>
      <c r="T9" s="47"/>
      <c r="U9" s="47"/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99</v>
      </c>
      <c r="C10" s="4" t="s">
        <v>36</v>
      </c>
      <c r="D10" s="4" t="s">
        <v>101</v>
      </c>
      <c r="E10" s="4"/>
      <c r="F10" s="4"/>
      <c r="G10" s="4" t="s">
        <v>132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50" t="n">
        <v>46188</v>
      </c>
      <c r="C11" s="51" t="n">
        <f aca="false">$B$5</f>
        <v>0</v>
      </c>
      <c r="D11" s="52"/>
      <c r="E11" s="5"/>
      <c r="F11" s="5"/>
      <c r="G11" s="67" t="str">
        <f aca="false">IF(D11="","",D11-C11)</f>
        <v/>
      </c>
      <c r="H11" s="13" t="str">
        <f aca="false">IF(D11="","",IF(D11&lt;=C11,"En meta",IF(D11&lt;=C11+1,"Riesgo","Atrasado")))</f>
        <v/>
      </c>
      <c r="I11" s="56"/>
      <c r="J11" s="55" t="str">
        <f aca="false">IF(I11="","",IF($I$9="","",IF($I$9=0,"",I11/$I$9)))</f>
        <v/>
      </c>
      <c r="K11" s="54"/>
      <c r="L11" s="55" t="str">
        <f aca="false">IF(K11="","",IF($K$9="","",IF($K$9=0,"",K11/$K$9)))</f>
        <v/>
      </c>
      <c r="M11" s="54"/>
      <c r="N11" s="55" t="str">
        <f aca="false">IF(M11="","",IF($M$9="","",IF($M$9=0,"",M11/$M$9)))</f>
        <v/>
      </c>
      <c r="O11" s="54"/>
      <c r="P11" s="55" t="str">
        <f aca="false">IF(O11="","",IF($O$9="","",IF($O$9=0,"",O11/$O$9)))</f>
        <v/>
      </c>
      <c r="Q11" s="56"/>
      <c r="R11" s="55" t="str">
        <f aca="false">IF(Q11="","",IF($Q$9="","",IF($Q$9=0,"",Q11/$Q$9)))</f>
        <v/>
      </c>
      <c r="S11" s="54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57" t="n">
        <v>46195</v>
      </c>
      <c r="C12" s="58" t="n">
        <f aca="false">$B$5</f>
        <v>0</v>
      </c>
      <c r="D12" s="52"/>
      <c r="E12" s="28"/>
      <c r="F12" s="28"/>
      <c r="G12" s="68" t="str">
        <f aca="false">IF(D12="","",D12-C12)</f>
        <v/>
      </c>
      <c r="H12" s="14" t="str">
        <f aca="false">IF(D12="","",IF(D12&lt;=C12,"En meta",IF(D12&lt;=C12+1,"Riesgo","Atrasado")))</f>
        <v/>
      </c>
      <c r="I12" s="56"/>
      <c r="J12" s="60" t="str">
        <f aca="false">IF(I12="","",IF($I$9="","",IF($I$9=0,"",I12/$I$9)))</f>
        <v/>
      </c>
      <c r="K12" s="54"/>
      <c r="L12" s="60" t="str">
        <f aca="false">IF(K12="","",IF($K$9="","",IF($K$9=0,"",K12/$K$9)))</f>
        <v/>
      </c>
      <c r="M12" s="54"/>
      <c r="N12" s="60" t="str">
        <f aca="false">IF(M12="","",IF($M$9="","",IF($M$9=0,"",M12/$M$9)))</f>
        <v/>
      </c>
      <c r="O12" s="54"/>
      <c r="P12" s="60" t="str">
        <f aca="false">IF(O12="","",IF($O$9="","",IF($O$9=0,"",O12/$O$9)))</f>
        <v/>
      </c>
      <c r="Q12" s="56"/>
      <c r="R12" s="60" t="str">
        <f aca="false">IF(Q12="","",IF($Q$9="","",IF($Q$9=0,"",Q12/$Q$9)))</f>
        <v/>
      </c>
      <c r="S12" s="54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50" t="n">
        <v>46202</v>
      </c>
      <c r="C13" s="51" t="n">
        <f aca="false">$B$5</f>
        <v>0</v>
      </c>
      <c r="D13" s="52"/>
      <c r="E13" s="5"/>
      <c r="F13" s="5"/>
      <c r="G13" s="67" t="str">
        <f aca="false">IF(D13="","",D13-C13)</f>
        <v/>
      </c>
      <c r="H13" s="13" t="str">
        <f aca="false">IF(D13="","",IF(D13&lt;=C13,"En meta",IF(D13&lt;=C13+1,"Riesgo","Atrasado")))</f>
        <v/>
      </c>
      <c r="I13" s="56"/>
      <c r="J13" s="55" t="str">
        <f aca="false">IF(I13="","",IF($I$9="","",IF($I$9=0,"",I13/$I$9)))</f>
        <v/>
      </c>
      <c r="K13" s="54"/>
      <c r="L13" s="55" t="str">
        <f aca="false">IF(K13="","",IF($K$9="","",IF($K$9=0,"",K13/$K$9)))</f>
        <v/>
      </c>
      <c r="M13" s="54"/>
      <c r="N13" s="55" t="str">
        <f aca="false">IF(M13="","",IF($M$9="","",IF($M$9=0,"",M13/$M$9)))</f>
        <v/>
      </c>
      <c r="O13" s="54"/>
      <c r="P13" s="55" t="str">
        <f aca="false">IF(O13="","",IF($O$9="","",IF($O$9=0,"",O13/$O$9)))</f>
        <v/>
      </c>
      <c r="Q13" s="56"/>
      <c r="R13" s="55" t="str">
        <f aca="false">IF(Q13="","",IF($Q$9="","",IF($Q$9=0,"",Q13/$Q$9)))</f>
        <v/>
      </c>
      <c r="S13" s="54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57" t="n">
        <v>46209</v>
      </c>
      <c r="C14" s="58" t="n">
        <f aca="false">$B$5</f>
        <v>0</v>
      </c>
      <c r="D14" s="52"/>
      <c r="E14" s="28"/>
      <c r="F14" s="28"/>
      <c r="G14" s="68" t="str">
        <f aca="false">IF(D14="","",D14-C14)</f>
        <v/>
      </c>
      <c r="H14" s="14" t="str">
        <f aca="false">IF(D14="","",IF(D14&lt;=C14,"En meta",IF(D14&lt;=C14+1,"Riesgo","Atrasado")))</f>
        <v/>
      </c>
      <c r="I14" s="56"/>
      <c r="J14" s="60" t="str">
        <f aca="false">IF(I14="","",IF($I$9="","",IF($I$9=0,"",I14/$I$9)))</f>
        <v/>
      </c>
      <c r="K14" s="54"/>
      <c r="L14" s="60" t="str">
        <f aca="false">IF(K14="","",IF($K$9="","",IF($K$9=0,"",K14/$K$9)))</f>
        <v/>
      </c>
      <c r="M14" s="54"/>
      <c r="N14" s="60" t="str">
        <f aca="false">IF(M14="","",IF($M$9="","",IF($M$9=0,"",M14/$M$9)))</f>
        <v/>
      </c>
      <c r="O14" s="54"/>
      <c r="P14" s="60" t="str">
        <f aca="false">IF(O14="","",IF($O$9="","",IF($O$9=0,"",O14/$O$9)))</f>
        <v/>
      </c>
      <c r="Q14" s="56"/>
      <c r="R14" s="60" t="str">
        <f aca="false">IF(Q14="","",IF($Q$9="","",IF($Q$9=0,"",Q14/$Q$9)))</f>
        <v/>
      </c>
      <c r="S14" s="54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50" t="n">
        <v>46216</v>
      </c>
      <c r="C15" s="51" t="n">
        <f aca="false">$B$5</f>
        <v>0</v>
      </c>
      <c r="D15" s="52"/>
      <c r="E15" s="5"/>
      <c r="F15" s="5"/>
      <c r="G15" s="67" t="str">
        <f aca="false">IF(D15="","",D15-C15)</f>
        <v/>
      </c>
      <c r="H15" s="13" t="str">
        <f aca="false">IF(D15="","",IF(D15&lt;=C15,"En meta",IF(D15&lt;=C15+1,"Riesgo","Atrasado")))</f>
        <v/>
      </c>
      <c r="I15" s="56"/>
      <c r="J15" s="55" t="str">
        <f aca="false">IF(I15="","",IF($I$9="","",IF($I$9=0,"",I15/$I$9)))</f>
        <v/>
      </c>
      <c r="K15" s="54"/>
      <c r="L15" s="55" t="str">
        <f aca="false">IF(K15="","",IF($K$9="","",IF($K$9=0,"",K15/$K$9)))</f>
        <v/>
      </c>
      <c r="M15" s="54"/>
      <c r="N15" s="55" t="str">
        <f aca="false">IF(M15="","",IF($M$9="","",IF($M$9=0,"",M15/$M$9)))</f>
        <v/>
      </c>
      <c r="O15" s="54"/>
      <c r="P15" s="55" t="str">
        <f aca="false">IF(O15="","",IF($O$9="","",IF($O$9=0,"",O15/$O$9)))</f>
        <v/>
      </c>
      <c r="Q15" s="56"/>
      <c r="R15" s="55" t="str">
        <f aca="false">IF(Q15="","",IF($Q$9="","",IF($Q$9=0,"",Q15/$Q$9)))</f>
        <v/>
      </c>
      <c r="S15" s="54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57" t="n">
        <v>46223</v>
      </c>
      <c r="C16" s="58" t="n">
        <f aca="false">$B$5</f>
        <v>0</v>
      </c>
      <c r="D16" s="52"/>
      <c r="E16" s="28"/>
      <c r="F16" s="28"/>
      <c r="G16" s="68" t="str">
        <f aca="false">IF(D16="","",D16-C16)</f>
        <v/>
      </c>
      <c r="H16" s="14" t="str">
        <f aca="false">IF(D16="","",IF(D16&lt;=C16,"En meta",IF(D16&lt;=C16+1,"Riesgo","Atrasado")))</f>
        <v/>
      </c>
      <c r="I16" s="56"/>
      <c r="J16" s="60" t="str">
        <f aca="false">IF(I16="","",IF($I$9="","",IF($I$9=0,"",I16/$I$9)))</f>
        <v/>
      </c>
      <c r="K16" s="54"/>
      <c r="L16" s="60" t="str">
        <f aca="false">IF(K16="","",IF($K$9="","",IF($K$9=0,"",K16/$K$9)))</f>
        <v/>
      </c>
      <c r="M16" s="54"/>
      <c r="N16" s="60" t="str">
        <f aca="false">IF(M16="","",IF($M$9="","",IF($M$9=0,"",M16/$M$9)))</f>
        <v/>
      </c>
      <c r="O16" s="54"/>
      <c r="P16" s="60" t="str">
        <f aca="false">IF(O16="","",IF($O$9="","",IF($O$9=0,"",O16/$O$9)))</f>
        <v/>
      </c>
      <c r="Q16" s="56"/>
      <c r="R16" s="60" t="str">
        <f aca="false">IF(Q16="","",IF($Q$9="","",IF($Q$9=0,"",Q16/$Q$9)))</f>
        <v/>
      </c>
      <c r="S16" s="54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50" t="n">
        <v>46230</v>
      </c>
      <c r="C17" s="51" t="n">
        <f aca="false">$B$5</f>
        <v>0</v>
      </c>
      <c r="D17" s="52"/>
      <c r="E17" s="5"/>
      <c r="F17" s="5"/>
      <c r="G17" s="67" t="str">
        <f aca="false">IF(D17="","",D17-C17)</f>
        <v/>
      </c>
      <c r="H17" s="13" t="str">
        <f aca="false">IF(D17="","",IF(D17&lt;=C17,"En meta",IF(D17&lt;=C17+1,"Riesgo","Atrasado")))</f>
        <v/>
      </c>
      <c r="I17" s="56"/>
      <c r="J17" s="55" t="str">
        <f aca="false">IF(I17="","",IF($I$9="","",IF($I$9=0,"",I17/$I$9)))</f>
        <v/>
      </c>
      <c r="K17" s="54"/>
      <c r="L17" s="55" t="str">
        <f aca="false">IF(K17="","",IF($K$9="","",IF($K$9=0,"",K17/$K$9)))</f>
        <v/>
      </c>
      <c r="M17" s="54"/>
      <c r="N17" s="55" t="str">
        <f aca="false">IF(M17="","",IF($M$9="","",IF($M$9=0,"",M17/$M$9)))</f>
        <v/>
      </c>
      <c r="O17" s="54"/>
      <c r="P17" s="55" t="str">
        <f aca="false">IF(O17="","",IF($O$9="","",IF($O$9=0,"",O17/$O$9)))</f>
        <v/>
      </c>
      <c r="Q17" s="56"/>
      <c r="R17" s="55" t="str">
        <f aca="false">IF(Q17="","",IF($Q$9="","",IF($Q$9=0,"",Q17/$Q$9)))</f>
        <v/>
      </c>
      <c r="S17" s="54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57" t="n">
        <v>46237</v>
      </c>
      <c r="C18" s="58" t="n">
        <f aca="false">$B$5</f>
        <v>0</v>
      </c>
      <c r="D18" s="52"/>
      <c r="E18" s="28"/>
      <c r="F18" s="28"/>
      <c r="G18" s="68" t="str">
        <f aca="false">IF(D18="","",D18-C18)</f>
        <v/>
      </c>
      <c r="H18" s="14" t="str">
        <f aca="false">IF(D18="","",IF(D18&lt;=C18,"En meta",IF(D18&lt;=C18+1,"Riesgo","Atrasado")))</f>
        <v/>
      </c>
      <c r="I18" s="56"/>
      <c r="J18" s="60" t="str">
        <f aca="false">IF(I18="","",IF($I$9="","",IF($I$9=0,"",I18/$I$9)))</f>
        <v/>
      </c>
      <c r="K18" s="54"/>
      <c r="L18" s="60" t="str">
        <f aca="false">IF(K18="","",IF($K$9="","",IF($K$9=0,"",K18/$K$9)))</f>
        <v/>
      </c>
      <c r="M18" s="54"/>
      <c r="N18" s="60" t="str">
        <f aca="false">IF(M18="","",IF($M$9="","",IF($M$9=0,"",M18/$M$9)))</f>
        <v/>
      </c>
      <c r="O18" s="54"/>
      <c r="P18" s="60" t="str">
        <f aca="false">IF(O18="","",IF($O$9="","",IF($O$9=0,"",O18/$O$9)))</f>
        <v/>
      </c>
      <c r="Q18" s="56"/>
      <c r="R18" s="60" t="str">
        <f aca="false">IF(Q18="","",IF($Q$9="","",IF($Q$9=0,"",Q18/$Q$9)))</f>
        <v/>
      </c>
      <c r="S18" s="54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50" t="n">
        <v>46244</v>
      </c>
      <c r="C19" s="51" t="n">
        <f aca="false">$B$5</f>
        <v>0</v>
      </c>
      <c r="D19" s="52"/>
      <c r="E19" s="5"/>
      <c r="F19" s="5"/>
      <c r="G19" s="67" t="str">
        <f aca="false">IF(D19="","",D19-C19)</f>
        <v/>
      </c>
      <c r="H19" s="13" t="str">
        <f aca="false">IF(D19="","",IF(D19&lt;=C19,"En meta",IF(D19&lt;=C19+1,"Riesgo","Atrasado")))</f>
        <v/>
      </c>
      <c r="I19" s="56"/>
      <c r="J19" s="55" t="str">
        <f aca="false">IF(I19="","",IF($I$9="","",IF($I$9=0,"",I19/$I$9)))</f>
        <v/>
      </c>
      <c r="K19" s="54"/>
      <c r="L19" s="55" t="str">
        <f aca="false">IF(K19="","",IF($K$9="","",IF($K$9=0,"",K19/$K$9)))</f>
        <v/>
      </c>
      <c r="M19" s="54"/>
      <c r="N19" s="55" t="str">
        <f aca="false">IF(M19="","",IF($M$9="","",IF($M$9=0,"",M19/$M$9)))</f>
        <v/>
      </c>
      <c r="O19" s="54"/>
      <c r="P19" s="55" t="str">
        <f aca="false">IF(O19="","",IF($O$9="","",IF($O$9=0,"",O19/$O$9)))</f>
        <v/>
      </c>
      <c r="Q19" s="56"/>
      <c r="R19" s="55" t="str">
        <f aca="false">IF(Q19="","",IF($Q$9="","",IF($Q$9=0,"",Q19/$Q$9)))</f>
        <v/>
      </c>
      <c r="S19" s="54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57" t="n">
        <v>46251</v>
      </c>
      <c r="C20" s="58" t="n">
        <f aca="false">$B$5</f>
        <v>0</v>
      </c>
      <c r="D20" s="52"/>
      <c r="E20" s="28"/>
      <c r="F20" s="28"/>
      <c r="G20" s="68" t="str">
        <f aca="false">IF(D20="","",D20-C20)</f>
        <v/>
      </c>
      <c r="H20" s="14" t="str">
        <f aca="false">IF(D20="","",IF(D20&lt;=C20,"En meta",IF(D20&lt;=C20+1,"Riesgo","Atrasado")))</f>
        <v/>
      </c>
      <c r="I20" s="56"/>
      <c r="J20" s="60" t="str">
        <f aca="false">IF(I20="","",IF($I$9="","",IF($I$9=0,"",I20/$I$9)))</f>
        <v/>
      </c>
      <c r="K20" s="54"/>
      <c r="L20" s="60" t="str">
        <f aca="false">IF(K20="","",IF($K$9="","",IF($K$9=0,"",K20/$K$9)))</f>
        <v/>
      </c>
      <c r="M20" s="54"/>
      <c r="N20" s="60" t="str">
        <f aca="false">IF(M20="","",IF($M$9="","",IF($M$9=0,"",M20/$M$9)))</f>
        <v/>
      </c>
      <c r="O20" s="54"/>
      <c r="P20" s="60" t="str">
        <f aca="false">IF(O20="","",IF($O$9="","",IF($O$9=0,"",O20/$O$9)))</f>
        <v/>
      </c>
      <c r="Q20" s="56"/>
      <c r="R20" s="60" t="str">
        <f aca="false">IF(Q20="","",IF($Q$9="","",IF($Q$9=0,"",Q20/$Q$9)))</f>
        <v/>
      </c>
      <c r="S20" s="54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50" t="n">
        <v>46258</v>
      </c>
      <c r="C21" s="51" t="n">
        <f aca="false">$B$5</f>
        <v>0</v>
      </c>
      <c r="D21" s="52"/>
      <c r="E21" s="5"/>
      <c r="F21" s="5"/>
      <c r="G21" s="67" t="str">
        <f aca="false">IF(D21="","",D21-C21)</f>
        <v/>
      </c>
      <c r="H21" s="13" t="str">
        <f aca="false">IF(D21="","",IF(D21&lt;=C21,"En meta",IF(D21&lt;=C21+1,"Riesgo","Atrasado")))</f>
        <v/>
      </c>
      <c r="I21" s="56"/>
      <c r="J21" s="55" t="str">
        <f aca="false">IF(I21="","",IF($I$9="","",IF($I$9=0,"",I21/$I$9)))</f>
        <v/>
      </c>
      <c r="K21" s="54"/>
      <c r="L21" s="55" t="str">
        <f aca="false">IF(K21="","",IF($K$9="","",IF($K$9=0,"",K21/$K$9)))</f>
        <v/>
      </c>
      <c r="M21" s="54"/>
      <c r="N21" s="55" t="str">
        <f aca="false">IF(M21="","",IF($M$9="","",IF($M$9=0,"",M21/$M$9)))</f>
        <v/>
      </c>
      <c r="O21" s="54"/>
      <c r="P21" s="55" t="str">
        <f aca="false">IF(O21="","",IF($O$9="","",IF($O$9=0,"",O21/$O$9)))</f>
        <v/>
      </c>
      <c r="Q21" s="56"/>
      <c r="R21" s="55" t="str">
        <f aca="false">IF(Q21="","",IF($Q$9="","",IF($Q$9=0,"",Q21/$Q$9)))</f>
        <v/>
      </c>
      <c r="S21" s="54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57" t="n">
        <v>46265</v>
      </c>
      <c r="C22" s="58" t="n">
        <f aca="false">$B$5</f>
        <v>0</v>
      </c>
      <c r="D22" s="52"/>
      <c r="E22" s="28"/>
      <c r="F22" s="28"/>
      <c r="G22" s="68" t="str">
        <f aca="false">IF(D22="","",D22-C22)</f>
        <v/>
      </c>
      <c r="H22" s="14" t="str">
        <f aca="false">IF(D22="","",IF(D22&lt;=C22,"En meta",IF(D22&lt;=C22+1,"Riesgo","Atrasado")))</f>
        <v/>
      </c>
      <c r="I22" s="56"/>
      <c r="J22" s="60" t="str">
        <f aca="false">IF(I22="","",IF($I$9="","",IF($I$9=0,"",I22/$I$9)))</f>
        <v/>
      </c>
      <c r="K22" s="54"/>
      <c r="L22" s="60" t="str">
        <f aca="false">IF(K22="","",IF($K$9="","",IF($K$9=0,"",K22/$K$9)))</f>
        <v/>
      </c>
      <c r="M22" s="54"/>
      <c r="N22" s="60" t="str">
        <f aca="false">IF(M22="","",IF($M$9="","",IF($M$9=0,"",M22/$M$9)))</f>
        <v/>
      </c>
      <c r="O22" s="54"/>
      <c r="P22" s="60" t="str">
        <f aca="false">IF(O22="","",IF($O$9="","",IF($O$9=0,"",O22/$O$9)))</f>
        <v/>
      </c>
      <c r="Q22" s="56"/>
      <c r="R22" s="60" t="str">
        <f aca="false">IF(Q22="","",IF($Q$9="","",IF($Q$9=0,"",Q22/$Q$9)))</f>
        <v/>
      </c>
      <c r="S22" s="54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50" t="n">
        <v>46272</v>
      </c>
      <c r="C23" s="51" t="n">
        <f aca="false">$B$5</f>
        <v>0</v>
      </c>
      <c r="D23" s="52"/>
      <c r="E23" s="5"/>
      <c r="F23" s="5"/>
      <c r="G23" s="67" t="str">
        <f aca="false">IF(D23="","",D23-C23)</f>
        <v/>
      </c>
      <c r="H23" s="13" t="str">
        <f aca="false">IF(D23="","",IF(D23&lt;=C23,"En meta",IF(D23&lt;=C23+1,"Riesgo","Atrasado")))</f>
        <v/>
      </c>
      <c r="I23" s="56"/>
      <c r="J23" s="55" t="str">
        <f aca="false">IF(I23="","",IF($I$9="","",IF($I$9=0,"",I23/$I$9)))</f>
        <v/>
      </c>
      <c r="K23" s="54"/>
      <c r="L23" s="55" t="str">
        <f aca="false">IF(K23="","",IF($K$9="","",IF($K$9=0,"",K23/$K$9)))</f>
        <v/>
      </c>
      <c r="M23" s="54"/>
      <c r="N23" s="55" t="str">
        <f aca="false">IF(M23="","",IF($M$9="","",IF($M$9=0,"",M23/$M$9)))</f>
        <v/>
      </c>
      <c r="O23" s="54"/>
      <c r="P23" s="55" t="str">
        <f aca="false">IF(O23="","",IF($O$9="","",IF($O$9=0,"",O23/$O$9)))</f>
        <v/>
      </c>
      <c r="Q23" s="56"/>
      <c r="R23" s="55" t="str">
        <f aca="false">IF(Q23="","",IF($Q$9="","",IF($Q$9=0,"",Q23/$Q$9)))</f>
        <v/>
      </c>
      <c r="S23" s="54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57" t="n">
        <v>46279</v>
      </c>
      <c r="C24" s="58" t="n">
        <f aca="false">$B$5</f>
        <v>0</v>
      </c>
      <c r="D24" s="52"/>
      <c r="E24" s="28"/>
      <c r="F24" s="28"/>
      <c r="G24" s="68" t="str">
        <f aca="false">IF(D24="","",D24-C24)</f>
        <v/>
      </c>
      <c r="H24" s="14" t="str">
        <f aca="false">IF(D24="","",IF(D24&lt;=C24,"En meta",IF(D24&lt;=C24+1,"Riesgo","Atrasado")))</f>
        <v/>
      </c>
      <c r="I24" s="56"/>
      <c r="J24" s="60" t="str">
        <f aca="false">IF(I24="","",IF($I$9="","",IF($I$9=0,"",I24/$I$9)))</f>
        <v/>
      </c>
      <c r="K24" s="54"/>
      <c r="L24" s="60" t="str">
        <f aca="false">IF(K24="","",IF($K$9="","",IF($K$9=0,"",K24/$K$9)))</f>
        <v/>
      </c>
      <c r="M24" s="54"/>
      <c r="N24" s="60" t="str">
        <f aca="false">IF(M24="","",IF($M$9="","",IF($M$9=0,"",M24/$M$9)))</f>
        <v/>
      </c>
      <c r="O24" s="54"/>
      <c r="P24" s="60" t="str">
        <f aca="false">IF(O24="","",IF($O$9="","",IF($O$9=0,"",O24/$O$9)))</f>
        <v/>
      </c>
      <c r="Q24" s="56"/>
      <c r="R24" s="60" t="str">
        <f aca="false">IF(Q24="","",IF($Q$9="","",IF($Q$9=0,"",Q24/$Q$9)))</f>
        <v/>
      </c>
      <c r="S24" s="54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50" t="n">
        <v>46286</v>
      </c>
      <c r="C25" s="51" t="n">
        <f aca="false">$B$5</f>
        <v>0</v>
      </c>
      <c r="D25" s="52"/>
      <c r="E25" s="5"/>
      <c r="F25" s="5"/>
      <c r="G25" s="67" t="str">
        <f aca="false">IF(D25="","",D25-C25)</f>
        <v/>
      </c>
      <c r="H25" s="13" t="str">
        <f aca="false">IF(D25="","",IF(D25&lt;=C25,"En meta",IF(D25&lt;=C25+1,"Riesgo","Atrasado")))</f>
        <v/>
      </c>
      <c r="I25" s="56"/>
      <c r="J25" s="55" t="str">
        <f aca="false">IF(I25="","",IF($I$9="","",IF($I$9=0,"",I25/$I$9)))</f>
        <v/>
      </c>
      <c r="K25" s="54"/>
      <c r="L25" s="55" t="str">
        <f aca="false">IF(K25="","",IF($K$9="","",IF($K$9=0,"",K25/$K$9)))</f>
        <v/>
      </c>
      <c r="M25" s="54"/>
      <c r="N25" s="55" t="str">
        <f aca="false">IF(M25="","",IF($M$9="","",IF($M$9=0,"",M25/$M$9)))</f>
        <v/>
      </c>
      <c r="O25" s="54"/>
      <c r="P25" s="55" t="str">
        <f aca="false">IF(O25="","",IF($O$9="","",IF($O$9=0,"",O25/$O$9)))</f>
        <v/>
      </c>
      <c r="Q25" s="56"/>
      <c r="R25" s="55" t="str">
        <f aca="false">IF(Q25="","",IF($Q$9="","",IF($Q$9=0,"",Q25/$Q$9)))</f>
        <v/>
      </c>
      <c r="S25" s="54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57" t="n">
        <v>46293</v>
      </c>
      <c r="C26" s="58" t="n">
        <f aca="false">$B$5</f>
        <v>0</v>
      </c>
      <c r="D26" s="52"/>
      <c r="E26" s="28"/>
      <c r="F26" s="28"/>
      <c r="G26" s="68" t="str">
        <f aca="false">IF(D26="","",D26-C26)</f>
        <v/>
      </c>
      <c r="H26" s="14" t="str">
        <f aca="false">IF(D26="","",IF(D26&lt;=C26,"En meta",IF(D26&lt;=C26+1,"Riesgo","Atrasado")))</f>
        <v/>
      </c>
      <c r="I26" s="56"/>
      <c r="J26" s="60" t="str">
        <f aca="false">IF(I26="","",IF($I$9="","",IF($I$9=0,"",I26/$I$9)))</f>
        <v/>
      </c>
      <c r="K26" s="54"/>
      <c r="L26" s="60" t="str">
        <f aca="false">IF(K26="","",IF($K$9="","",IF($K$9=0,"",K26/$K$9)))</f>
        <v/>
      </c>
      <c r="M26" s="54"/>
      <c r="N26" s="60" t="str">
        <f aca="false">IF(M26="","",IF($M$9="","",IF($M$9=0,"",M26/$M$9)))</f>
        <v/>
      </c>
      <c r="O26" s="54"/>
      <c r="P26" s="60" t="str">
        <f aca="false">IF(O26="","",IF($O$9="","",IF($O$9=0,"",O26/$O$9)))</f>
        <v/>
      </c>
      <c r="Q26" s="56"/>
      <c r="R26" s="60" t="str">
        <f aca="false">IF(Q26="","",IF($Q$9="","",IF($Q$9=0,"",Q26/$Q$9)))</f>
        <v/>
      </c>
      <c r="S26" s="54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50" t="n">
        <v>46300</v>
      </c>
      <c r="C27" s="51" t="n">
        <f aca="false">$B$5</f>
        <v>0</v>
      </c>
      <c r="D27" s="52"/>
      <c r="E27" s="5"/>
      <c r="F27" s="5"/>
      <c r="G27" s="67" t="str">
        <f aca="false">IF(D27="","",D27-C27)</f>
        <v/>
      </c>
      <c r="H27" s="13" t="str">
        <f aca="false">IF(D27="","",IF(D27&lt;=C27,"En meta",IF(D27&lt;=C27+1,"Riesgo","Atrasado")))</f>
        <v/>
      </c>
      <c r="I27" s="56"/>
      <c r="J27" s="55" t="str">
        <f aca="false">IF(I27="","",IF($I$9="","",IF($I$9=0,"",I27/$I$9)))</f>
        <v/>
      </c>
      <c r="K27" s="54"/>
      <c r="L27" s="55" t="str">
        <f aca="false">IF(K27="","",IF($K$9="","",IF($K$9=0,"",K27/$K$9)))</f>
        <v/>
      </c>
      <c r="M27" s="54"/>
      <c r="N27" s="55" t="str">
        <f aca="false">IF(M27="","",IF($M$9="","",IF($M$9=0,"",M27/$M$9)))</f>
        <v/>
      </c>
      <c r="O27" s="54"/>
      <c r="P27" s="55" t="str">
        <f aca="false">IF(O27="","",IF($O$9="","",IF($O$9=0,"",O27/$O$9)))</f>
        <v/>
      </c>
      <c r="Q27" s="56"/>
      <c r="R27" s="55" t="str">
        <f aca="false">IF(Q27="","",IF($Q$9="","",IF($Q$9=0,"",Q27/$Q$9)))</f>
        <v/>
      </c>
      <c r="S27" s="54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57" t="n">
        <v>46307</v>
      </c>
      <c r="C28" s="58" t="n">
        <f aca="false">$B$5</f>
        <v>0</v>
      </c>
      <c r="D28" s="52"/>
      <c r="E28" s="28"/>
      <c r="F28" s="28"/>
      <c r="G28" s="68" t="str">
        <f aca="false">IF(D28="","",D28-C28)</f>
        <v/>
      </c>
      <c r="H28" s="14" t="str">
        <f aca="false">IF(D28="","",IF(D28&lt;=C28,"En meta",IF(D28&lt;=C28+1,"Riesgo","Atrasado")))</f>
        <v/>
      </c>
      <c r="I28" s="56"/>
      <c r="J28" s="60" t="str">
        <f aca="false">IF(I28="","",IF($I$9="","",IF($I$9=0,"",I28/$I$9)))</f>
        <v/>
      </c>
      <c r="K28" s="54"/>
      <c r="L28" s="60" t="str">
        <f aca="false">IF(K28="","",IF($K$9="","",IF($K$9=0,"",K28/$K$9)))</f>
        <v/>
      </c>
      <c r="M28" s="54"/>
      <c r="N28" s="60" t="str">
        <f aca="false">IF(M28="","",IF($M$9="","",IF($M$9=0,"",M28/$M$9)))</f>
        <v/>
      </c>
      <c r="O28" s="54"/>
      <c r="P28" s="60" t="str">
        <f aca="false">IF(O28="","",IF($O$9="","",IF($O$9=0,"",O28/$O$9)))</f>
        <v/>
      </c>
      <c r="Q28" s="56"/>
      <c r="R28" s="60" t="str">
        <f aca="false">IF(Q28="","",IF($Q$9="","",IF($Q$9=0,"",Q28/$Q$9)))</f>
        <v/>
      </c>
      <c r="S28" s="54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  <row r="29" customFormat="false" ht="15" hidden="false" customHeight="false" outlineLevel="0" collapsed="false">
      <c r="A29" s="5" t="n">
        <v>19</v>
      </c>
      <c r="B29" s="50" t="n">
        <v>46314</v>
      </c>
      <c r="C29" s="51" t="n">
        <f aca="false">$B$5</f>
        <v>0</v>
      </c>
      <c r="D29" s="52"/>
      <c r="E29" s="5"/>
      <c r="F29" s="5"/>
      <c r="G29" s="67" t="str">
        <f aca="false">IF(D29="","",D29-C29)</f>
        <v/>
      </c>
      <c r="H29" s="13" t="str">
        <f aca="false">IF(D29="","",IF(D29&lt;=C29,"En meta",IF(D29&lt;=C29+1,"Riesgo","Atrasado")))</f>
        <v/>
      </c>
      <c r="I29" s="56"/>
      <c r="J29" s="55" t="str">
        <f aca="false">IF(I29="","",IF($I$9="","",IF($I$9=0,"",I29/$I$9)))</f>
        <v/>
      </c>
      <c r="K29" s="54"/>
      <c r="L29" s="55" t="str">
        <f aca="false">IF(K29="","",IF($K$9="","",IF($K$9=0,"",K29/$K$9)))</f>
        <v/>
      </c>
      <c r="M29" s="54"/>
      <c r="N29" s="55" t="str">
        <f aca="false">IF(M29="","",IF($M$9="","",IF($M$9=0,"",M29/$M$9)))</f>
        <v/>
      </c>
      <c r="O29" s="54"/>
      <c r="P29" s="55" t="str">
        <f aca="false">IF(O29="","",IF($O$9="","",IF($O$9=0,"",O29/$O$9)))</f>
        <v/>
      </c>
      <c r="Q29" s="56"/>
      <c r="R29" s="55" t="str">
        <f aca="false">IF(Q29="","",IF($Q$9="","",IF($Q$9=0,"",Q29/$Q$9)))</f>
        <v/>
      </c>
      <c r="S29" s="54"/>
      <c r="T29" s="55" t="str">
        <f aca="false">IF(S29="","",IF($S$9="","",IF($S$9=0,"",S29/$S$9)))</f>
        <v/>
      </c>
      <c r="U29" s="54"/>
      <c r="V29" s="55" t="str">
        <f aca="false">IF(U29="","",IF($U$9="","",IF($U$9=0,"",U29/$U$9)))</f>
        <v/>
      </c>
      <c r="W29" s="54"/>
      <c r="X29" s="55" t="str">
        <f aca="false">IF(W29="","",IF($W$9="","",IF($W$9=0,"",W29/$W$9)))</f>
        <v/>
      </c>
    </row>
    <row r="30" customFormat="false" ht="15" hidden="false" customHeight="false" outlineLevel="0" collapsed="false">
      <c r="A30" s="28" t="n">
        <v>20</v>
      </c>
      <c r="B30" s="57" t="n">
        <v>46321</v>
      </c>
      <c r="C30" s="58" t="n">
        <f aca="false">$B$5</f>
        <v>0</v>
      </c>
      <c r="D30" s="52"/>
      <c r="E30" s="28"/>
      <c r="F30" s="28"/>
      <c r="G30" s="68" t="str">
        <f aca="false">IF(D30="","",D30-C30)</f>
        <v/>
      </c>
      <c r="H30" s="14" t="str">
        <f aca="false">IF(D30="","",IF(D30&lt;=C30,"En meta",IF(D30&lt;=C30+1,"Riesgo","Atrasado")))</f>
        <v/>
      </c>
      <c r="I30" s="56"/>
      <c r="J30" s="60" t="str">
        <f aca="false">IF(I30="","",IF($I$9="","",IF($I$9=0,"",I30/$I$9)))</f>
        <v/>
      </c>
      <c r="K30" s="54"/>
      <c r="L30" s="60" t="str">
        <f aca="false">IF(K30="","",IF($K$9="","",IF($K$9=0,"",K30/$K$9)))</f>
        <v/>
      </c>
      <c r="M30" s="54"/>
      <c r="N30" s="60" t="str">
        <f aca="false">IF(M30="","",IF($M$9="","",IF($M$9=0,"",M30/$M$9)))</f>
        <v/>
      </c>
      <c r="O30" s="54"/>
      <c r="P30" s="60" t="str">
        <f aca="false">IF(O30="","",IF($O$9="","",IF($O$9=0,"",O30/$O$9)))</f>
        <v/>
      </c>
      <c r="Q30" s="56"/>
      <c r="R30" s="60" t="str">
        <f aca="false">IF(Q30="","",IF($Q$9="","",IF($Q$9=0,"",Q30/$Q$9)))</f>
        <v/>
      </c>
      <c r="S30" s="54"/>
      <c r="T30" s="60" t="str">
        <f aca="false">IF(S30="","",IF($S$9="","",IF($S$9=0,"",S30/$S$9)))</f>
        <v/>
      </c>
      <c r="U30" s="54"/>
      <c r="V30" s="60" t="str">
        <f aca="false">IF(U30="","",IF($U$9="","",IF($U$9=0,"",U30/$U$9)))</f>
        <v/>
      </c>
      <c r="W30" s="54"/>
      <c r="X30" s="60" t="str">
        <f aca="false">IF(W30="","",IF($W$9="","",IF($W$9=0,"",W30/$W$9)))</f>
        <v/>
      </c>
    </row>
    <row r="31" customFormat="false" ht="15" hidden="false" customHeight="false" outlineLevel="0" collapsed="false">
      <c r="A31" s="5" t="n">
        <v>21</v>
      </c>
      <c r="B31" s="50" t="n">
        <v>46328</v>
      </c>
      <c r="C31" s="51" t="n">
        <f aca="false">$B$5</f>
        <v>0</v>
      </c>
      <c r="D31" s="52"/>
      <c r="E31" s="5"/>
      <c r="F31" s="5"/>
      <c r="G31" s="67" t="str">
        <f aca="false">IF(D31="","",D31-C31)</f>
        <v/>
      </c>
      <c r="H31" s="13" t="str">
        <f aca="false">IF(D31="","",IF(D31&lt;=C31,"En meta",IF(D31&lt;=C31+1,"Riesgo","Atrasado")))</f>
        <v/>
      </c>
      <c r="I31" s="56"/>
      <c r="J31" s="55" t="str">
        <f aca="false">IF(I31="","",IF($I$9="","",IF($I$9=0,"",I31/$I$9)))</f>
        <v/>
      </c>
      <c r="K31" s="54"/>
      <c r="L31" s="55" t="str">
        <f aca="false">IF(K31="","",IF($K$9="","",IF($K$9=0,"",K31/$K$9)))</f>
        <v/>
      </c>
      <c r="M31" s="54"/>
      <c r="N31" s="55" t="str">
        <f aca="false">IF(M31="","",IF($M$9="","",IF($M$9=0,"",M31/$M$9)))</f>
        <v/>
      </c>
      <c r="O31" s="54"/>
      <c r="P31" s="55" t="str">
        <f aca="false">IF(O31="","",IF($O$9="","",IF($O$9=0,"",O31/$O$9)))</f>
        <v/>
      </c>
      <c r="Q31" s="56"/>
      <c r="R31" s="55" t="str">
        <f aca="false">IF(Q31="","",IF($Q$9="","",IF($Q$9=0,"",Q31/$Q$9)))</f>
        <v/>
      </c>
      <c r="S31" s="54"/>
      <c r="T31" s="55" t="str">
        <f aca="false">IF(S31="","",IF($S$9="","",IF($S$9=0,"",S31/$S$9)))</f>
        <v/>
      </c>
      <c r="U31" s="54"/>
      <c r="V31" s="55" t="str">
        <f aca="false">IF(U31="","",IF($U$9="","",IF($U$9=0,"",U31/$U$9)))</f>
        <v/>
      </c>
      <c r="W31" s="54"/>
      <c r="X31" s="55" t="str">
        <f aca="false">IF(W31="","",IF($W$9="","",IF($W$9=0,"",W31/$W$9)))</f>
        <v/>
      </c>
    </row>
    <row r="32" customFormat="false" ht="15" hidden="false" customHeight="false" outlineLevel="0" collapsed="false">
      <c r="A32" s="28" t="n">
        <v>22</v>
      </c>
      <c r="B32" s="57" t="n">
        <v>46335</v>
      </c>
      <c r="C32" s="58" t="n">
        <f aca="false">$B$5</f>
        <v>0</v>
      </c>
      <c r="D32" s="52"/>
      <c r="E32" s="28"/>
      <c r="F32" s="28"/>
      <c r="G32" s="68" t="str">
        <f aca="false">IF(D32="","",D32-C32)</f>
        <v/>
      </c>
      <c r="H32" s="14" t="str">
        <f aca="false">IF(D32="","",IF(D32&lt;=C32,"En meta",IF(D32&lt;=C32+1,"Riesgo","Atrasado")))</f>
        <v/>
      </c>
      <c r="I32" s="56"/>
      <c r="J32" s="60" t="str">
        <f aca="false">IF(I32="","",IF($I$9="","",IF($I$9=0,"",I32/$I$9)))</f>
        <v/>
      </c>
      <c r="K32" s="54"/>
      <c r="L32" s="60" t="str">
        <f aca="false">IF(K32="","",IF($K$9="","",IF($K$9=0,"",K32/$K$9)))</f>
        <v/>
      </c>
      <c r="M32" s="54"/>
      <c r="N32" s="60" t="str">
        <f aca="false">IF(M32="","",IF($M$9="","",IF($M$9=0,"",M32/$M$9)))</f>
        <v/>
      </c>
      <c r="O32" s="54"/>
      <c r="P32" s="60" t="str">
        <f aca="false">IF(O32="","",IF($O$9="","",IF($O$9=0,"",O32/$O$9)))</f>
        <v/>
      </c>
      <c r="Q32" s="56"/>
      <c r="R32" s="60" t="str">
        <f aca="false">IF(Q32="","",IF($Q$9="","",IF($Q$9=0,"",Q32/$Q$9)))</f>
        <v/>
      </c>
      <c r="S32" s="54"/>
      <c r="T32" s="60" t="str">
        <f aca="false">IF(S32="","",IF($S$9="","",IF($S$9=0,"",S32/$S$9)))</f>
        <v/>
      </c>
      <c r="U32" s="54"/>
      <c r="V32" s="60" t="str">
        <f aca="false">IF(U32="","",IF($U$9="","",IF($U$9=0,"",U32/$U$9)))</f>
        <v/>
      </c>
      <c r="W32" s="54"/>
      <c r="X32" s="60" t="str">
        <f aca="false">IF(W32="","",IF($W$9="","",IF($W$9=0,"",W32/$W$9)))</f>
        <v/>
      </c>
    </row>
    <row r="33" customFormat="false" ht="15" hidden="false" customHeight="false" outlineLevel="0" collapsed="false">
      <c r="A33" s="5" t="n">
        <v>23</v>
      </c>
      <c r="B33" s="50" t="n">
        <v>46342</v>
      </c>
      <c r="C33" s="51" t="n">
        <f aca="false">$B$5</f>
        <v>0</v>
      </c>
      <c r="D33" s="52"/>
      <c r="E33" s="5"/>
      <c r="F33" s="5"/>
      <c r="G33" s="67" t="str">
        <f aca="false">IF(D33="","",D33-C33)</f>
        <v/>
      </c>
      <c r="H33" s="13" t="str">
        <f aca="false">IF(D33="","",IF(D33&lt;=C33,"En meta",IF(D33&lt;=C33+1,"Riesgo","Atrasado")))</f>
        <v/>
      </c>
      <c r="I33" s="56"/>
      <c r="J33" s="55" t="str">
        <f aca="false">IF(I33="","",IF($I$9="","",IF($I$9=0,"",I33/$I$9)))</f>
        <v/>
      </c>
      <c r="K33" s="54"/>
      <c r="L33" s="55" t="str">
        <f aca="false">IF(K33="","",IF($K$9="","",IF($K$9=0,"",K33/$K$9)))</f>
        <v/>
      </c>
      <c r="M33" s="54"/>
      <c r="N33" s="55" t="str">
        <f aca="false">IF(M33="","",IF($M$9="","",IF($M$9=0,"",M33/$M$9)))</f>
        <v/>
      </c>
      <c r="O33" s="54"/>
      <c r="P33" s="55" t="str">
        <f aca="false">IF(O33="","",IF($O$9="","",IF($O$9=0,"",O33/$O$9)))</f>
        <v/>
      </c>
      <c r="Q33" s="56"/>
      <c r="R33" s="55" t="str">
        <f aca="false">IF(Q33="","",IF($Q$9="","",IF($Q$9=0,"",Q33/$Q$9)))</f>
        <v/>
      </c>
      <c r="S33" s="54"/>
      <c r="T33" s="55" t="str">
        <f aca="false">IF(S33="","",IF($S$9="","",IF($S$9=0,"",S33/$S$9)))</f>
        <v/>
      </c>
      <c r="U33" s="54"/>
      <c r="V33" s="55" t="str">
        <f aca="false">IF(U33="","",IF($U$9="","",IF($U$9=0,"",U33/$U$9)))</f>
        <v/>
      </c>
      <c r="W33" s="54"/>
      <c r="X33" s="55" t="str">
        <f aca="false">IF(W33="","",IF($W$9="","",IF($W$9=0,"",W33/$W$9)))</f>
        <v/>
      </c>
    </row>
    <row r="34" customFormat="false" ht="15" hidden="false" customHeight="false" outlineLevel="0" collapsed="false">
      <c r="A34" s="28" t="n">
        <v>24</v>
      </c>
      <c r="B34" s="57" t="n">
        <v>46349</v>
      </c>
      <c r="C34" s="58" t="n">
        <f aca="false">$B$5</f>
        <v>0</v>
      </c>
      <c r="D34" s="52"/>
      <c r="E34" s="28"/>
      <c r="F34" s="28"/>
      <c r="G34" s="68" t="str">
        <f aca="false">IF(D34="","",D34-C34)</f>
        <v/>
      </c>
      <c r="H34" s="14" t="str">
        <f aca="false">IF(D34="","",IF(D34&lt;=C34,"En meta",IF(D34&lt;=C34+1,"Riesgo","Atrasado")))</f>
        <v/>
      </c>
      <c r="I34" s="56"/>
      <c r="J34" s="60" t="str">
        <f aca="false">IF(I34="","",IF($I$9="","",IF($I$9=0,"",I34/$I$9)))</f>
        <v/>
      </c>
      <c r="K34" s="54"/>
      <c r="L34" s="60" t="str">
        <f aca="false">IF(K34="","",IF($K$9="","",IF($K$9=0,"",K34/$K$9)))</f>
        <v/>
      </c>
      <c r="M34" s="54"/>
      <c r="N34" s="60" t="str">
        <f aca="false">IF(M34="","",IF($M$9="","",IF($M$9=0,"",M34/$M$9)))</f>
        <v/>
      </c>
      <c r="O34" s="54"/>
      <c r="P34" s="60" t="str">
        <f aca="false">IF(O34="","",IF($O$9="","",IF($O$9=0,"",O34/$O$9)))</f>
        <v/>
      </c>
      <c r="Q34" s="56"/>
      <c r="R34" s="60" t="str">
        <f aca="false">IF(Q34="","",IF($Q$9="","",IF($Q$9=0,"",Q34/$Q$9)))</f>
        <v/>
      </c>
      <c r="S34" s="54"/>
      <c r="T34" s="60" t="str">
        <f aca="false">IF(S34="","",IF($S$9="","",IF($S$9=0,"",S34/$S$9)))</f>
        <v/>
      </c>
      <c r="U34" s="54"/>
      <c r="V34" s="60" t="str">
        <f aca="false">IF(U34="","",IF($U$9="","",IF($U$9=0,"",U34/$U$9)))</f>
        <v/>
      </c>
      <c r="W34" s="54"/>
      <c r="X34" s="60" t="str">
        <f aca="false">IF(W34="","",IF($W$9="","",IF($W$9=0,"",W34/$W$9)))</f>
        <v/>
      </c>
    </row>
    <row r="35" customFormat="false" ht="15" hidden="false" customHeight="false" outlineLevel="0" collapsed="false">
      <c r="A35" s="5" t="n">
        <v>25</v>
      </c>
      <c r="B35" s="50" t="n">
        <v>46356</v>
      </c>
      <c r="C35" s="51" t="n">
        <f aca="false">$B$5</f>
        <v>0</v>
      </c>
      <c r="D35" s="52"/>
      <c r="E35" s="5"/>
      <c r="F35" s="5"/>
      <c r="G35" s="67" t="str">
        <f aca="false">IF(D35="","",D35-C35)</f>
        <v/>
      </c>
      <c r="H35" s="13" t="str">
        <f aca="false">IF(D35="","",IF(D35&lt;=C35,"En meta",IF(D35&lt;=C35+1,"Riesgo","Atrasado")))</f>
        <v/>
      </c>
      <c r="I35" s="56"/>
      <c r="J35" s="55" t="str">
        <f aca="false">IF(I35="","",IF($I$9="","",IF($I$9=0,"",I35/$I$9)))</f>
        <v/>
      </c>
      <c r="K35" s="54"/>
      <c r="L35" s="55" t="str">
        <f aca="false">IF(K35="","",IF($K$9="","",IF($K$9=0,"",K35/$K$9)))</f>
        <v/>
      </c>
      <c r="M35" s="54"/>
      <c r="N35" s="55" t="str">
        <f aca="false">IF(M35="","",IF($M$9="","",IF($M$9=0,"",M35/$M$9)))</f>
        <v/>
      </c>
      <c r="O35" s="54"/>
      <c r="P35" s="55" t="str">
        <f aca="false">IF(O35="","",IF($O$9="","",IF($O$9=0,"",O35/$O$9)))</f>
        <v/>
      </c>
      <c r="Q35" s="56"/>
      <c r="R35" s="55" t="str">
        <f aca="false">IF(Q35="","",IF($Q$9="","",IF($Q$9=0,"",Q35/$Q$9)))</f>
        <v/>
      </c>
      <c r="S35" s="54"/>
      <c r="T35" s="55" t="str">
        <f aca="false">IF(S35="","",IF($S$9="","",IF($S$9=0,"",S35/$S$9)))</f>
        <v/>
      </c>
      <c r="U35" s="54"/>
      <c r="V35" s="55" t="str">
        <f aca="false">IF(U35="","",IF($U$9="","",IF($U$9=0,"",U35/$U$9)))</f>
        <v/>
      </c>
      <c r="W35" s="54"/>
      <c r="X35" s="55" t="str">
        <f aca="false">IF(W35="","",IF($W$9="","",IF($W$9=0,"",W35/$W$9)))</f>
        <v/>
      </c>
    </row>
    <row r="36" customFormat="false" ht="15" hidden="false" customHeight="false" outlineLevel="0" collapsed="false">
      <c r="A36" s="28" t="n">
        <v>26</v>
      </c>
      <c r="B36" s="57" t="n">
        <v>46363</v>
      </c>
      <c r="C36" s="58" t="n">
        <f aca="false">$B$5</f>
        <v>0</v>
      </c>
      <c r="D36" s="52"/>
      <c r="E36" s="28"/>
      <c r="F36" s="28"/>
      <c r="G36" s="68" t="str">
        <f aca="false">IF(D36="","",D36-C36)</f>
        <v/>
      </c>
      <c r="H36" s="14" t="str">
        <f aca="false">IF(D36="","",IF(D36&lt;=C36,"En meta",IF(D36&lt;=C36+1,"Riesgo","Atrasado")))</f>
        <v/>
      </c>
      <c r="I36" s="56"/>
      <c r="J36" s="60" t="str">
        <f aca="false">IF(I36="","",IF($I$9="","",IF($I$9=0,"",I36/$I$9)))</f>
        <v/>
      </c>
      <c r="K36" s="54"/>
      <c r="L36" s="60" t="str">
        <f aca="false">IF(K36="","",IF($K$9="","",IF($K$9=0,"",K36/$K$9)))</f>
        <v/>
      </c>
      <c r="M36" s="54"/>
      <c r="N36" s="60" t="str">
        <f aca="false">IF(M36="","",IF($M$9="","",IF($M$9=0,"",M36/$M$9)))</f>
        <v/>
      </c>
      <c r="O36" s="54"/>
      <c r="P36" s="60" t="str">
        <f aca="false">IF(O36="","",IF($O$9="","",IF($O$9=0,"",O36/$O$9)))</f>
        <v/>
      </c>
      <c r="Q36" s="56"/>
      <c r="R36" s="60" t="str">
        <f aca="false">IF(Q36="","",IF($Q$9="","",IF($Q$9=0,"",Q36/$Q$9)))</f>
        <v/>
      </c>
      <c r="S36" s="54"/>
      <c r="T36" s="60" t="str">
        <f aca="false">IF(S36="","",IF($S$9="","",IF($S$9=0,"",S36/$S$9)))</f>
        <v/>
      </c>
      <c r="U36" s="54"/>
      <c r="V36" s="60" t="str">
        <f aca="false">IF(U36="","",IF($U$9="","",IF($U$9=0,"",U36/$U$9)))</f>
        <v/>
      </c>
      <c r="W36" s="54"/>
      <c r="X36" s="60" t="str">
        <f aca="false">IF(W36="","",IF($W$9="","",IF($W$9=0,"",W36/$W$9)))</f>
        <v/>
      </c>
    </row>
    <row r="37" customFormat="false" ht="15" hidden="false" customHeight="false" outlineLevel="0" collapsed="false">
      <c r="A37" s="5" t="n">
        <v>27</v>
      </c>
      <c r="B37" s="50" t="n">
        <v>46370</v>
      </c>
      <c r="C37" s="51" t="n">
        <f aca="false">$B$5</f>
        <v>0</v>
      </c>
      <c r="D37" s="52"/>
      <c r="E37" s="5"/>
      <c r="F37" s="5"/>
      <c r="G37" s="67" t="str">
        <f aca="false">IF(D37="","",D37-C37)</f>
        <v/>
      </c>
      <c r="H37" s="13" t="str">
        <f aca="false">IF(D37="","",IF(D37&lt;=C37,"En meta",IF(D37&lt;=C37+1,"Riesgo","Atrasado")))</f>
        <v/>
      </c>
      <c r="I37" s="56"/>
      <c r="J37" s="55" t="str">
        <f aca="false">IF(I37="","",IF($I$9="","",IF($I$9=0,"",I37/$I$9)))</f>
        <v/>
      </c>
      <c r="K37" s="54"/>
      <c r="L37" s="55" t="str">
        <f aca="false">IF(K37="","",IF($K$9="","",IF($K$9=0,"",K37/$K$9)))</f>
        <v/>
      </c>
      <c r="M37" s="54"/>
      <c r="N37" s="55" t="str">
        <f aca="false">IF(M37="","",IF($M$9="","",IF($M$9=0,"",M37/$M$9)))</f>
        <v/>
      </c>
      <c r="O37" s="54"/>
      <c r="P37" s="55" t="str">
        <f aca="false">IF(O37="","",IF($O$9="","",IF($O$9=0,"",O37/$O$9)))</f>
        <v/>
      </c>
      <c r="Q37" s="56"/>
      <c r="R37" s="55" t="str">
        <f aca="false">IF(Q37="","",IF($Q$9="","",IF($Q$9=0,"",Q37/$Q$9)))</f>
        <v/>
      </c>
      <c r="S37" s="54"/>
      <c r="T37" s="55" t="str">
        <f aca="false">IF(S37="","",IF($S$9="","",IF($S$9=0,"",S37/$S$9)))</f>
        <v/>
      </c>
      <c r="U37" s="54"/>
      <c r="V37" s="55" t="str">
        <f aca="false">IF(U37="","",IF($U$9="","",IF($U$9=0,"",U37/$U$9)))</f>
        <v/>
      </c>
      <c r="W37" s="54"/>
      <c r="X37" s="55" t="str">
        <f aca="false">IF(W37="","",IF($W$9="","",IF($W$9=0,"",W37/$W$9)))</f>
        <v/>
      </c>
    </row>
    <row r="38" customFormat="false" ht="15" hidden="false" customHeight="false" outlineLevel="0" collapsed="false">
      <c r="A38" s="28" t="n">
        <v>28</v>
      </c>
      <c r="B38" s="57" t="n">
        <v>46377</v>
      </c>
      <c r="C38" s="58" t="n">
        <f aca="false">$B$5</f>
        <v>0</v>
      </c>
      <c r="D38" s="52"/>
      <c r="E38" s="28"/>
      <c r="F38" s="28"/>
      <c r="G38" s="68" t="str">
        <f aca="false">IF(D38="","",D38-C38)</f>
        <v/>
      </c>
      <c r="H38" s="14" t="str">
        <f aca="false">IF(D38="","",IF(D38&lt;=C38,"En meta",IF(D38&lt;=C38+1,"Riesgo","Atrasado")))</f>
        <v/>
      </c>
      <c r="I38" s="56"/>
      <c r="J38" s="60" t="str">
        <f aca="false">IF(I38="","",IF($I$9="","",IF($I$9=0,"",I38/$I$9)))</f>
        <v/>
      </c>
      <c r="K38" s="54"/>
      <c r="L38" s="60" t="str">
        <f aca="false">IF(K38="","",IF($K$9="","",IF($K$9=0,"",K38/$K$9)))</f>
        <v/>
      </c>
      <c r="M38" s="54"/>
      <c r="N38" s="60" t="str">
        <f aca="false">IF(M38="","",IF($M$9="","",IF($M$9=0,"",M38/$M$9)))</f>
        <v/>
      </c>
      <c r="O38" s="54"/>
      <c r="P38" s="60" t="str">
        <f aca="false">IF(O38="","",IF($O$9="","",IF($O$9=0,"",O38/$O$9)))</f>
        <v/>
      </c>
      <c r="Q38" s="56"/>
      <c r="R38" s="60" t="str">
        <f aca="false">IF(Q38="","",IF($Q$9="","",IF($Q$9=0,"",Q38/$Q$9)))</f>
        <v/>
      </c>
      <c r="S38" s="54"/>
      <c r="T38" s="60" t="str">
        <f aca="false">IF(S38="","",IF($S$9="","",IF($S$9=0,"",S38/$S$9)))</f>
        <v/>
      </c>
      <c r="U38" s="54"/>
      <c r="V38" s="60" t="str">
        <f aca="false">IF(U38="","",IF($U$9="","",IF($U$9=0,"",U38/$U$9)))</f>
        <v/>
      </c>
      <c r="W38" s="54"/>
      <c r="X38" s="60" t="str">
        <f aca="false">IF(W38="","",IF($W$9="","",IF($W$9=0,"",W38/$W$9)))</f>
        <v/>
      </c>
    </row>
    <row r="39" customFormat="false" ht="15" hidden="false" customHeight="false" outlineLevel="0" collapsed="false">
      <c r="A39" s="5" t="n">
        <v>29</v>
      </c>
      <c r="B39" s="50" t="n">
        <v>46384</v>
      </c>
      <c r="C39" s="51" t="n">
        <f aca="false">$B$5</f>
        <v>0</v>
      </c>
      <c r="D39" s="52"/>
      <c r="E39" s="5"/>
      <c r="F39" s="5"/>
      <c r="G39" s="67" t="str">
        <f aca="false">IF(D39="","",D39-C39)</f>
        <v/>
      </c>
      <c r="H39" s="13" t="str">
        <f aca="false">IF(D39="","",IF(D39&lt;=C39,"En meta",IF(D39&lt;=C39+1,"Riesgo","Atrasado")))</f>
        <v/>
      </c>
      <c r="I39" s="56"/>
      <c r="J39" s="55" t="str">
        <f aca="false">IF(I39="","",IF($I$9="","",IF($I$9=0,"",I39/$I$9)))</f>
        <v/>
      </c>
      <c r="K39" s="54"/>
      <c r="L39" s="55" t="str">
        <f aca="false">IF(K39="","",IF($K$9="","",IF($K$9=0,"",K39/$K$9)))</f>
        <v/>
      </c>
      <c r="M39" s="54"/>
      <c r="N39" s="55" t="str">
        <f aca="false">IF(M39="","",IF($M$9="","",IF($M$9=0,"",M39/$M$9)))</f>
        <v/>
      </c>
      <c r="O39" s="54"/>
      <c r="P39" s="55" t="str">
        <f aca="false">IF(O39="","",IF($O$9="","",IF($O$9=0,"",O39/$O$9)))</f>
        <v/>
      </c>
      <c r="Q39" s="56"/>
      <c r="R39" s="55" t="str">
        <f aca="false">IF(Q39="","",IF($Q$9="","",IF($Q$9=0,"",Q39/$Q$9)))</f>
        <v/>
      </c>
      <c r="S39" s="54"/>
      <c r="T39" s="55" t="str">
        <f aca="false">IF(S39="","",IF($S$9="","",IF($S$9=0,"",S39/$S$9)))</f>
        <v/>
      </c>
      <c r="U39" s="54"/>
      <c r="V39" s="55" t="str">
        <f aca="false">IF(U39="","",IF($U$9="","",IF($U$9=0,"",U39/$U$9)))</f>
        <v/>
      </c>
      <c r="W39" s="54"/>
      <c r="X39" s="55" t="str">
        <f aca="false">IF(W39="","",IF($W$9="","",IF($W$9=0,"",W39/$W$9)))</f>
        <v/>
      </c>
    </row>
    <row r="40" customFormat="false" ht="15" hidden="false" customHeight="false" outlineLevel="0" collapsed="false">
      <c r="A40" s="28" t="n">
        <v>30</v>
      </c>
      <c r="B40" s="57" t="n">
        <v>46391</v>
      </c>
      <c r="C40" s="58" t="n">
        <f aca="false">$B$5</f>
        <v>0</v>
      </c>
      <c r="D40" s="52"/>
      <c r="E40" s="28"/>
      <c r="F40" s="28"/>
      <c r="G40" s="68" t="str">
        <f aca="false">IF(D40="","",D40-C40)</f>
        <v/>
      </c>
      <c r="H40" s="14" t="str">
        <f aca="false">IF(D40="","",IF(D40&lt;=C40,"En meta",IF(D40&lt;=C40+1,"Riesgo","Atrasado")))</f>
        <v/>
      </c>
      <c r="I40" s="56"/>
      <c r="J40" s="60" t="str">
        <f aca="false">IF(I40="","",IF($I$9="","",IF($I$9=0,"",I40/$I$9)))</f>
        <v/>
      </c>
      <c r="K40" s="54"/>
      <c r="L40" s="60" t="str">
        <f aca="false">IF(K40="","",IF($K$9="","",IF($K$9=0,"",K40/$K$9)))</f>
        <v/>
      </c>
      <c r="M40" s="54"/>
      <c r="N40" s="60" t="str">
        <f aca="false">IF(M40="","",IF($M$9="","",IF($M$9=0,"",M40/$M$9)))</f>
        <v/>
      </c>
      <c r="O40" s="54"/>
      <c r="P40" s="60" t="str">
        <f aca="false">IF(O40="","",IF($O$9="","",IF($O$9=0,"",O40/$O$9)))</f>
        <v/>
      </c>
      <c r="Q40" s="56"/>
      <c r="R40" s="60" t="str">
        <f aca="false">IF(Q40="","",IF($Q$9="","",IF($Q$9=0,"",Q40/$Q$9)))</f>
        <v/>
      </c>
      <c r="S40" s="54"/>
      <c r="T40" s="60" t="str">
        <f aca="false">IF(S40="","",IF($S$9="","",IF($S$9=0,"",S40/$S$9)))</f>
        <v/>
      </c>
      <c r="U40" s="54"/>
      <c r="V40" s="60" t="str">
        <f aca="false">IF(U40="","",IF($U$9="","",IF($U$9=0,"",U40/$U$9)))</f>
        <v/>
      </c>
      <c r="W40" s="54"/>
      <c r="X40" s="60" t="str">
        <f aca="false">IF(W40="","",IF($W$9="","",IF($W$9=0,"",W40/$W$9)))</f>
        <v/>
      </c>
    </row>
    <row r="41" customFormat="false" ht="15" hidden="false" customHeight="false" outlineLevel="0" collapsed="false">
      <c r="A41" s="5" t="n">
        <v>31</v>
      </c>
      <c r="B41" s="50" t="n">
        <v>46398</v>
      </c>
      <c r="C41" s="51" t="n">
        <f aca="false">$B$5</f>
        <v>0</v>
      </c>
      <c r="D41" s="52"/>
      <c r="E41" s="5"/>
      <c r="F41" s="5"/>
      <c r="G41" s="67" t="str">
        <f aca="false">IF(D41="","",D41-C41)</f>
        <v/>
      </c>
      <c r="H41" s="13" t="str">
        <f aca="false">IF(D41="","",IF(D41&lt;=C41,"En meta",IF(D41&lt;=C41+1,"Riesgo","Atrasado")))</f>
        <v/>
      </c>
      <c r="I41" s="56"/>
      <c r="J41" s="55" t="str">
        <f aca="false">IF(I41="","",IF($I$9="","",IF($I$9=0,"",I41/$I$9)))</f>
        <v/>
      </c>
      <c r="K41" s="54"/>
      <c r="L41" s="55" t="str">
        <f aca="false">IF(K41="","",IF($K$9="","",IF($K$9=0,"",K41/$K$9)))</f>
        <v/>
      </c>
      <c r="M41" s="54"/>
      <c r="N41" s="55" t="str">
        <f aca="false">IF(M41="","",IF($M$9="","",IF($M$9=0,"",M41/$M$9)))</f>
        <v/>
      </c>
      <c r="O41" s="54"/>
      <c r="P41" s="55" t="str">
        <f aca="false">IF(O41="","",IF($O$9="","",IF($O$9=0,"",O41/$O$9)))</f>
        <v/>
      </c>
      <c r="Q41" s="56"/>
      <c r="R41" s="55" t="str">
        <f aca="false">IF(Q41="","",IF($Q$9="","",IF($Q$9=0,"",Q41/$Q$9)))</f>
        <v/>
      </c>
      <c r="S41" s="54"/>
      <c r="T41" s="55" t="str">
        <f aca="false">IF(S41="","",IF($S$9="","",IF($S$9=0,"",S41/$S$9)))</f>
        <v/>
      </c>
      <c r="U41" s="54"/>
      <c r="V41" s="55" t="str">
        <f aca="false">IF(U41="","",IF($U$9="","",IF($U$9=0,"",U41/$U$9)))</f>
        <v/>
      </c>
      <c r="W41" s="54"/>
      <c r="X41" s="55" t="str">
        <f aca="false">IF(W41="","",IF($W$9="","",IF($W$9=0,"",W41/$W$9)))</f>
        <v/>
      </c>
    </row>
    <row r="42" customFormat="false" ht="15" hidden="false" customHeight="false" outlineLevel="0" collapsed="false">
      <c r="A42" s="28" t="n">
        <v>32</v>
      </c>
      <c r="B42" s="57" t="n">
        <v>46405</v>
      </c>
      <c r="C42" s="58" t="n">
        <f aca="false">$B$5</f>
        <v>0</v>
      </c>
      <c r="D42" s="52"/>
      <c r="E42" s="28"/>
      <c r="F42" s="28"/>
      <c r="G42" s="68" t="str">
        <f aca="false">IF(D42="","",D42-C42)</f>
        <v/>
      </c>
      <c r="H42" s="14" t="str">
        <f aca="false">IF(D42="","",IF(D42&lt;=C42,"En meta",IF(D42&lt;=C42+1,"Riesgo","Atrasado")))</f>
        <v/>
      </c>
      <c r="I42" s="56"/>
      <c r="J42" s="60" t="str">
        <f aca="false">IF(I42="","",IF($I$9="","",IF($I$9=0,"",I42/$I$9)))</f>
        <v/>
      </c>
      <c r="K42" s="54"/>
      <c r="L42" s="60" t="str">
        <f aca="false">IF(K42="","",IF($K$9="","",IF($K$9=0,"",K42/$K$9)))</f>
        <v/>
      </c>
      <c r="M42" s="54"/>
      <c r="N42" s="60" t="str">
        <f aca="false">IF(M42="","",IF($M$9="","",IF($M$9=0,"",M42/$M$9)))</f>
        <v/>
      </c>
      <c r="O42" s="54"/>
      <c r="P42" s="60" t="str">
        <f aca="false">IF(O42="","",IF($O$9="","",IF($O$9=0,"",O42/$O$9)))</f>
        <v/>
      </c>
      <c r="Q42" s="56"/>
      <c r="R42" s="60" t="str">
        <f aca="false">IF(Q42="","",IF($Q$9="","",IF($Q$9=0,"",Q42/$Q$9)))</f>
        <v/>
      </c>
      <c r="S42" s="54"/>
      <c r="T42" s="60" t="str">
        <f aca="false">IF(S42="","",IF($S$9="","",IF($S$9=0,"",S42/$S$9)))</f>
        <v/>
      </c>
      <c r="U42" s="54"/>
      <c r="V42" s="60" t="str">
        <f aca="false">IF(U42="","",IF($U$9="","",IF($U$9=0,"",U42/$U$9)))</f>
        <v/>
      </c>
      <c r="W42" s="54"/>
      <c r="X42" s="60" t="str">
        <f aca="false">IF(W42="","",IF($W$9="","",IF($W$9=0,"",W42/$W$9)))</f>
        <v/>
      </c>
    </row>
    <row r="43" customFormat="false" ht="15" hidden="false" customHeight="false" outlineLevel="0" collapsed="false">
      <c r="A43" s="5" t="n">
        <v>33</v>
      </c>
      <c r="B43" s="50" t="n">
        <v>46412</v>
      </c>
      <c r="C43" s="51" t="n">
        <f aca="false">$B$5</f>
        <v>0</v>
      </c>
      <c r="D43" s="52"/>
      <c r="E43" s="5"/>
      <c r="F43" s="5"/>
      <c r="G43" s="67" t="str">
        <f aca="false">IF(D43="","",D43-C43)</f>
        <v/>
      </c>
      <c r="H43" s="13" t="str">
        <f aca="false">IF(D43="","",IF(D43&lt;=C43,"En meta",IF(D43&lt;=C43+1,"Riesgo","Atrasado")))</f>
        <v/>
      </c>
      <c r="I43" s="56"/>
      <c r="J43" s="55" t="str">
        <f aca="false">IF(I43="","",IF($I$9="","",IF($I$9=0,"",I43/$I$9)))</f>
        <v/>
      </c>
      <c r="K43" s="54"/>
      <c r="L43" s="55" t="str">
        <f aca="false">IF(K43="","",IF($K$9="","",IF($K$9=0,"",K43/$K$9)))</f>
        <v/>
      </c>
      <c r="M43" s="54"/>
      <c r="N43" s="55" t="str">
        <f aca="false">IF(M43="","",IF($M$9="","",IF($M$9=0,"",M43/$M$9)))</f>
        <v/>
      </c>
      <c r="O43" s="54"/>
      <c r="P43" s="55" t="str">
        <f aca="false">IF(O43="","",IF($O$9="","",IF($O$9=0,"",O43/$O$9)))</f>
        <v/>
      </c>
      <c r="Q43" s="56"/>
      <c r="R43" s="55" t="str">
        <f aca="false">IF(Q43="","",IF($Q$9="","",IF($Q$9=0,"",Q43/$Q$9)))</f>
        <v/>
      </c>
      <c r="S43" s="54"/>
      <c r="T43" s="55" t="str">
        <f aca="false">IF(S43="","",IF($S$9="","",IF($S$9=0,"",S43/$S$9)))</f>
        <v/>
      </c>
      <c r="U43" s="54"/>
      <c r="V43" s="55" t="str">
        <f aca="false">IF(U43="","",IF($U$9="","",IF($U$9=0,"",U43/$U$9)))</f>
        <v/>
      </c>
      <c r="W43" s="54"/>
      <c r="X43" s="55" t="str">
        <f aca="false">IF(W43="","",IF($W$9="","",IF($W$9=0,"",W43/$W$9)))</f>
        <v/>
      </c>
    </row>
    <row r="44" customFormat="false" ht="15" hidden="false" customHeight="false" outlineLevel="0" collapsed="false">
      <c r="A44" s="28" t="n">
        <v>34</v>
      </c>
      <c r="B44" s="57" t="n">
        <v>46419</v>
      </c>
      <c r="C44" s="58" t="n">
        <f aca="false">$B$5</f>
        <v>0</v>
      </c>
      <c r="D44" s="52"/>
      <c r="E44" s="28"/>
      <c r="F44" s="28"/>
      <c r="G44" s="68" t="str">
        <f aca="false">IF(D44="","",D44-C44)</f>
        <v/>
      </c>
      <c r="H44" s="14" t="str">
        <f aca="false">IF(D44="","",IF(D44&lt;=C44,"En meta",IF(D44&lt;=C44+1,"Riesgo","Atrasado")))</f>
        <v/>
      </c>
      <c r="I44" s="56"/>
      <c r="J44" s="60" t="str">
        <f aca="false">IF(I44="","",IF($I$9="","",IF($I$9=0,"",I44/$I$9)))</f>
        <v/>
      </c>
      <c r="K44" s="54"/>
      <c r="L44" s="60" t="str">
        <f aca="false">IF(K44="","",IF($K$9="","",IF($K$9=0,"",K44/$K$9)))</f>
        <v/>
      </c>
      <c r="M44" s="54"/>
      <c r="N44" s="60" t="str">
        <f aca="false">IF(M44="","",IF($M$9="","",IF($M$9=0,"",M44/$M$9)))</f>
        <v/>
      </c>
      <c r="O44" s="54"/>
      <c r="P44" s="60" t="str">
        <f aca="false">IF(O44="","",IF($O$9="","",IF($O$9=0,"",O44/$O$9)))</f>
        <v/>
      </c>
      <c r="Q44" s="56"/>
      <c r="R44" s="60" t="str">
        <f aca="false">IF(Q44="","",IF($Q$9="","",IF($Q$9=0,"",Q44/$Q$9)))</f>
        <v/>
      </c>
      <c r="S44" s="54"/>
      <c r="T44" s="60" t="str">
        <f aca="false">IF(S44="","",IF($S$9="","",IF($S$9=0,"",S44/$S$9)))</f>
        <v/>
      </c>
      <c r="U44" s="54"/>
      <c r="V44" s="60" t="str">
        <f aca="false">IF(U44="","",IF($U$9="","",IF($U$9=0,"",U44/$U$9)))</f>
        <v/>
      </c>
      <c r="W44" s="54"/>
      <c r="X44" s="60" t="str">
        <f aca="false">IF(W44="","",IF($W$9="","",IF($W$9=0,"",W44/$W$9)))</f>
        <v/>
      </c>
    </row>
    <row r="45" customFormat="false" ht="15" hidden="false" customHeight="false" outlineLevel="0" collapsed="false">
      <c r="A45" s="5" t="n">
        <v>35</v>
      </c>
      <c r="B45" s="50" t="n">
        <v>46426</v>
      </c>
      <c r="C45" s="51" t="n">
        <f aca="false">$B$5</f>
        <v>0</v>
      </c>
      <c r="D45" s="52"/>
      <c r="E45" s="5"/>
      <c r="F45" s="5"/>
      <c r="G45" s="67" t="str">
        <f aca="false">IF(D45="","",D45-C45)</f>
        <v/>
      </c>
      <c r="H45" s="13" t="str">
        <f aca="false">IF(D45="","",IF(D45&lt;=C45,"En meta",IF(D45&lt;=C45+1,"Riesgo","Atrasado")))</f>
        <v/>
      </c>
      <c r="I45" s="56"/>
      <c r="J45" s="55" t="str">
        <f aca="false">IF(I45="","",IF($I$9="","",IF($I$9=0,"",I45/$I$9)))</f>
        <v/>
      </c>
      <c r="K45" s="54"/>
      <c r="L45" s="55" t="str">
        <f aca="false">IF(K45="","",IF($K$9="","",IF($K$9=0,"",K45/$K$9)))</f>
        <v/>
      </c>
      <c r="M45" s="54"/>
      <c r="N45" s="55" t="str">
        <f aca="false">IF(M45="","",IF($M$9="","",IF($M$9=0,"",M45/$M$9)))</f>
        <v/>
      </c>
      <c r="O45" s="54"/>
      <c r="P45" s="55" t="str">
        <f aca="false">IF(O45="","",IF($O$9="","",IF($O$9=0,"",O45/$O$9)))</f>
        <v/>
      </c>
      <c r="Q45" s="56"/>
      <c r="R45" s="55" t="str">
        <f aca="false">IF(Q45="","",IF($Q$9="","",IF($Q$9=0,"",Q45/$Q$9)))</f>
        <v/>
      </c>
      <c r="S45" s="54"/>
      <c r="T45" s="55" t="str">
        <f aca="false">IF(S45="","",IF($S$9="","",IF($S$9=0,"",S45/$S$9)))</f>
        <v/>
      </c>
      <c r="U45" s="54"/>
      <c r="V45" s="55" t="str">
        <f aca="false">IF(U45="","",IF($U$9="","",IF($U$9=0,"",U45/$U$9)))</f>
        <v/>
      </c>
      <c r="W45" s="54"/>
      <c r="X45" s="55" t="str">
        <f aca="false">IF(W45="","",IF($W$9="","",IF($W$9=0,"",W45/$W$9)))</f>
        <v/>
      </c>
    </row>
    <row r="46" customFormat="false" ht="15" hidden="false" customHeight="false" outlineLevel="0" collapsed="false">
      <c r="A46" s="28" t="n">
        <v>36</v>
      </c>
      <c r="B46" s="57" t="n">
        <v>46433</v>
      </c>
      <c r="C46" s="58" t="n">
        <f aca="false">$B$5</f>
        <v>0</v>
      </c>
      <c r="D46" s="52"/>
      <c r="E46" s="28"/>
      <c r="F46" s="28"/>
      <c r="G46" s="68" t="str">
        <f aca="false">IF(D46="","",D46-C46)</f>
        <v/>
      </c>
      <c r="H46" s="14" t="str">
        <f aca="false">IF(D46="","",IF(D46&lt;=C46,"En meta",IF(D46&lt;=C46+1,"Riesgo","Atrasado")))</f>
        <v/>
      </c>
      <c r="I46" s="56"/>
      <c r="J46" s="60" t="str">
        <f aca="false">IF(I46="","",IF($I$9="","",IF($I$9=0,"",I46/$I$9)))</f>
        <v/>
      </c>
      <c r="K46" s="54"/>
      <c r="L46" s="60" t="str">
        <f aca="false">IF(K46="","",IF($K$9="","",IF($K$9=0,"",K46/$K$9)))</f>
        <v/>
      </c>
      <c r="M46" s="54"/>
      <c r="N46" s="60" t="str">
        <f aca="false">IF(M46="","",IF($M$9="","",IF($M$9=0,"",M46/$M$9)))</f>
        <v/>
      </c>
      <c r="O46" s="54"/>
      <c r="P46" s="60" t="str">
        <f aca="false">IF(O46="","",IF($O$9="","",IF($O$9=0,"",O46/$O$9)))</f>
        <v/>
      </c>
      <c r="Q46" s="56"/>
      <c r="R46" s="60" t="str">
        <f aca="false">IF(Q46="","",IF($Q$9="","",IF($Q$9=0,"",Q46/$Q$9)))</f>
        <v/>
      </c>
      <c r="S46" s="54"/>
      <c r="T46" s="60" t="str">
        <f aca="false">IF(S46="","",IF($S$9="","",IF($S$9=0,"",S46/$S$9)))</f>
        <v/>
      </c>
      <c r="U46" s="54"/>
      <c r="V46" s="60" t="str">
        <f aca="false">IF(U46="","",IF($U$9="","",IF($U$9=0,"",U46/$U$9)))</f>
        <v/>
      </c>
      <c r="W46" s="54"/>
      <c r="X46" s="60" t="str">
        <f aca="false">IF(W46="","",IF($W$9="","",IF($W$9=0,"",W46/$W$9)))</f>
        <v/>
      </c>
    </row>
    <row r="47" customFormat="false" ht="15" hidden="false" customHeight="false" outlineLevel="0" collapsed="false">
      <c r="A47" s="5" t="n">
        <v>37</v>
      </c>
      <c r="B47" s="50" t="n">
        <v>46440</v>
      </c>
      <c r="C47" s="51" t="n">
        <f aca="false">$B$5</f>
        <v>0</v>
      </c>
      <c r="D47" s="52"/>
      <c r="E47" s="5"/>
      <c r="F47" s="5"/>
      <c r="G47" s="67" t="str">
        <f aca="false">IF(D47="","",D47-C47)</f>
        <v/>
      </c>
      <c r="H47" s="13" t="str">
        <f aca="false">IF(D47="","",IF(D47&lt;=C47,"En meta",IF(D47&lt;=C47+1,"Riesgo","Atrasado")))</f>
        <v/>
      </c>
      <c r="I47" s="56"/>
      <c r="J47" s="55" t="str">
        <f aca="false">IF(I47="","",IF($I$9="","",IF($I$9=0,"",I47/$I$9)))</f>
        <v/>
      </c>
      <c r="K47" s="54"/>
      <c r="L47" s="55" t="str">
        <f aca="false">IF(K47="","",IF($K$9="","",IF($K$9=0,"",K47/$K$9)))</f>
        <v/>
      </c>
      <c r="M47" s="54"/>
      <c r="N47" s="55" t="str">
        <f aca="false">IF(M47="","",IF($M$9="","",IF($M$9=0,"",M47/$M$9)))</f>
        <v/>
      </c>
      <c r="O47" s="54"/>
      <c r="P47" s="55" t="str">
        <f aca="false">IF(O47="","",IF($O$9="","",IF($O$9=0,"",O47/$O$9)))</f>
        <v/>
      </c>
      <c r="Q47" s="56"/>
      <c r="R47" s="55" t="str">
        <f aca="false">IF(Q47="","",IF($Q$9="","",IF($Q$9=0,"",Q47/$Q$9)))</f>
        <v/>
      </c>
      <c r="S47" s="54"/>
      <c r="T47" s="55" t="str">
        <f aca="false">IF(S47="","",IF($S$9="","",IF($S$9=0,"",S47/$S$9)))</f>
        <v/>
      </c>
      <c r="U47" s="54"/>
      <c r="V47" s="55" t="str">
        <f aca="false">IF(U47="","",IF($U$9="","",IF($U$9=0,"",U47/$U$9)))</f>
        <v/>
      </c>
      <c r="W47" s="54"/>
      <c r="X47" s="55" t="str">
        <f aca="false">IF(W47="","",IF($W$9="","",IF($W$9=0,"",W47/$W$9)))</f>
        <v/>
      </c>
    </row>
    <row r="48" customFormat="false" ht="15" hidden="false" customHeight="false" outlineLevel="0" collapsed="false">
      <c r="A48" s="28" t="n">
        <v>38</v>
      </c>
      <c r="B48" s="57" t="n">
        <v>46447</v>
      </c>
      <c r="C48" s="58" t="n">
        <f aca="false">$B$5</f>
        <v>0</v>
      </c>
      <c r="D48" s="52"/>
      <c r="E48" s="28"/>
      <c r="F48" s="28"/>
      <c r="G48" s="68" t="str">
        <f aca="false">IF(D48="","",D48-C48)</f>
        <v/>
      </c>
      <c r="H48" s="14" t="str">
        <f aca="false">IF(D48="","",IF(D48&lt;=C48,"En meta",IF(D48&lt;=C48+1,"Riesgo","Atrasado")))</f>
        <v/>
      </c>
      <c r="I48" s="56"/>
      <c r="J48" s="60" t="str">
        <f aca="false">IF(I48="","",IF($I$9="","",IF($I$9=0,"",I48/$I$9)))</f>
        <v/>
      </c>
      <c r="K48" s="54"/>
      <c r="L48" s="60" t="str">
        <f aca="false">IF(K48="","",IF($K$9="","",IF($K$9=0,"",K48/$K$9)))</f>
        <v/>
      </c>
      <c r="M48" s="54"/>
      <c r="N48" s="60" t="str">
        <f aca="false">IF(M48="","",IF($M$9="","",IF($M$9=0,"",M48/$M$9)))</f>
        <v/>
      </c>
      <c r="O48" s="54"/>
      <c r="P48" s="60" t="str">
        <f aca="false">IF(O48="","",IF($O$9="","",IF($O$9=0,"",O48/$O$9)))</f>
        <v/>
      </c>
      <c r="Q48" s="56"/>
      <c r="R48" s="60" t="str">
        <f aca="false">IF(Q48="","",IF($Q$9="","",IF($Q$9=0,"",Q48/$Q$9)))</f>
        <v/>
      </c>
      <c r="S48" s="54"/>
      <c r="T48" s="60" t="str">
        <f aca="false">IF(S48="","",IF($S$9="","",IF($S$9=0,"",S48/$S$9)))</f>
        <v/>
      </c>
      <c r="U48" s="54"/>
      <c r="V48" s="60" t="str">
        <f aca="false">IF(U48="","",IF($U$9="","",IF($U$9=0,"",U48/$U$9)))</f>
        <v/>
      </c>
      <c r="W48" s="54"/>
      <c r="X48" s="60" t="str">
        <f aca="false">IF(W48="","",IF($W$9="","",IF($W$9=0,"",W48/$W$9)))</f>
        <v/>
      </c>
    </row>
    <row r="49" customFormat="false" ht="15" hidden="false" customHeight="false" outlineLevel="0" collapsed="false">
      <c r="A49" s="5" t="n">
        <v>39</v>
      </c>
      <c r="B49" s="50" t="n">
        <v>46454</v>
      </c>
      <c r="C49" s="51" t="n">
        <f aca="false">$B$5</f>
        <v>0</v>
      </c>
      <c r="D49" s="52"/>
      <c r="E49" s="5"/>
      <c r="F49" s="5"/>
      <c r="G49" s="67" t="str">
        <f aca="false">IF(D49="","",D49-C49)</f>
        <v/>
      </c>
      <c r="H49" s="13" t="str">
        <f aca="false">IF(D49="","",IF(D49&lt;=C49,"En meta",IF(D49&lt;=C49+1,"Riesgo","Atrasado")))</f>
        <v/>
      </c>
      <c r="I49" s="56"/>
      <c r="J49" s="55" t="str">
        <f aca="false">IF(I49="","",IF($I$9="","",IF($I$9=0,"",I49/$I$9)))</f>
        <v/>
      </c>
      <c r="K49" s="54"/>
      <c r="L49" s="55" t="str">
        <f aca="false">IF(K49="","",IF($K$9="","",IF($K$9=0,"",K49/$K$9)))</f>
        <v/>
      </c>
      <c r="M49" s="54"/>
      <c r="N49" s="55" t="str">
        <f aca="false">IF(M49="","",IF($M$9="","",IF($M$9=0,"",M49/$M$9)))</f>
        <v/>
      </c>
      <c r="O49" s="54"/>
      <c r="P49" s="55" t="str">
        <f aca="false">IF(O49="","",IF($O$9="","",IF($O$9=0,"",O49/$O$9)))</f>
        <v/>
      </c>
      <c r="Q49" s="56"/>
      <c r="R49" s="55" t="str">
        <f aca="false">IF(Q49="","",IF($Q$9="","",IF($Q$9=0,"",Q49/$Q$9)))</f>
        <v/>
      </c>
      <c r="S49" s="54"/>
      <c r="T49" s="55" t="str">
        <f aca="false">IF(S49="","",IF($S$9="","",IF($S$9=0,"",S49/$S$9)))</f>
        <v/>
      </c>
      <c r="U49" s="54"/>
      <c r="V49" s="55" t="str">
        <f aca="false">IF(U49="","",IF($U$9="","",IF($U$9=0,"",U49/$U$9)))</f>
        <v/>
      </c>
      <c r="W49" s="54"/>
      <c r="X49" s="55" t="str">
        <f aca="false">IF(W49="","",IF($W$9="","",IF($W$9=0,"",W49/$W$9)))</f>
        <v/>
      </c>
    </row>
    <row r="50" customFormat="false" ht="15" hidden="false" customHeight="false" outlineLevel="0" collapsed="false">
      <c r="A50" s="28" t="n">
        <v>40</v>
      </c>
      <c r="B50" s="57" t="n">
        <v>46461</v>
      </c>
      <c r="C50" s="58" t="n">
        <f aca="false">$B$5</f>
        <v>0</v>
      </c>
      <c r="D50" s="52"/>
      <c r="E50" s="28"/>
      <c r="F50" s="28"/>
      <c r="G50" s="68" t="str">
        <f aca="false">IF(D50="","",D50-C50)</f>
        <v/>
      </c>
      <c r="H50" s="14" t="str">
        <f aca="false">IF(D50="","",IF(D50&lt;=C50,"En meta",IF(D50&lt;=C50+1,"Riesgo","Atrasado")))</f>
        <v/>
      </c>
      <c r="I50" s="56"/>
      <c r="J50" s="60" t="str">
        <f aca="false">IF(I50="","",IF($I$9="","",IF($I$9=0,"",I50/$I$9)))</f>
        <v/>
      </c>
      <c r="K50" s="54"/>
      <c r="L50" s="60" t="str">
        <f aca="false">IF(K50="","",IF($K$9="","",IF($K$9=0,"",K50/$K$9)))</f>
        <v/>
      </c>
      <c r="M50" s="54"/>
      <c r="N50" s="60" t="str">
        <f aca="false">IF(M50="","",IF($M$9="","",IF($M$9=0,"",M50/$M$9)))</f>
        <v/>
      </c>
      <c r="O50" s="54"/>
      <c r="P50" s="60" t="str">
        <f aca="false">IF(O50="","",IF($O$9="","",IF($O$9=0,"",O50/$O$9)))</f>
        <v/>
      </c>
      <c r="Q50" s="56"/>
      <c r="R50" s="60" t="str">
        <f aca="false">IF(Q50="","",IF($Q$9="","",IF($Q$9=0,"",Q50/$Q$9)))</f>
        <v/>
      </c>
      <c r="S50" s="54"/>
      <c r="T50" s="60" t="str">
        <f aca="false">IF(S50="","",IF($S$9="","",IF($S$9=0,"",S50/$S$9)))</f>
        <v/>
      </c>
      <c r="U50" s="54"/>
      <c r="V50" s="60" t="str">
        <f aca="false">IF(U50="","",IF($U$9="","",IF($U$9=0,"",U50/$U$9)))</f>
        <v/>
      </c>
      <c r="W50" s="54"/>
      <c r="X50" s="60" t="str">
        <f aca="false">IF(W50="","",IF($W$9="","",IF($W$9=0,"",W50/$W$9)))</f>
        <v/>
      </c>
    </row>
    <row r="51" customFormat="false" ht="15" hidden="false" customHeight="false" outlineLevel="0" collapsed="false">
      <c r="A51" s="5" t="n">
        <v>41</v>
      </c>
      <c r="B51" s="50" t="n">
        <v>46468</v>
      </c>
      <c r="C51" s="51" t="n">
        <f aca="false">$B$5</f>
        <v>0</v>
      </c>
      <c r="D51" s="52"/>
      <c r="E51" s="5"/>
      <c r="F51" s="5"/>
      <c r="G51" s="67" t="str">
        <f aca="false">IF(D51="","",D51-C51)</f>
        <v/>
      </c>
      <c r="H51" s="13" t="str">
        <f aca="false">IF(D51="","",IF(D51&lt;=C51,"En meta",IF(D51&lt;=C51+1,"Riesgo","Atrasado")))</f>
        <v/>
      </c>
      <c r="I51" s="56"/>
      <c r="J51" s="55" t="str">
        <f aca="false">IF(I51="","",IF($I$9="","",IF($I$9=0,"",I51/$I$9)))</f>
        <v/>
      </c>
      <c r="K51" s="54"/>
      <c r="L51" s="55" t="str">
        <f aca="false">IF(K51="","",IF($K$9="","",IF($K$9=0,"",K51/$K$9)))</f>
        <v/>
      </c>
      <c r="M51" s="54"/>
      <c r="N51" s="55" t="str">
        <f aca="false">IF(M51="","",IF($M$9="","",IF($M$9=0,"",M51/$M$9)))</f>
        <v/>
      </c>
      <c r="O51" s="54"/>
      <c r="P51" s="55" t="str">
        <f aca="false">IF(O51="","",IF($O$9="","",IF($O$9=0,"",O51/$O$9)))</f>
        <v/>
      </c>
      <c r="Q51" s="56"/>
      <c r="R51" s="55" t="str">
        <f aca="false">IF(Q51="","",IF($Q$9="","",IF($Q$9=0,"",Q51/$Q$9)))</f>
        <v/>
      </c>
      <c r="S51" s="54"/>
      <c r="T51" s="55" t="str">
        <f aca="false">IF(S51="","",IF($S$9="","",IF($S$9=0,"",S51/$S$9)))</f>
        <v/>
      </c>
      <c r="U51" s="54"/>
      <c r="V51" s="55" t="str">
        <f aca="false">IF(U51="","",IF($U$9="","",IF($U$9=0,"",U51/$U$9)))</f>
        <v/>
      </c>
      <c r="W51" s="54"/>
      <c r="X51" s="55" t="str">
        <f aca="false">IF(W51="","",IF($W$9="","",IF($W$9=0,"",W51/$W$9)))</f>
        <v/>
      </c>
    </row>
    <row r="52" customFormat="false" ht="15" hidden="false" customHeight="false" outlineLevel="0" collapsed="false">
      <c r="A52" s="28" t="n">
        <v>42</v>
      </c>
      <c r="B52" s="57" t="n">
        <v>46475</v>
      </c>
      <c r="C52" s="58" t="n">
        <f aca="false">$B$5</f>
        <v>0</v>
      </c>
      <c r="D52" s="52"/>
      <c r="E52" s="28"/>
      <c r="F52" s="28"/>
      <c r="G52" s="68" t="str">
        <f aca="false">IF(D52="","",D52-C52)</f>
        <v/>
      </c>
      <c r="H52" s="14" t="str">
        <f aca="false">IF(D52="","",IF(D52&lt;=C52,"En meta",IF(D52&lt;=C52+1,"Riesgo","Atrasado")))</f>
        <v/>
      </c>
      <c r="I52" s="56"/>
      <c r="J52" s="60" t="str">
        <f aca="false">IF(I52="","",IF($I$9="","",IF($I$9=0,"",I52/$I$9)))</f>
        <v/>
      </c>
      <c r="K52" s="54"/>
      <c r="L52" s="60" t="str">
        <f aca="false">IF(K52="","",IF($K$9="","",IF($K$9=0,"",K52/$K$9)))</f>
        <v/>
      </c>
      <c r="M52" s="54"/>
      <c r="N52" s="60" t="str">
        <f aca="false">IF(M52="","",IF($M$9="","",IF($M$9=0,"",M52/$M$9)))</f>
        <v/>
      </c>
      <c r="O52" s="54"/>
      <c r="P52" s="60" t="str">
        <f aca="false">IF(O52="","",IF($O$9="","",IF($O$9=0,"",O52/$O$9)))</f>
        <v/>
      </c>
      <c r="Q52" s="56"/>
      <c r="R52" s="60" t="str">
        <f aca="false">IF(Q52="","",IF($Q$9="","",IF($Q$9=0,"",Q52/$Q$9)))</f>
        <v/>
      </c>
      <c r="S52" s="54"/>
      <c r="T52" s="60" t="str">
        <f aca="false">IF(S52="","",IF($S$9="","",IF($S$9=0,"",S52/$S$9)))</f>
        <v/>
      </c>
      <c r="U52" s="54"/>
      <c r="V52" s="60" t="str">
        <f aca="false">IF(U52="","",IF($U$9="","",IF($U$9=0,"",U52/$U$9)))</f>
        <v/>
      </c>
      <c r="W52" s="54"/>
      <c r="X52" s="60" t="str">
        <f aca="false">IF(W52="","",IF($W$9="","",IF($W$9=0,"",W52/$W$9)))</f>
        <v/>
      </c>
    </row>
    <row r="53" customFormat="false" ht="15" hidden="false" customHeight="false" outlineLevel="0" collapsed="false">
      <c r="A53" s="5" t="n">
        <v>43</v>
      </c>
      <c r="B53" s="50" t="n">
        <v>46482</v>
      </c>
      <c r="C53" s="51" t="n">
        <f aca="false">$B$5</f>
        <v>0</v>
      </c>
      <c r="D53" s="52"/>
      <c r="E53" s="5"/>
      <c r="F53" s="5"/>
      <c r="G53" s="67" t="str">
        <f aca="false">IF(D53="","",D53-C53)</f>
        <v/>
      </c>
      <c r="H53" s="13" t="str">
        <f aca="false">IF(D53="","",IF(D53&lt;=C53,"En meta",IF(D53&lt;=C53+1,"Riesgo","Atrasado")))</f>
        <v/>
      </c>
      <c r="I53" s="56"/>
      <c r="J53" s="55" t="str">
        <f aca="false">IF(I53="","",IF($I$9="","",IF($I$9=0,"",I53/$I$9)))</f>
        <v/>
      </c>
      <c r="K53" s="54"/>
      <c r="L53" s="55" t="str">
        <f aca="false">IF(K53="","",IF($K$9="","",IF($K$9=0,"",K53/$K$9)))</f>
        <v/>
      </c>
      <c r="M53" s="54"/>
      <c r="N53" s="55" t="str">
        <f aca="false">IF(M53="","",IF($M$9="","",IF($M$9=0,"",M53/$M$9)))</f>
        <v/>
      </c>
      <c r="O53" s="54"/>
      <c r="P53" s="55" t="str">
        <f aca="false">IF(O53="","",IF($O$9="","",IF($O$9=0,"",O53/$O$9)))</f>
        <v/>
      </c>
      <c r="Q53" s="56"/>
      <c r="R53" s="55" t="str">
        <f aca="false">IF(Q53="","",IF($Q$9="","",IF($Q$9=0,"",Q53/$Q$9)))</f>
        <v/>
      </c>
      <c r="S53" s="54"/>
      <c r="T53" s="55" t="str">
        <f aca="false">IF(S53="","",IF($S$9="","",IF($S$9=0,"",S53/$S$9)))</f>
        <v/>
      </c>
      <c r="U53" s="54"/>
      <c r="V53" s="55" t="str">
        <f aca="false">IF(U53="","",IF($U$9="","",IF($U$9=0,"",U53/$U$9)))</f>
        <v/>
      </c>
      <c r="W53" s="54"/>
      <c r="X53" s="55" t="str">
        <f aca="false">IF(W53="","",IF($W$9="","",IF($W$9=0,"",W53/$W$9)))</f>
        <v/>
      </c>
    </row>
    <row r="54" customFormat="false" ht="15" hidden="false" customHeight="false" outlineLevel="0" collapsed="false">
      <c r="A54" s="28" t="n">
        <v>44</v>
      </c>
      <c r="B54" s="57" t="n">
        <v>46489</v>
      </c>
      <c r="C54" s="58" t="n">
        <f aca="false">$B$5</f>
        <v>0</v>
      </c>
      <c r="D54" s="52"/>
      <c r="E54" s="28"/>
      <c r="F54" s="28"/>
      <c r="G54" s="68" t="str">
        <f aca="false">IF(D54="","",D54-C54)</f>
        <v/>
      </c>
      <c r="H54" s="14" t="str">
        <f aca="false">IF(D54="","",IF(D54&lt;=C54,"En meta",IF(D54&lt;=C54+1,"Riesgo","Atrasado")))</f>
        <v/>
      </c>
      <c r="I54" s="56"/>
      <c r="J54" s="60" t="str">
        <f aca="false">IF(I54="","",IF($I$9="","",IF($I$9=0,"",I54/$I$9)))</f>
        <v/>
      </c>
      <c r="K54" s="54"/>
      <c r="L54" s="60" t="str">
        <f aca="false">IF(K54="","",IF($K$9="","",IF($K$9=0,"",K54/$K$9)))</f>
        <v/>
      </c>
      <c r="M54" s="54"/>
      <c r="N54" s="60" t="str">
        <f aca="false">IF(M54="","",IF($M$9="","",IF($M$9=0,"",M54/$M$9)))</f>
        <v/>
      </c>
      <c r="O54" s="54"/>
      <c r="P54" s="60" t="str">
        <f aca="false">IF(O54="","",IF($O$9="","",IF($O$9=0,"",O54/$O$9)))</f>
        <v/>
      </c>
      <c r="Q54" s="56"/>
      <c r="R54" s="60" t="str">
        <f aca="false">IF(Q54="","",IF($Q$9="","",IF($Q$9=0,"",Q54/$Q$9)))</f>
        <v/>
      </c>
      <c r="S54" s="54"/>
      <c r="T54" s="60" t="str">
        <f aca="false">IF(S54="","",IF($S$9="","",IF($S$9=0,"",S54/$S$9)))</f>
        <v/>
      </c>
      <c r="U54" s="54"/>
      <c r="V54" s="60" t="str">
        <f aca="false">IF(U54="","",IF($U$9="","",IF($U$9=0,"",U54/$U$9)))</f>
        <v/>
      </c>
      <c r="W54" s="54"/>
      <c r="X54" s="60" t="str">
        <f aca="false">IF(W54="","",IF($W$9="","",IF($W$9=0,"",W54/$W$9)))</f>
        <v/>
      </c>
    </row>
    <row r="55" customFormat="false" ht="15" hidden="false" customHeight="false" outlineLevel="0" collapsed="false">
      <c r="A55" s="5" t="n">
        <v>45</v>
      </c>
      <c r="B55" s="50" t="n">
        <v>46496</v>
      </c>
      <c r="C55" s="51" t="n">
        <f aca="false">$B$5</f>
        <v>0</v>
      </c>
      <c r="D55" s="52"/>
      <c r="E55" s="5"/>
      <c r="F55" s="5"/>
      <c r="G55" s="67" t="str">
        <f aca="false">IF(D55="","",D55-C55)</f>
        <v/>
      </c>
      <c r="H55" s="13" t="str">
        <f aca="false">IF(D55="","",IF(D55&lt;=C55,"En meta",IF(D55&lt;=C55+1,"Riesgo","Atrasado")))</f>
        <v/>
      </c>
      <c r="I55" s="56"/>
      <c r="J55" s="55" t="str">
        <f aca="false">IF(I55="","",IF($I$9="","",IF($I$9=0,"",I55/$I$9)))</f>
        <v/>
      </c>
      <c r="K55" s="54"/>
      <c r="L55" s="55" t="str">
        <f aca="false">IF(K55="","",IF($K$9="","",IF($K$9=0,"",K55/$K$9)))</f>
        <v/>
      </c>
      <c r="M55" s="54"/>
      <c r="N55" s="55" t="str">
        <f aca="false">IF(M55="","",IF($M$9="","",IF($M$9=0,"",M55/$M$9)))</f>
        <v/>
      </c>
      <c r="O55" s="54"/>
      <c r="P55" s="55" t="str">
        <f aca="false">IF(O55="","",IF($O$9="","",IF($O$9=0,"",O55/$O$9)))</f>
        <v/>
      </c>
      <c r="Q55" s="56"/>
      <c r="R55" s="55" t="str">
        <f aca="false">IF(Q55="","",IF($Q$9="","",IF($Q$9=0,"",Q55/$Q$9)))</f>
        <v/>
      </c>
      <c r="S55" s="54"/>
      <c r="T55" s="55" t="str">
        <f aca="false">IF(S55="","",IF($S$9="","",IF($S$9=0,"",S55/$S$9)))</f>
        <v/>
      </c>
      <c r="U55" s="54"/>
      <c r="V55" s="55" t="str">
        <f aca="false">IF(U55="","",IF($U$9="","",IF($U$9=0,"",U55/$U$9)))</f>
        <v/>
      </c>
      <c r="W55" s="54"/>
      <c r="X55" s="55" t="str">
        <f aca="false">IF(W55="","",IF($W$9="","",IF($W$9=0,"",W55/$W$9)))</f>
        <v/>
      </c>
    </row>
    <row r="56" customFormat="false" ht="15" hidden="false" customHeight="false" outlineLevel="0" collapsed="false">
      <c r="A56" s="28" t="n">
        <v>46</v>
      </c>
      <c r="B56" s="57" t="n">
        <v>46503</v>
      </c>
      <c r="C56" s="58" t="n">
        <f aca="false">$B$5</f>
        <v>0</v>
      </c>
      <c r="D56" s="52"/>
      <c r="E56" s="28"/>
      <c r="F56" s="28"/>
      <c r="G56" s="68" t="str">
        <f aca="false">IF(D56="","",D56-C56)</f>
        <v/>
      </c>
      <c r="H56" s="14" t="str">
        <f aca="false">IF(D56="","",IF(D56&lt;=C56,"En meta",IF(D56&lt;=C56+1,"Riesgo","Atrasado")))</f>
        <v/>
      </c>
      <c r="I56" s="56"/>
      <c r="J56" s="60" t="str">
        <f aca="false">IF(I56="","",IF($I$9="","",IF($I$9=0,"",I56/$I$9)))</f>
        <v/>
      </c>
      <c r="K56" s="54"/>
      <c r="L56" s="60" t="str">
        <f aca="false">IF(K56="","",IF($K$9="","",IF($K$9=0,"",K56/$K$9)))</f>
        <v/>
      </c>
      <c r="M56" s="54"/>
      <c r="N56" s="60" t="str">
        <f aca="false">IF(M56="","",IF($M$9="","",IF($M$9=0,"",M56/$M$9)))</f>
        <v/>
      </c>
      <c r="O56" s="54"/>
      <c r="P56" s="60" t="str">
        <f aca="false">IF(O56="","",IF($O$9="","",IF($O$9=0,"",O56/$O$9)))</f>
        <v/>
      </c>
      <c r="Q56" s="56"/>
      <c r="R56" s="60" t="str">
        <f aca="false">IF(Q56="","",IF($Q$9="","",IF($Q$9=0,"",Q56/$Q$9)))</f>
        <v/>
      </c>
      <c r="S56" s="54"/>
      <c r="T56" s="60" t="str">
        <f aca="false">IF(S56="","",IF($S$9="","",IF($S$9=0,"",S56/$S$9)))</f>
        <v/>
      </c>
      <c r="U56" s="54"/>
      <c r="V56" s="60" t="str">
        <f aca="false">IF(U56="","",IF($U$9="","",IF($U$9=0,"",U56/$U$9)))</f>
        <v/>
      </c>
      <c r="W56" s="54"/>
      <c r="X56" s="60" t="str">
        <f aca="false">IF(W56="","",IF($W$9="","",IF($W$9=0,"",W56/$W$9)))</f>
        <v/>
      </c>
    </row>
    <row r="57" customFormat="false" ht="15" hidden="false" customHeight="false" outlineLevel="0" collapsed="false">
      <c r="A57" s="5" t="n">
        <v>47</v>
      </c>
      <c r="B57" s="50" t="n">
        <v>46510</v>
      </c>
      <c r="C57" s="51" t="n">
        <f aca="false">$B$5</f>
        <v>0</v>
      </c>
      <c r="D57" s="52"/>
      <c r="E57" s="5"/>
      <c r="F57" s="5"/>
      <c r="G57" s="67" t="str">
        <f aca="false">IF(D57="","",D57-C57)</f>
        <v/>
      </c>
      <c r="H57" s="13" t="str">
        <f aca="false">IF(D57="","",IF(D57&lt;=C57,"En meta",IF(D57&lt;=C57+1,"Riesgo","Atrasado")))</f>
        <v/>
      </c>
      <c r="I57" s="56"/>
      <c r="J57" s="55" t="str">
        <f aca="false">IF(I57="","",IF($I$9="","",IF($I$9=0,"",I57/$I$9)))</f>
        <v/>
      </c>
      <c r="K57" s="54"/>
      <c r="L57" s="55" t="str">
        <f aca="false">IF(K57="","",IF($K$9="","",IF($K$9=0,"",K57/$K$9)))</f>
        <v/>
      </c>
      <c r="M57" s="54"/>
      <c r="N57" s="55" t="str">
        <f aca="false">IF(M57="","",IF($M$9="","",IF($M$9=0,"",M57/$M$9)))</f>
        <v/>
      </c>
      <c r="O57" s="54"/>
      <c r="P57" s="55" t="str">
        <f aca="false">IF(O57="","",IF($O$9="","",IF($O$9=0,"",O57/$O$9)))</f>
        <v/>
      </c>
      <c r="Q57" s="56"/>
      <c r="R57" s="55" t="str">
        <f aca="false">IF(Q57="","",IF($Q$9="","",IF($Q$9=0,"",Q57/$Q$9)))</f>
        <v/>
      </c>
      <c r="S57" s="54"/>
      <c r="T57" s="55" t="str">
        <f aca="false">IF(S57="","",IF($S$9="","",IF($S$9=0,"",S57/$S$9)))</f>
        <v/>
      </c>
      <c r="U57" s="54"/>
      <c r="V57" s="55" t="str">
        <f aca="false">IF(U57="","",IF($U$9="","",IF($U$9=0,"",U57/$U$9)))</f>
        <v/>
      </c>
      <c r="W57" s="54"/>
      <c r="X57" s="55" t="str">
        <f aca="false">IF(W57="","",IF($W$9="","",IF($W$9=0,"",W57/$W$9)))</f>
        <v/>
      </c>
    </row>
    <row r="58" customFormat="false" ht="15" hidden="false" customHeight="false" outlineLevel="0" collapsed="false">
      <c r="A58" s="28" t="n">
        <v>48</v>
      </c>
      <c r="B58" s="57" t="n">
        <v>46517</v>
      </c>
      <c r="C58" s="58" t="n">
        <f aca="false">$B$5</f>
        <v>0</v>
      </c>
      <c r="D58" s="52"/>
      <c r="E58" s="28"/>
      <c r="F58" s="28"/>
      <c r="G58" s="68" t="str">
        <f aca="false">IF(D58="","",D58-C58)</f>
        <v/>
      </c>
      <c r="H58" s="14" t="str">
        <f aca="false">IF(D58="","",IF(D58&lt;=C58,"En meta",IF(D58&lt;=C58+1,"Riesgo","Atrasado")))</f>
        <v/>
      </c>
      <c r="I58" s="56"/>
      <c r="J58" s="60" t="str">
        <f aca="false">IF(I58="","",IF($I$9="","",IF($I$9=0,"",I58/$I$9)))</f>
        <v/>
      </c>
      <c r="K58" s="54"/>
      <c r="L58" s="60" t="str">
        <f aca="false">IF(K58="","",IF($K$9="","",IF($K$9=0,"",K58/$K$9)))</f>
        <v/>
      </c>
      <c r="M58" s="54"/>
      <c r="N58" s="60" t="str">
        <f aca="false">IF(M58="","",IF($M$9="","",IF($M$9=0,"",M58/$M$9)))</f>
        <v/>
      </c>
      <c r="O58" s="54"/>
      <c r="P58" s="60" t="str">
        <f aca="false">IF(O58="","",IF($O$9="","",IF($O$9=0,"",O58/$O$9)))</f>
        <v/>
      </c>
      <c r="Q58" s="56"/>
      <c r="R58" s="60" t="str">
        <f aca="false">IF(Q58="","",IF($Q$9="","",IF($Q$9=0,"",Q58/$Q$9)))</f>
        <v/>
      </c>
      <c r="S58" s="54"/>
      <c r="T58" s="60" t="str">
        <f aca="false">IF(S58="","",IF($S$9="","",IF($S$9=0,"",S58/$S$9)))</f>
        <v/>
      </c>
      <c r="U58" s="54"/>
      <c r="V58" s="60" t="str">
        <f aca="false">IF(U58="","",IF($U$9="","",IF($U$9=0,"",U58/$U$9)))</f>
        <v/>
      </c>
      <c r="W58" s="54"/>
      <c r="X58" s="60" t="str">
        <f aca="false">IF(W58="","",IF($W$9="","",IF($W$9=0,"",W58/$W$9)))</f>
        <v/>
      </c>
    </row>
    <row r="59" customFormat="false" ht="15" hidden="false" customHeight="false" outlineLevel="0" collapsed="false">
      <c r="A59" s="5" t="n">
        <v>49</v>
      </c>
      <c r="B59" s="50" t="n">
        <v>46524</v>
      </c>
      <c r="C59" s="51" t="n">
        <f aca="false">$B$5</f>
        <v>0</v>
      </c>
      <c r="D59" s="52"/>
      <c r="E59" s="5"/>
      <c r="F59" s="5"/>
      <c r="G59" s="67" t="str">
        <f aca="false">IF(D59="","",D59-C59)</f>
        <v/>
      </c>
      <c r="H59" s="13" t="str">
        <f aca="false">IF(D59="","",IF(D59&lt;=C59,"En meta",IF(D59&lt;=C59+1,"Riesgo","Atrasado")))</f>
        <v/>
      </c>
      <c r="I59" s="56"/>
      <c r="J59" s="55" t="str">
        <f aca="false">IF(I59="","",IF($I$9="","",IF($I$9=0,"",I59/$I$9)))</f>
        <v/>
      </c>
      <c r="K59" s="54"/>
      <c r="L59" s="55" t="str">
        <f aca="false">IF(K59="","",IF($K$9="","",IF($K$9=0,"",K59/$K$9)))</f>
        <v/>
      </c>
      <c r="M59" s="54"/>
      <c r="N59" s="55" t="str">
        <f aca="false">IF(M59="","",IF($M$9="","",IF($M$9=0,"",M59/$M$9)))</f>
        <v/>
      </c>
      <c r="O59" s="54"/>
      <c r="P59" s="55" t="str">
        <f aca="false">IF(O59="","",IF($O$9="","",IF($O$9=0,"",O59/$O$9)))</f>
        <v/>
      </c>
      <c r="Q59" s="56"/>
      <c r="R59" s="55" t="str">
        <f aca="false">IF(Q59="","",IF($Q$9="","",IF($Q$9=0,"",Q59/$Q$9)))</f>
        <v/>
      </c>
      <c r="S59" s="54"/>
      <c r="T59" s="55" t="str">
        <f aca="false">IF(S59="","",IF($S$9="","",IF($S$9=0,"",S59/$S$9)))</f>
        <v/>
      </c>
      <c r="U59" s="54"/>
      <c r="V59" s="55" t="str">
        <f aca="false">IF(U59="","",IF($U$9="","",IF($U$9=0,"",U59/$U$9)))</f>
        <v/>
      </c>
      <c r="W59" s="54"/>
      <c r="X59" s="55" t="str">
        <f aca="false">IF(W59="","",IF($W$9="","",IF($W$9=0,"",W59/$W$9)))</f>
        <v/>
      </c>
    </row>
    <row r="60" customFormat="false" ht="15" hidden="false" customHeight="false" outlineLevel="0" collapsed="false">
      <c r="A60" s="28" t="n">
        <v>50</v>
      </c>
      <c r="B60" s="57" t="n">
        <v>46531</v>
      </c>
      <c r="C60" s="58" t="n">
        <f aca="false">$B$5</f>
        <v>0</v>
      </c>
      <c r="D60" s="52"/>
      <c r="E60" s="28"/>
      <c r="F60" s="28"/>
      <c r="G60" s="68" t="str">
        <f aca="false">IF(D60="","",D60-C60)</f>
        <v/>
      </c>
      <c r="H60" s="14" t="str">
        <f aca="false">IF(D60="","",IF(D60&lt;=C60,"En meta",IF(D60&lt;=C60+1,"Riesgo","Atrasado")))</f>
        <v/>
      </c>
      <c r="I60" s="56"/>
      <c r="J60" s="60" t="str">
        <f aca="false">IF(I60="","",IF($I$9="","",IF($I$9=0,"",I60/$I$9)))</f>
        <v/>
      </c>
      <c r="K60" s="54"/>
      <c r="L60" s="60" t="str">
        <f aca="false">IF(K60="","",IF($K$9="","",IF($K$9=0,"",K60/$K$9)))</f>
        <v/>
      </c>
      <c r="M60" s="54"/>
      <c r="N60" s="60" t="str">
        <f aca="false">IF(M60="","",IF($M$9="","",IF($M$9=0,"",M60/$M$9)))</f>
        <v/>
      </c>
      <c r="O60" s="54"/>
      <c r="P60" s="60" t="str">
        <f aca="false">IF(O60="","",IF($O$9="","",IF($O$9=0,"",O60/$O$9)))</f>
        <v/>
      </c>
      <c r="Q60" s="56"/>
      <c r="R60" s="60" t="str">
        <f aca="false">IF(Q60="","",IF($Q$9="","",IF($Q$9=0,"",Q60/$Q$9)))</f>
        <v/>
      </c>
      <c r="S60" s="54"/>
      <c r="T60" s="60" t="str">
        <f aca="false">IF(S60="","",IF($S$9="","",IF($S$9=0,"",S60/$S$9)))</f>
        <v/>
      </c>
      <c r="U60" s="54"/>
      <c r="V60" s="60" t="str">
        <f aca="false">IF(U60="","",IF($U$9="","",IF($U$9=0,"",U60/$U$9)))</f>
        <v/>
      </c>
      <c r="W60" s="54"/>
      <c r="X60" s="60" t="str">
        <f aca="false">IF(W60="","",IF($W$9="","",IF($W$9=0,"",W60/$W$9)))</f>
        <v/>
      </c>
    </row>
    <row r="61" customFormat="false" ht="15" hidden="false" customHeight="false" outlineLevel="0" collapsed="false">
      <c r="A61" s="5" t="n">
        <v>51</v>
      </c>
      <c r="B61" s="50" t="n">
        <v>46538</v>
      </c>
      <c r="C61" s="51" t="n">
        <f aca="false">$B$5</f>
        <v>0</v>
      </c>
      <c r="D61" s="52"/>
      <c r="E61" s="5"/>
      <c r="F61" s="5"/>
      <c r="G61" s="67" t="str">
        <f aca="false">IF(D61="","",D61-C61)</f>
        <v/>
      </c>
      <c r="H61" s="13" t="str">
        <f aca="false">IF(D61="","",IF(D61&lt;=C61,"En meta",IF(D61&lt;=C61+1,"Riesgo","Atrasado")))</f>
        <v/>
      </c>
      <c r="I61" s="56"/>
      <c r="J61" s="55" t="str">
        <f aca="false">IF(I61="","",IF($I$9="","",IF($I$9=0,"",I61/$I$9)))</f>
        <v/>
      </c>
      <c r="K61" s="54"/>
      <c r="L61" s="55" t="str">
        <f aca="false">IF(K61="","",IF($K$9="","",IF($K$9=0,"",K61/$K$9)))</f>
        <v/>
      </c>
      <c r="M61" s="54"/>
      <c r="N61" s="55" t="str">
        <f aca="false">IF(M61="","",IF($M$9="","",IF($M$9=0,"",M61/$M$9)))</f>
        <v/>
      </c>
      <c r="O61" s="54"/>
      <c r="P61" s="55" t="str">
        <f aca="false">IF(O61="","",IF($O$9="","",IF($O$9=0,"",O61/$O$9)))</f>
        <v/>
      </c>
      <c r="Q61" s="56"/>
      <c r="R61" s="55" t="str">
        <f aca="false">IF(Q61="","",IF($Q$9="","",IF($Q$9=0,"",Q61/$Q$9)))</f>
        <v/>
      </c>
      <c r="S61" s="54"/>
      <c r="T61" s="55" t="str">
        <f aca="false">IF(S61="","",IF($S$9="","",IF($S$9=0,"",S61/$S$9)))</f>
        <v/>
      </c>
      <c r="U61" s="54"/>
      <c r="V61" s="55" t="str">
        <f aca="false">IF(U61="","",IF($U$9="","",IF($U$9=0,"",U61/$U$9)))</f>
        <v/>
      </c>
      <c r="W61" s="54"/>
      <c r="X61" s="55" t="str">
        <f aca="false">IF(W61="","",IF($W$9="","",IF($W$9=0,"",W61/$W$9)))</f>
        <v/>
      </c>
    </row>
    <row r="62" customFormat="false" ht="15" hidden="false" customHeight="false" outlineLevel="0" collapsed="false">
      <c r="A62" s="28" t="n">
        <v>52</v>
      </c>
      <c r="B62" s="57" t="n">
        <v>46545</v>
      </c>
      <c r="C62" s="58" t="n">
        <f aca="false">$B$5</f>
        <v>0</v>
      </c>
      <c r="D62" s="52"/>
      <c r="E62" s="28"/>
      <c r="F62" s="28"/>
      <c r="G62" s="68" t="str">
        <f aca="false">IF(D62="","",D62-C62)</f>
        <v/>
      </c>
      <c r="H62" s="14" t="str">
        <f aca="false">IF(D62="","",IF(D62&lt;=C62,"En meta",IF(D62&lt;=C62+1,"Riesgo","Atrasado")))</f>
        <v/>
      </c>
      <c r="I62" s="56"/>
      <c r="J62" s="60" t="str">
        <f aca="false">IF(I62="","",IF($I$9="","",IF($I$9=0,"",I62/$I$9)))</f>
        <v/>
      </c>
      <c r="K62" s="54"/>
      <c r="L62" s="60" t="str">
        <f aca="false">IF(K62="","",IF($K$9="","",IF($K$9=0,"",K62/$K$9)))</f>
        <v/>
      </c>
      <c r="M62" s="54"/>
      <c r="N62" s="60" t="str">
        <f aca="false">IF(M62="","",IF($M$9="","",IF($M$9=0,"",M62/$M$9)))</f>
        <v/>
      </c>
      <c r="O62" s="54"/>
      <c r="P62" s="60" t="str">
        <f aca="false">IF(O62="","",IF($O$9="","",IF($O$9=0,"",O62/$O$9)))</f>
        <v/>
      </c>
      <c r="Q62" s="56"/>
      <c r="R62" s="60" t="str">
        <f aca="false">IF(Q62="","",IF($Q$9="","",IF($Q$9=0,"",Q62/$Q$9)))</f>
        <v/>
      </c>
      <c r="S62" s="54"/>
      <c r="T62" s="60" t="str">
        <f aca="false">IF(S62="","",IF($S$9="","",IF($S$9=0,"",S62/$S$9)))</f>
        <v/>
      </c>
      <c r="U62" s="54"/>
      <c r="V62" s="60" t="str">
        <f aca="false">IF(U62="","",IF($U$9="","",IF($U$9=0,"",U62/$U$9)))</f>
        <v/>
      </c>
      <c r="W62" s="54"/>
      <c r="X62" s="60" t="str">
        <f aca="false">IF(W62="","",IF($W$9="","",IF($W$9=0,"",W62/$W$9)))</f>
        <v/>
      </c>
    </row>
    <row r="63" customFormat="false" ht="15" hidden="false" customHeight="false" outlineLevel="0" collapsed="false">
      <c r="A63" s="5" t="n">
        <v>53</v>
      </c>
      <c r="B63" s="50" t="n">
        <v>46552</v>
      </c>
      <c r="C63" s="51" t="n">
        <f aca="false">$B$5</f>
        <v>0</v>
      </c>
      <c r="D63" s="52"/>
      <c r="E63" s="5"/>
      <c r="F63" s="5"/>
      <c r="G63" s="67" t="str">
        <f aca="false">IF(D63="","",D63-C63)</f>
        <v/>
      </c>
      <c r="H63" s="13" t="str">
        <f aca="false">IF(D63="","",IF(D63&lt;=C63,"En meta",IF(D63&lt;=C63+1,"Riesgo","Atrasado")))</f>
        <v/>
      </c>
      <c r="I63" s="56"/>
      <c r="J63" s="55" t="str">
        <f aca="false">IF(I63="","",IF($I$9="","",IF($I$9=0,"",I63/$I$9)))</f>
        <v/>
      </c>
      <c r="K63" s="54"/>
      <c r="L63" s="55" t="str">
        <f aca="false">IF(K63="","",IF($K$9="","",IF($K$9=0,"",K63/$K$9)))</f>
        <v/>
      </c>
      <c r="M63" s="54"/>
      <c r="N63" s="55" t="str">
        <f aca="false">IF(M63="","",IF($M$9="","",IF($M$9=0,"",M63/$M$9)))</f>
        <v/>
      </c>
      <c r="O63" s="54"/>
      <c r="P63" s="55" t="str">
        <f aca="false">IF(O63="","",IF($O$9="","",IF($O$9=0,"",O63/$O$9)))</f>
        <v/>
      </c>
      <c r="Q63" s="56"/>
      <c r="R63" s="55" t="str">
        <f aca="false">IF(Q63="","",IF($Q$9="","",IF($Q$9=0,"",Q63/$Q$9)))</f>
        <v/>
      </c>
      <c r="S63" s="54"/>
      <c r="T63" s="55" t="str">
        <f aca="false">IF(S63="","",IF($S$9="","",IF($S$9=0,"",S63/$S$9)))</f>
        <v/>
      </c>
      <c r="U63" s="54"/>
      <c r="V63" s="55" t="str">
        <f aca="false">IF(U63="","",IF($U$9="","",IF($U$9=0,"",U63/$U$9)))</f>
        <v/>
      </c>
      <c r="W63" s="54"/>
      <c r="X63" s="55" t="str">
        <f aca="false">IF(W63="","",IF($W$9="","",IF($W$9=0,"",W63/$W$9)))</f>
        <v/>
      </c>
    </row>
    <row r="64" customFormat="false" ht="15" hidden="false" customHeight="false" outlineLevel="0" collapsed="false">
      <c r="A64" s="28" t="n">
        <v>54</v>
      </c>
      <c r="B64" s="57" t="n">
        <v>46559</v>
      </c>
      <c r="C64" s="58" t="n">
        <f aca="false">$B$5</f>
        <v>0</v>
      </c>
      <c r="D64" s="52"/>
      <c r="E64" s="28"/>
      <c r="F64" s="28"/>
      <c r="G64" s="68" t="str">
        <f aca="false">IF(D64="","",D64-C64)</f>
        <v/>
      </c>
      <c r="H64" s="14" t="str">
        <f aca="false">IF(D64="","",IF(D64&lt;=C64,"En meta",IF(D64&lt;=C64+1,"Riesgo","Atrasado")))</f>
        <v/>
      </c>
      <c r="I64" s="56"/>
      <c r="J64" s="60" t="str">
        <f aca="false">IF(I64="","",IF($I$9="","",IF($I$9=0,"",I64/$I$9)))</f>
        <v/>
      </c>
      <c r="K64" s="54"/>
      <c r="L64" s="60" t="str">
        <f aca="false">IF(K64="","",IF($K$9="","",IF($K$9=0,"",K64/$K$9)))</f>
        <v/>
      </c>
      <c r="M64" s="54"/>
      <c r="N64" s="60" t="str">
        <f aca="false">IF(M64="","",IF($M$9="","",IF($M$9=0,"",M64/$M$9)))</f>
        <v/>
      </c>
      <c r="O64" s="54"/>
      <c r="P64" s="60" t="str">
        <f aca="false">IF(O64="","",IF($O$9="","",IF($O$9=0,"",O64/$O$9)))</f>
        <v/>
      </c>
      <c r="Q64" s="56"/>
      <c r="R64" s="60" t="str">
        <f aca="false">IF(Q64="","",IF($Q$9="","",IF($Q$9=0,"",Q64/$Q$9)))</f>
        <v/>
      </c>
      <c r="S64" s="54"/>
      <c r="T64" s="60" t="str">
        <f aca="false">IF(S64="","",IF($S$9="","",IF($S$9=0,"",S64/$S$9)))</f>
        <v/>
      </c>
      <c r="U64" s="54"/>
      <c r="V64" s="60" t="str">
        <f aca="false">IF(U64="","",IF($U$9="","",IF($U$9=0,"",U64/$U$9)))</f>
        <v/>
      </c>
      <c r="W64" s="54"/>
      <c r="X64" s="60" t="str">
        <f aca="false">IF(W64="","",IF($W$9="","",IF($W$9=0,"",W64/$W$9)))</f>
        <v/>
      </c>
    </row>
    <row r="65" customFormat="false" ht="15" hidden="false" customHeight="false" outlineLevel="0" collapsed="false">
      <c r="A65" s="5" t="n">
        <v>55</v>
      </c>
      <c r="B65" s="50" t="n">
        <v>46566</v>
      </c>
      <c r="C65" s="51" t="n">
        <f aca="false">$B$5</f>
        <v>0</v>
      </c>
      <c r="D65" s="52"/>
      <c r="E65" s="5"/>
      <c r="F65" s="5"/>
      <c r="G65" s="67" t="str">
        <f aca="false">IF(D65="","",D65-C65)</f>
        <v/>
      </c>
      <c r="H65" s="13" t="str">
        <f aca="false">IF(D65="","",IF(D65&lt;=C65,"En meta",IF(D65&lt;=C65+1,"Riesgo","Atrasado")))</f>
        <v/>
      </c>
      <c r="I65" s="56"/>
      <c r="J65" s="55" t="str">
        <f aca="false">IF(I65="","",IF($I$9="","",IF($I$9=0,"",I65/$I$9)))</f>
        <v/>
      </c>
      <c r="K65" s="54"/>
      <c r="L65" s="55" t="str">
        <f aca="false">IF(K65="","",IF($K$9="","",IF($K$9=0,"",K65/$K$9)))</f>
        <v/>
      </c>
      <c r="M65" s="54"/>
      <c r="N65" s="55" t="str">
        <f aca="false">IF(M65="","",IF($M$9="","",IF($M$9=0,"",M65/$M$9)))</f>
        <v/>
      </c>
      <c r="O65" s="54"/>
      <c r="P65" s="55" t="str">
        <f aca="false">IF(O65="","",IF($O$9="","",IF($O$9=0,"",O65/$O$9)))</f>
        <v/>
      </c>
      <c r="Q65" s="56"/>
      <c r="R65" s="55" t="str">
        <f aca="false">IF(Q65="","",IF($Q$9="","",IF($Q$9=0,"",Q65/$Q$9)))</f>
        <v/>
      </c>
      <c r="S65" s="54"/>
      <c r="T65" s="55" t="str">
        <f aca="false">IF(S65="","",IF($S$9="","",IF($S$9=0,"",S65/$S$9)))</f>
        <v/>
      </c>
      <c r="U65" s="54"/>
      <c r="V65" s="55" t="str">
        <f aca="false">IF(U65="","",IF($U$9="","",IF($U$9=0,"",U65/$U$9)))</f>
        <v/>
      </c>
      <c r="W65" s="54"/>
      <c r="X65" s="55" t="str">
        <f aca="false">IF(W65="","",IF($W$9="","",IF($W$9=0,"",W65/$W$9)))</f>
        <v/>
      </c>
    </row>
    <row r="66" customFormat="false" ht="15" hidden="false" customHeight="false" outlineLevel="0" collapsed="false">
      <c r="A66" s="28" t="n">
        <v>56</v>
      </c>
      <c r="B66" s="57" t="n">
        <v>46573</v>
      </c>
      <c r="C66" s="58" t="n">
        <f aca="false">$B$5</f>
        <v>0</v>
      </c>
      <c r="D66" s="52"/>
      <c r="E66" s="28"/>
      <c r="F66" s="28"/>
      <c r="G66" s="68" t="str">
        <f aca="false">IF(D66="","",D66-C66)</f>
        <v/>
      </c>
      <c r="H66" s="14" t="str">
        <f aca="false">IF(D66="","",IF(D66&lt;=C66,"En meta",IF(D66&lt;=C66+1,"Riesgo","Atrasado")))</f>
        <v/>
      </c>
      <c r="I66" s="56"/>
      <c r="J66" s="60" t="str">
        <f aca="false">IF(I66="","",IF($I$9="","",IF($I$9=0,"",I66/$I$9)))</f>
        <v/>
      </c>
      <c r="K66" s="54"/>
      <c r="L66" s="60" t="str">
        <f aca="false">IF(K66="","",IF($K$9="","",IF($K$9=0,"",K66/$K$9)))</f>
        <v/>
      </c>
      <c r="M66" s="54"/>
      <c r="N66" s="60" t="str">
        <f aca="false">IF(M66="","",IF($M$9="","",IF($M$9=0,"",M66/$M$9)))</f>
        <v/>
      </c>
      <c r="O66" s="54"/>
      <c r="P66" s="60" t="str">
        <f aca="false">IF(O66="","",IF($O$9="","",IF($O$9=0,"",O66/$O$9)))</f>
        <v/>
      </c>
      <c r="Q66" s="56"/>
      <c r="R66" s="60" t="str">
        <f aca="false">IF(Q66="","",IF($Q$9="","",IF($Q$9=0,"",Q66/$Q$9)))</f>
        <v/>
      </c>
      <c r="S66" s="54"/>
      <c r="T66" s="60" t="str">
        <f aca="false">IF(S66="","",IF($S$9="","",IF($S$9=0,"",S66/$S$9)))</f>
        <v/>
      </c>
      <c r="U66" s="54"/>
      <c r="V66" s="60" t="str">
        <f aca="false">IF(U66="","",IF($U$9="","",IF($U$9=0,"",U66/$U$9)))</f>
        <v/>
      </c>
      <c r="W66" s="54"/>
      <c r="X66" s="60" t="str">
        <f aca="false">IF(W66="","",IF($W$9="","",IF($W$9=0,"",W66/$W$9)))</f>
        <v/>
      </c>
    </row>
    <row r="67" customFormat="false" ht="15" hidden="false" customHeight="false" outlineLevel="0" collapsed="false">
      <c r="A67" s="5" t="n">
        <v>57</v>
      </c>
      <c r="B67" s="50" t="n">
        <v>46580</v>
      </c>
      <c r="C67" s="51" t="n">
        <f aca="false">$B$5</f>
        <v>0</v>
      </c>
      <c r="D67" s="52"/>
      <c r="E67" s="5"/>
      <c r="F67" s="5"/>
      <c r="G67" s="67" t="str">
        <f aca="false">IF(D67="","",D67-C67)</f>
        <v/>
      </c>
      <c r="H67" s="13" t="str">
        <f aca="false">IF(D67="","",IF(D67&lt;=C67,"En meta",IF(D67&lt;=C67+1,"Riesgo","Atrasado")))</f>
        <v/>
      </c>
      <c r="I67" s="56"/>
      <c r="J67" s="55" t="str">
        <f aca="false">IF(I67="","",IF($I$9="","",IF($I$9=0,"",I67/$I$9)))</f>
        <v/>
      </c>
      <c r="K67" s="54"/>
      <c r="L67" s="55" t="str">
        <f aca="false">IF(K67="","",IF($K$9="","",IF($K$9=0,"",K67/$K$9)))</f>
        <v/>
      </c>
      <c r="M67" s="54"/>
      <c r="N67" s="55" t="str">
        <f aca="false">IF(M67="","",IF($M$9="","",IF($M$9=0,"",M67/$M$9)))</f>
        <v/>
      </c>
      <c r="O67" s="54"/>
      <c r="P67" s="55" t="str">
        <f aca="false">IF(O67="","",IF($O$9="","",IF($O$9=0,"",O67/$O$9)))</f>
        <v/>
      </c>
      <c r="Q67" s="56"/>
      <c r="R67" s="55" t="str">
        <f aca="false">IF(Q67="","",IF($Q$9="","",IF($Q$9=0,"",Q67/$Q$9)))</f>
        <v/>
      </c>
      <c r="S67" s="54"/>
      <c r="T67" s="55" t="str">
        <f aca="false">IF(S67="","",IF($S$9="","",IF($S$9=0,"",S67/$S$9)))</f>
        <v/>
      </c>
      <c r="U67" s="54"/>
      <c r="V67" s="55" t="str">
        <f aca="false">IF(U67="","",IF($U$9="","",IF($U$9=0,"",U67/$U$9)))</f>
        <v/>
      </c>
      <c r="W67" s="54"/>
      <c r="X67" s="55" t="str">
        <f aca="false">IF(W67="","",IF($W$9="","",IF($W$9=0,"",W67/$W$9)))</f>
        <v/>
      </c>
    </row>
    <row r="68" customFormat="false" ht="15" hidden="false" customHeight="false" outlineLevel="0" collapsed="false">
      <c r="A68" s="28" t="n">
        <v>58</v>
      </c>
      <c r="B68" s="57" t="n">
        <v>46587</v>
      </c>
      <c r="C68" s="58" t="n">
        <f aca="false">$B$5</f>
        <v>0</v>
      </c>
      <c r="D68" s="52"/>
      <c r="E68" s="28"/>
      <c r="F68" s="28"/>
      <c r="G68" s="68" t="str">
        <f aca="false">IF(D68="","",D68-C68)</f>
        <v/>
      </c>
      <c r="H68" s="14" t="str">
        <f aca="false">IF(D68="","",IF(D68&lt;=C68,"En meta",IF(D68&lt;=C68+1,"Riesgo","Atrasado")))</f>
        <v/>
      </c>
      <c r="I68" s="56"/>
      <c r="J68" s="60" t="str">
        <f aca="false">IF(I68="","",IF($I$9="","",IF($I$9=0,"",I68/$I$9)))</f>
        <v/>
      </c>
      <c r="K68" s="54"/>
      <c r="L68" s="60" t="str">
        <f aca="false">IF(K68="","",IF($K$9="","",IF($K$9=0,"",K68/$K$9)))</f>
        <v/>
      </c>
      <c r="M68" s="54"/>
      <c r="N68" s="60" t="str">
        <f aca="false">IF(M68="","",IF($M$9="","",IF($M$9=0,"",M68/$M$9)))</f>
        <v/>
      </c>
      <c r="O68" s="54"/>
      <c r="P68" s="60" t="str">
        <f aca="false">IF(O68="","",IF($O$9="","",IF($O$9=0,"",O68/$O$9)))</f>
        <v/>
      </c>
      <c r="Q68" s="56"/>
      <c r="R68" s="60" t="str">
        <f aca="false">IF(Q68="","",IF($Q$9="","",IF($Q$9=0,"",Q68/$Q$9)))</f>
        <v/>
      </c>
      <c r="S68" s="54"/>
      <c r="T68" s="60" t="str">
        <f aca="false">IF(S68="","",IF($S$9="","",IF($S$9=0,"",S68/$S$9)))</f>
        <v/>
      </c>
      <c r="U68" s="54"/>
      <c r="V68" s="60" t="str">
        <f aca="false">IF(U68="","",IF($U$9="","",IF($U$9=0,"",U68/$U$9)))</f>
        <v/>
      </c>
      <c r="W68" s="54"/>
      <c r="X68" s="60" t="str">
        <f aca="false">IF(W68="","",IF($W$9="","",IF($W$9=0,"",W68/$W$9)))</f>
        <v/>
      </c>
    </row>
    <row r="69" customFormat="false" ht="15" hidden="false" customHeight="false" outlineLevel="0" collapsed="false">
      <c r="A69" s="5" t="n">
        <v>59</v>
      </c>
      <c r="B69" s="50" t="n">
        <v>46594</v>
      </c>
      <c r="C69" s="51" t="n">
        <f aca="false">$B$5</f>
        <v>0</v>
      </c>
      <c r="D69" s="52"/>
      <c r="E69" s="5"/>
      <c r="F69" s="5"/>
      <c r="G69" s="67" t="str">
        <f aca="false">IF(D69="","",D69-C69)</f>
        <v/>
      </c>
      <c r="H69" s="13" t="str">
        <f aca="false">IF(D69="","",IF(D69&lt;=C69,"En meta",IF(D69&lt;=C69+1,"Riesgo","Atrasado")))</f>
        <v/>
      </c>
      <c r="I69" s="56"/>
      <c r="J69" s="55" t="str">
        <f aca="false">IF(I69="","",IF($I$9="","",IF($I$9=0,"",I69/$I$9)))</f>
        <v/>
      </c>
      <c r="K69" s="54"/>
      <c r="L69" s="55" t="str">
        <f aca="false">IF(K69="","",IF($K$9="","",IF($K$9=0,"",K69/$K$9)))</f>
        <v/>
      </c>
      <c r="M69" s="54"/>
      <c r="N69" s="55" t="str">
        <f aca="false">IF(M69="","",IF($M$9="","",IF($M$9=0,"",M69/$M$9)))</f>
        <v/>
      </c>
      <c r="O69" s="54"/>
      <c r="P69" s="55" t="str">
        <f aca="false">IF(O69="","",IF($O$9="","",IF($O$9=0,"",O69/$O$9)))</f>
        <v/>
      </c>
      <c r="Q69" s="56"/>
      <c r="R69" s="55" t="str">
        <f aca="false">IF(Q69="","",IF($Q$9="","",IF($Q$9=0,"",Q69/$Q$9)))</f>
        <v/>
      </c>
      <c r="S69" s="54"/>
      <c r="T69" s="55" t="str">
        <f aca="false">IF(S69="","",IF($S$9="","",IF($S$9=0,"",S69/$S$9)))</f>
        <v/>
      </c>
      <c r="U69" s="54"/>
      <c r="V69" s="55" t="str">
        <f aca="false">IF(U69="","",IF($U$9="","",IF($U$9=0,"",U69/$U$9)))</f>
        <v/>
      </c>
      <c r="W69" s="54"/>
      <c r="X69" s="55" t="str">
        <f aca="false">IF(W69="","",IF($W$9="","",IF($W$9=0,"",W69/$W$9)))</f>
        <v/>
      </c>
    </row>
    <row r="70" customFormat="false" ht="15" hidden="false" customHeight="false" outlineLevel="0" collapsed="false">
      <c r="A70" s="28" t="n">
        <v>60</v>
      </c>
      <c r="B70" s="57" t="n">
        <v>46601</v>
      </c>
      <c r="C70" s="58" t="n">
        <f aca="false">$B$5</f>
        <v>0</v>
      </c>
      <c r="D70" s="52"/>
      <c r="E70" s="28"/>
      <c r="F70" s="28"/>
      <c r="G70" s="68" t="str">
        <f aca="false">IF(D70="","",D70-C70)</f>
        <v/>
      </c>
      <c r="H70" s="14" t="str">
        <f aca="false">IF(D70="","",IF(D70&lt;=C70,"En meta",IF(D70&lt;=C70+1,"Riesgo","Atrasado")))</f>
        <v/>
      </c>
      <c r="I70" s="56"/>
      <c r="J70" s="60" t="str">
        <f aca="false">IF(I70="","",IF($I$9="","",IF($I$9=0,"",I70/$I$9)))</f>
        <v/>
      </c>
      <c r="K70" s="54"/>
      <c r="L70" s="60" t="str">
        <f aca="false">IF(K70="","",IF($K$9="","",IF($K$9=0,"",K70/$K$9)))</f>
        <v/>
      </c>
      <c r="M70" s="54"/>
      <c r="N70" s="60" t="str">
        <f aca="false">IF(M70="","",IF($M$9="","",IF($M$9=0,"",M70/$M$9)))</f>
        <v/>
      </c>
      <c r="O70" s="54"/>
      <c r="P70" s="60" t="str">
        <f aca="false">IF(O70="","",IF($O$9="","",IF($O$9=0,"",O70/$O$9)))</f>
        <v/>
      </c>
      <c r="Q70" s="56"/>
      <c r="R70" s="60" t="str">
        <f aca="false">IF(Q70="","",IF($Q$9="","",IF($Q$9=0,"",Q70/$Q$9)))</f>
        <v/>
      </c>
      <c r="S70" s="54"/>
      <c r="T70" s="60" t="str">
        <f aca="false">IF(S70="","",IF($S$9="","",IF($S$9=0,"",S70/$S$9)))</f>
        <v/>
      </c>
      <c r="U70" s="54"/>
      <c r="V70" s="60" t="str">
        <f aca="false">IF(U70="","",IF($U$9="","",IF($U$9=0,"",U70/$U$9)))</f>
        <v/>
      </c>
      <c r="W70" s="54"/>
      <c r="X70" s="60" t="str">
        <f aca="false">IF(W70="","",IF($W$9="","",IF($W$9=0,"",W70/$W$9)))</f>
        <v/>
      </c>
    </row>
    <row r="71" customFormat="false" ht="15" hidden="false" customHeight="false" outlineLevel="0" collapsed="false">
      <c r="A71" s="5" t="n">
        <v>61</v>
      </c>
      <c r="B71" s="50" t="n">
        <v>46608</v>
      </c>
      <c r="C71" s="51" t="n">
        <f aca="false">$B$5</f>
        <v>0</v>
      </c>
      <c r="D71" s="52"/>
      <c r="E71" s="5"/>
      <c r="F71" s="5"/>
      <c r="G71" s="67" t="str">
        <f aca="false">IF(D71="","",D71-C71)</f>
        <v/>
      </c>
      <c r="H71" s="13" t="str">
        <f aca="false">IF(D71="","",IF(D71&lt;=C71,"En meta",IF(D71&lt;=C71+1,"Riesgo","Atrasado")))</f>
        <v/>
      </c>
      <c r="I71" s="56"/>
      <c r="J71" s="55" t="str">
        <f aca="false">IF(I71="","",IF($I$9="","",IF($I$9=0,"",I71/$I$9)))</f>
        <v/>
      </c>
      <c r="K71" s="54"/>
      <c r="L71" s="55" t="str">
        <f aca="false">IF(K71="","",IF($K$9="","",IF($K$9=0,"",K71/$K$9)))</f>
        <v/>
      </c>
      <c r="M71" s="54"/>
      <c r="N71" s="55" t="str">
        <f aca="false">IF(M71="","",IF($M$9="","",IF($M$9=0,"",M71/$M$9)))</f>
        <v/>
      </c>
      <c r="O71" s="54"/>
      <c r="P71" s="55" t="str">
        <f aca="false">IF(O71="","",IF($O$9="","",IF($O$9=0,"",O71/$O$9)))</f>
        <v/>
      </c>
      <c r="Q71" s="56"/>
      <c r="R71" s="55" t="str">
        <f aca="false">IF(Q71="","",IF($Q$9="","",IF($Q$9=0,"",Q71/$Q$9)))</f>
        <v/>
      </c>
      <c r="S71" s="54"/>
      <c r="T71" s="55" t="str">
        <f aca="false">IF(S71="","",IF($S$9="","",IF($S$9=0,"",S71/$S$9)))</f>
        <v/>
      </c>
      <c r="U71" s="54"/>
      <c r="V71" s="55" t="str">
        <f aca="false">IF(U71="","",IF($U$9="","",IF($U$9=0,"",U71/$U$9)))</f>
        <v/>
      </c>
      <c r="W71" s="54"/>
      <c r="X71" s="55" t="str">
        <f aca="false">IF(W71="","",IF($W$9="","",IF($W$9=0,"",W71/$W$9)))</f>
        <v/>
      </c>
    </row>
    <row r="72" customFormat="false" ht="15" hidden="false" customHeight="false" outlineLevel="0" collapsed="false">
      <c r="A72" s="28" t="n">
        <v>62</v>
      </c>
      <c r="B72" s="57" t="n">
        <v>46615</v>
      </c>
      <c r="C72" s="58" t="n">
        <f aca="false">$B$5</f>
        <v>0</v>
      </c>
      <c r="D72" s="52"/>
      <c r="E72" s="28"/>
      <c r="F72" s="28"/>
      <c r="G72" s="68" t="str">
        <f aca="false">IF(D72="","",D72-C72)</f>
        <v/>
      </c>
      <c r="H72" s="14" t="str">
        <f aca="false">IF(D72="","",IF(D72&lt;=C72,"En meta",IF(D72&lt;=C72+1,"Riesgo","Atrasado")))</f>
        <v/>
      </c>
      <c r="I72" s="56"/>
      <c r="J72" s="60" t="str">
        <f aca="false">IF(I72="","",IF($I$9="","",IF($I$9=0,"",I72/$I$9)))</f>
        <v/>
      </c>
      <c r="K72" s="54"/>
      <c r="L72" s="60" t="str">
        <f aca="false">IF(K72="","",IF($K$9="","",IF($K$9=0,"",K72/$K$9)))</f>
        <v/>
      </c>
      <c r="M72" s="54"/>
      <c r="N72" s="60" t="str">
        <f aca="false">IF(M72="","",IF($M$9="","",IF($M$9=0,"",M72/$M$9)))</f>
        <v/>
      </c>
      <c r="O72" s="54"/>
      <c r="P72" s="60" t="str">
        <f aca="false">IF(O72="","",IF($O$9="","",IF($O$9=0,"",O72/$O$9)))</f>
        <v/>
      </c>
      <c r="Q72" s="56"/>
      <c r="R72" s="60" t="str">
        <f aca="false">IF(Q72="","",IF($Q$9="","",IF($Q$9=0,"",Q72/$Q$9)))</f>
        <v/>
      </c>
      <c r="S72" s="54"/>
      <c r="T72" s="60" t="str">
        <f aca="false">IF(S72="","",IF($S$9="","",IF($S$9=0,"",S72/$S$9)))</f>
        <v/>
      </c>
      <c r="U72" s="54"/>
      <c r="V72" s="60" t="str">
        <f aca="false">IF(U72="","",IF($U$9="","",IF($U$9=0,"",U72/$U$9)))</f>
        <v/>
      </c>
      <c r="W72" s="54"/>
      <c r="X72" s="60" t="str">
        <f aca="false">IF(W72="","",IF($W$9="","",IF($W$9=0,"",W72/$W$9)))</f>
        <v/>
      </c>
    </row>
    <row r="73" customFormat="false" ht="15" hidden="false" customHeight="false" outlineLevel="0" collapsed="false">
      <c r="A73" s="5" t="n">
        <v>63</v>
      </c>
      <c r="B73" s="50" t="n">
        <v>46622</v>
      </c>
      <c r="C73" s="51" t="n">
        <f aca="false">$B$5</f>
        <v>0</v>
      </c>
      <c r="D73" s="52"/>
      <c r="E73" s="5"/>
      <c r="F73" s="5"/>
      <c r="G73" s="67" t="str">
        <f aca="false">IF(D73="","",D73-C73)</f>
        <v/>
      </c>
      <c r="H73" s="13" t="str">
        <f aca="false">IF(D73="","",IF(D73&lt;=C73,"En meta",IF(D73&lt;=C73+1,"Riesgo","Atrasado")))</f>
        <v/>
      </c>
      <c r="I73" s="56"/>
      <c r="J73" s="55" t="str">
        <f aca="false">IF(I73="","",IF($I$9="","",IF($I$9=0,"",I73/$I$9)))</f>
        <v/>
      </c>
      <c r="K73" s="54"/>
      <c r="L73" s="55" t="str">
        <f aca="false">IF(K73="","",IF($K$9="","",IF($K$9=0,"",K73/$K$9)))</f>
        <v/>
      </c>
      <c r="M73" s="54"/>
      <c r="N73" s="55" t="str">
        <f aca="false">IF(M73="","",IF($M$9="","",IF($M$9=0,"",M73/$M$9)))</f>
        <v/>
      </c>
      <c r="O73" s="54"/>
      <c r="P73" s="55" t="str">
        <f aca="false">IF(O73="","",IF($O$9="","",IF($O$9=0,"",O73/$O$9)))</f>
        <v/>
      </c>
      <c r="Q73" s="56"/>
      <c r="R73" s="55" t="str">
        <f aca="false">IF(Q73="","",IF($Q$9="","",IF($Q$9=0,"",Q73/$Q$9)))</f>
        <v/>
      </c>
      <c r="S73" s="54"/>
      <c r="T73" s="55" t="str">
        <f aca="false">IF(S73="","",IF($S$9="","",IF($S$9=0,"",S73/$S$9)))</f>
        <v/>
      </c>
      <c r="U73" s="54"/>
      <c r="V73" s="55" t="str">
        <f aca="false">IF(U73="","",IF($U$9="","",IF($U$9=0,"",U73/$U$9)))</f>
        <v/>
      </c>
      <c r="W73" s="54"/>
      <c r="X73" s="55" t="str">
        <f aca="false">IF(W73="","",IF($W$9="","",IF($W$9=0,"",W73/$W$9)))</f>
        <v/>
      </c>
    </row>
    <row r="74" customFormat="false" ht="15" hidden="false" customHeight="false" outlineLevel="0" collapsed="false">
      <c r="A74" s="28" t="n">
        <v>64</v>
      </c>
      <c r="B74" s="57" t="n">
        <v>46629</v>
      </c>
      <c r="C74" s="58" t="n">
        <f aca="false">$B$5</f>
        <v>0</v>
      </c>
      <c r="D74" s="52"/>
      <c r="E74" s="28"/>
      <c r="F74" s="28"/>
      <c r="G74" s="68" t="str">
        <f aca="false">IF(D74="","",D74-C74)</f>
        <v/>
      </c>
      <c r="H74" s="14" t="str">
        <f aca="false">IF(D74="","",IF(D74&lt;=C74,"En meta",IF(D74&lt;=C74+1,"Riesgo","Atrasado")))</f>
        <v/>
      </c>
      <c r="I74" s="56"/>
      <c r="J74" s="60" t="str">
        <f aca="false">IF(I74="","",IF($I$9="","",IF($I$9=0,"",I74/$I$9)))</f>
        <v/>
      </c>
      <c r="K74" s="54"/>
      <c r="L74" s="60" t="str">
        <f aca="false">IF(K74="","",IF($K$9="","",IF($K$9=0,"",K74/$K$9)))</f>
        <v/>
      </c>
      <c r="M74" s="54"/>
      <c r="N74" s="60" t="str">
        <f aca="false">IF(M74="","",IF($M$9="","",IF($M$9=0,"",M74/$M$9)))</f>
        <v/>
      </c>
      <c r="O74" s="54"/>
      <c r="P74" s="60" t="str">
        <f aca="false">IF(O74="","",IF($O$9="","",IF($O$9=0,"",O74/$O$9)))</f>
        <v/>
      </c>
      <c r="Q74" s="56"/>
      <c r="R74" s="60" t="str">
        <f aca="false">IF(Q74="","",IF($Q$9="","",IF($Q$9=0,"",Q74/$Q$9)))</f>
        <v/>
      </c>
      <c r="S74" s="54"/>
      <c r="T74" s="60" t="str">
        <f aca="false">IF(S74="","",IF($S$9="","",IF($S$9=0,"",S74/$S$9)))</f>
        <v/>
      </c>
      <c r="U74" s="54"/>
      <c r="V74" s="60" t="str">
        <f aca="false">IF(U74="","",IF($U$9="","",IF($U$9=0,"",U74/$U$9)))</f>
        <v/>
      </c>
      <c r="W74" s="54"/>
      <c r="X74" s="60" t="str">
        <f aca="false">IF(W74="","",IF($W$9="","",IF($W$9=0,"",W74/$W$9)))</f>
        <v/>
      </c>
    </row>
    <row r="75" customFormat="false" ht="15" hidden="false" customHeight="false" outlineLevel="0" collapsed="false">
      <c r="A75" s="5" t="n">
        <v>65</v>
      </c>
      <c r="B75" s="50" t="n">
        <v>46636</v>
      </c>
      <c r="C75" s="51" t="n">
        <f aca="false">$B$5</f>
        <v>0</v>
      </c>
      <c r="D75" s="52"/>
      <c r="E75" s="5"/>
      <c r="F75" s="5"/>
      <c r="G75" s="67" t="str">
        <f aca="false">IF(D75="","",D75-C75)</f>
        <v/>
      </c>
      <c r="H75" s="13" t="str">
        <f aca="false">IF(D75="","",IF(D75&lt;=C75,"En meta",IF(D75&lt;=C75+1,"Riesgo","Atrasado")))</f>
        <v/>
      </c>
      <c r="I75" s="56"/>
      <c r="J75" s="55" t="str">
        <f aca="false">IF(I75="","",IF($I$9="","",IF($I$9=0,"",I75/$I$9)))</f>
        <v/>
      </c>
      <c r="K75" s="54"/>
      <c r="L75" s="55" t="str">
        <f aca="false">IF(K75="","",IF($K$9="","",IF($K$9=0,"",K75/$K$9)))</f>
        <v/>
      </c>
      <c r="M75" s="54"/>
      <c r="N75" s="55" t="str">
        <f aca="false">IF(M75="","",IF($M$9="","",IF($M$9=0,"",M75/$M$9)))</f>
        <v/>
      </c>
      <c r="O75" s="54"/>
      <c r="P75" s="55" t="str">
        <f aca="false">IF(O75="","",IF($O$9="","",IF($O$9=0,"",O75/$O$9)))</f>
        <v/>
      </c>
      <c r="Q75" s="56"/>
      <c r="R75" s="55" t="str">
        <f aca="false">IF(Q75="","",IF($Q$9="","",IF($Q$9=0,"",Q75/$Q$9)))</f>
        <v/>
      </c>
      <c r="S75" s="54"/>
      <c r="T75" s="55" t="str">
        <f aca="false">IF(S75="","",IF($S$9="","",IF($S$9=0,"",S75/$S$9)))</f>
        <v/>
      </c>
      <c r="U75" s="54"/>
      <c r="V75" s="55" t="str">
        <f aca="false">IF(U75="","",IF($U$9="","",IF($U$9=0,"",U75/$U$9)))</f>
        <v/>
      </c>
      <c r="W75" s="54"/>
      <c r="X75" s="55" t="str">
        <f aca="false">IF(W75="","",IF($W$9="","",IF($W$9=0,"",W75/$W$9)))</f>
        <v/>
      </c>
    </row>
    <row r="76" customFormat="false" ht="15" hidden="false" customHeight="false" outlineLevel="0" collapsed="false">
      <c r="A76" s="28" t="n">
        <v>66</v>
      </c>
      <c r="B76" s="57" t="n">
        <v>46643</v>
      </c>
      <c r="C76" s="58" t="n">
        <f aca="false">$B$5</f>
        <v>0</v>
      </c>
      <c r="D76" s="52"/>
      <c r="E76" s="28"/>
      <c r="F76" s="28"/>
      <c r="G76" s="68" t="str">
        <f aca="false">IF(D76="","",D76-C76)</f>
        <v/>
      </c>
      <c r="H76" s="14" t="str">
        <f aca="false">IF(D76="","",IF(D76&lt;=C76,"En meta",IF(D76&lt;=C76+1,"Riesgo","Atrasado")))</f>
        <v/>
      </c>
      <c r="I76" s="56"/>
      <c r="J76" s="60" t="str">
        <f aca="false">IF(I76="","",IF($I$9="","",IF($I$9=0,"",I76/$I$9)))</f>
        <v/>
      </c>
      <c r="K76" s="54"/>
      <c r="L76" s="60" t="str">
        <f aca="false">IF(K76="","",IF($K$9="","",IF($K$9=0,"",K76/$K$9)))</f>
        <v/>
      </c>
      <c r="M76" s="54"/>
      <c r="N76" s="60" t="str">
        <f aca="false">IF(M76="","",IF($M$9="","",IF($M$9=0,"",M76/$M$9)))</f>
        <v/>
      </c>
      <c r="O76" s="54"/>
      <c r="P76" s="60" t="str">
        <f aca="false">IF(O76="","",IF($O$9="","",IF($O$9=0,"",O76/$O$9)))</f>
        <v/>
      </c>
      <c r="Q76" s="56"/>
      <c r="R76" s="60" t="str">
        <f aca="false">IF(Q76="","",IF($Q$9="","",IF($Q$9=0,"",Q76/$Q$9)))</f>
        <v/>
      </c>
      <c r="S76" s="54"/>
      <c r="T76" s="60" t="str">
        <f aca="false">IF(S76="","",IF($S$9="","",IF($S$9=0,"",S76/$S$9)))</f>
        <v/>
      </c>
      <c r="U76" s="54"/>
      <c r="V76" s="60" t="str">
        <f aca="false">IF(U76="","",IF($U$9="","",IF($U$9=0,"",U76/$U$9)))</f>
        <v/>
      </c>
      <c r="W76" s="54"/>
      <c r="X76" s="60" t="str">
        <f aca="false">IF(W76="","",IF($W$9="","",IF($W$9=0,"",W76/$W$9)))</f>
        <v/>
      </c>
    </row>
    <row r="77" customFormat="false" ht="15" hidden="false" customHeight="false" outlineLevel="0" collapsed="false">
      <c r="A77" s="5" t="n">
        <v>67</v>
      </c>
      <c r="B77" s="50" t="n">
        <v>46650</v>
      </c>
      <c r="C77" s="51" t="n">
        <f aca="false">$B$5</f>
        <v>0</v>
      </c>
      <c r="D77" s="52"/>
      <c r="E77" s="5"/>
      <c r="F77" s="5"/>
      <c r="G77" s="67" t="str">
        <f aca="false">IF(D77="","",D77-C77)</f>
        <v/>
      </c>
      <c r="H77" s="13" t="str">
        <f aca="false">IF(D77="","",IF(D77&lt;=C77,"En meta",IF(D77&lt;=C77+1,"Riesgo","Atrasado")))</f>
        <v/>
      </c>
      <c r="I77" s="56"/>
      <c r="J77" s="55" t="str">
        <f aca="false">IF(I77="","",IF($I$9="","",IF($I$9=0,"",I77/$I$9)))</f>
        <v/>
      </c>
      <c r="K77" s="54"/>
      <c r="L77" s="55" t="str">
        <f aca="false">IF(K77="","",IF($K$9="","",IF($K$9=0,"",K77/$K$9)))</f>
        <v/>
      </c>
      <c r="M77" s="54"/>
      <c r="N77" s="55" t="str">
        <f aca="false">IF(M77="","",IF($M$9="","",IF($M$9=0,"",M77/$M$9)))</f>
        <v/>
      </c>
      <c r="O77" s="54"/>
      <c r="P77" s="55" t="str">
        <f aca="false">IF(O77="","",IF($O$9="","",IF($O$9=0,"",O77/$O$9)))</f>
        <v/>
      </c>
      <c r="Q77" s="56"/>
      <c r="R77" s="55" t="str">
        <f aca="false">IF(Q77="","",IF($Q$9="","",IF($Q$9=0,"",Q77/$Q$9)))</f>
        <v/>
      </c>
      <c r="S77" s="54"/>
      <c r="T77" s="55" t="str">
        <f aca="false">IF(S77="","",IF($S$9="","",IF($S$9=0,"",S77/$S$9)))</f>
        <v/>
      </c>
      <c r="U77" s="54"/>
      <c r="V77" s="55" t="str">
        <f aca="false">IF(U77="","",IF($U$9="","",IF($U$9=0,"",U77/$U$9)))</f>
        <v/>
      </c>
      <c r="W77" s="54"/>
      <c r="X77" s="55" t="str">
        <f aca="false">IF(W77="","",IF($W$9="","",IF($W$9=0,"",W77/$W$9)))</f>
        <v/>
      </c>
    </row>
    <row r="78" customFormat="false" ht="15" hidden="false" customHeight="false" outlineLevel="0" collapsed="false">
      <c r="A78" s="28" t="n">
        <v>68</v>
      </c>
      <c r="B78" s="57" t="n">
        <v>46657</v>
      </c>
      <c r="C78" s="58" t="n">
        <f aca="false">$B$5</f>
        <v>0</v>
      </c>
      <c r="D78" s="52"/>
      <c r="E78" s="28"/>
      <c r="F78" s="28"/>
      <c r="G78" s="68" t="str">
        <f aca="false">IF(D78="","",D78-C78)</f>
        <v/>
      </c>
      <c r="H78" s="14" t="str">
        <f aca="false">IF(D78="","",IF(D78&lt;=C78,"En meta",IF(D78&lt;=C78+1,"Riesgo","Atrasado")))</f>
        <v/>
      </c>
      <c r="I78" s="56"/>
      <c r="J78" s="60" t="str">
        <f aca="false">IF(I78="","",IF($I$9="","",IF($I$9=0,"",I78/$I$9)))</f>
        <v/>
      </c>
      <c r="K78" s="54"/>
      <c r="L78" s="60" t="str">
        <f aca="false">IF(K78="","",IF($K$9="","",IF($K$9=0,"",K78/$K$9)))</f>
        <v/>
      </c>
      <c r="M78" s="54"/>
      <c r="N78" s="60" t="str">
        <f aca="false">IF(M78="","",IF($M$9="","",IF($M$9=0,"",M78/$M$9)))</f>
        <v/>
      </c>
      <c r="O78" s="54"/>
      <c r="P78" s="60" t="str">
        <f aca="false">IF(O78="","",IF($O$9="","",IF($O$9=0,"",O78/$O$9)))</f>
        <v/>
      </c>
      <c r="Q78" s="56"/>
      <c r="R78" s="60" t="str">
        <f aca="false">IF(Q78="","",IF($Q$9="","",IF($Q$9=0,"",Q78/$Q$9)))</f>
        <v/>
      </c>
      <c r="S78" s="54"/>
      <c r="T78" s="60" t="str">
        <f aca="false">IF(S78="","",IF($S$9="","",IF($S$9=0,"",S78/$S$9)))</f>
        <v/>
      </c>
      <c r="U78" s="54"/>
      <c r="V78" s="60" t="str">
        <f aca="false">IF(U78="","",IF($U$9="","",IF($U$9=0,"",U78/$U$9)))</f>
        <v/>
      </c>
      <c r="W78" s="54"/>
      <c r="X78" s="60" t="str">
        <f aca="false">IF(W78="","",IF($W$9="","",IF($W$9=0,"",W78/$W$9)))</f>
        <v/>
      </c>
    </row>
    <row r="79" customFormat="false" ht="15" hidden="false" customHeight="false" outlineLevel="0" collapsed="false">
      <c r="A79" s="5" t="n">
        <v>69</v>
      </c>
      <c r="B79" s="50" t="n">
        <v>46664</v>
      </c>
      <c r="C79" s="51" t="n">
        <f aca="false">$B$5</f>
        <v>0</v>
      </c>
      <c r="D79" s="52"/>
      <c r="E79" s="5"/>
      <c r="F79" s="5"/>
      <c r="G79" s="67" t="str">
        <f aca="false">IF(D79="","",D79-C79)</f>
        <v/>
      </c>
      <c r="H79" s="13" t="str">
        <f aca="false">IF(D79="","",IF(D79&lt;=C79,"En meta",IF(D79&lt;=C79+1,"Riesgo","Atrasado")))</f>
        <v/>
      </c>
      <c r="I79" s="56"/>
      <c r="J79" s="55" t="str">
        <f aca="false">IF(I79="","",IF($I$9="","",IF($I$9=0,"",I79/$I$9)))</f>
        <v/>
      </c>
      <c r="K79" s="54"/>
      <c r="L79" s="55" t="str">
        <f aca="false">IF(K79="","",IF($K$9="","",IF($K$9=0,"",K79/$K$9)))</f>
        <v/>
      </c>
      <c r="M79" s="54"/>
      <c r="N79" s="55" t="str">
        <f aca="false">IF(M79="","",IF($M$9="","",IF($M$9=0,"",M79/$M$9)))</f>
        <v/>
      </c>
      <c r="O79" s="54"/>
      <c r="P79" s="55" t="str">
        <f aca="false">IF(O79="","",IF($O$9="","",IF($O$9=0,"",O79/$O$9)))</f>
        <v/>
      </c>
      <c r="Q79" s="56"/>
      <c r="R79" s="55" t="str">
        <f aca="false">IF(Q79="","",IF($Q$9="","",IF($Q$9=0,"",Q79/$Q$9)))</f>
        <v/>
      </c>
      <c r="S79" s="54"/>
      <c r="T79" s="55" t="str">
        <f aca="false">IF(S79="","",IF($S$9="","",IF($S$9=0,"",S79/$S$9)))</f>
        <v/>
      </c>
      <c r="U79" s="54"/>
      <c r="V79" s="55" t="str">
        <f aca="false">IF(U79="","",IF($U$9="","",IF($U$9=0,"",U79/$U$9)))</f>
        <v/>
      </c>
      <c r="W79" s="54"/>
      <c r="X79" s="55" t="str">
        <f aca="false">IF(W79="","",IF($W$9="","",IF($W$9=0,"",W79/$W$9)))</f>
        <v/>
      </c>
    </row>
    <row r="80" customFormat="false" ht="15" hidden="false" customHeight="false" outlineLevel="0" collapsed="false">
      <c r="A80" s="28" t="n">
        <v>70</v>
      </c>
      <c r="B80" s="57" t="n">
        <v>46671</v>
      </c>
      <c r="C80" s="58" t="n">
        <f aca="false">$B$5</f>
        <v>0</v>
      </c>
      <c r="D80" s="52"/>
      <c r="E80" s="28"/>
      <c r="F80" s="28"/>
      <c r="G80" s="68" t="str">
        <f aca="false">IF(D80="","",D80-C80)</f>
        <v/>
      </c>
      <c r="H80" s="14" t="str">
        <f aca="false">IF(D80="","",IF(D80&lt;=C80,"En meta",IF(D80&lt;=C80+1,"Riesgo","Atrasado")))</f>
        <v/>
      </c>
      <c r="I80" s="56"/>
      <c r="J80" s="60" t="str">
        <f aca="false">IF(I80="","",IF($I$9="","",IF($I$9=0,"",I80/$I$9)))</f>
        <v/>
      </c>
      <c r="K80" s="54"/>
      <c r="L80" s="60" t="str">
        <f aca="false">IF(K80="","",IF($K$9="","",IF($K$9=0,"",K80/$K$9)))</f>
        <v/>
      </c>
      <c r="M80" s="54"/>
      <c r="N80" s="60" t="str">
        <f aca="false">IF(M80="","",IF($M$9="","",IF($M$9=0,"",M80/$M$9)))</f>
        <v/>
      </c>
      <c r="O80" s="54"/>
      <c r="P80" s="60" t="str">
        <f aca="false">IF(O80="","",IF($O$9="","",IF($O$9=0,"",O80/$O$9)))</f>
        <v/>
      </c>
      <c r="Q80" s="56"/>
      <c r="R80" s="60" t="str">
        <f aca="false">IF(Q80="","",IF($Q$9="","",IF($Q$9=0,"",Q80/$Q$9)))</f>
        <v/>
      </c>
      <c r="S80" s="54"/>
      <c r="T80" s="60" t="str">
        <f aca="false">IF(S80="","",IF($S$9="","",IF($S$9=0,"",S80/$S$9)))</f>
        <v/>
      </c>
      <c r="U80" s="54"/>
      <c r="V80" s="60" t="str">
        <f aca="false">IF(U80="","",IF($U$9="","",IF($U$9=0,"",U80/$U$9)))</f>
        <v/>
      </c>
      <c r="W80" s="54"/>
      <c r="X80" s="60" t="str">
        <f aca="false">IF(W80="","",IF($W$9="","",IF($W$9=0,"",W80/$W$9)))</f>
        <v/>
      </c>
    </row>
    <row r="81" customFormat="false" ht="15" hidden="false" customHeight="false" outlineLevel="0" collapsed="false">
      <c r="A81" s="5" t="n">
        <v>71</v>
      </c>
      <c r="B81" s="50" t="n">
        <v>46678</v>
      </c>
      <c r="C81" s="51" t="n">
        <f aca="false">$B$5</f>
        <v>0</v>
      </c>
      <c r="D81" s="52"/>
      <c r="E81" s="5"/>
      <c r="F81" s="5"/>
      <c r="G81" s="67" t="str">
        <f aca="false">IF(D81="","",D81-C81)</f>
        <v/>
      </c>
      <c r="H81" s="13" t="str">
        <f aca="false">IF(D81="","",IF(D81&lt;=C81,"En meta",IF(D81&lt;=C81+1,"Riesgo","Atrasado")))</f>
        <v/>
      </c>
      <c r="I81" s="56"/>
      <c r="J81" s="55" t="str">
        <f aca="false">IF(I81="","",IF($I$9="","",IF($I$9=0,"",I81/$I$9)))</f>
        <v/>
      </c>
      <c r="K81" s="54"/>
      <c r="L81" s="55" t="str">
        <f aca="false">IF(K81="","",IF($K$9="","",IF($K$9=0,"",K81/$K$9)))</f>
        <v/>
      </c>
      <c r="M81" s="54"/>
      <c r="N81" s="55" t="str">
        <f aca="false">IF(M81="","",IF($M$9="","",IF($M$9=0,"",M81/$M$9)))</f>
        <v/>
      </c>
      <c r="O81" s="54"/>
      <c r="P81" s="55" t="str">
        <f aca="false">IF(O81="","",IF($O$9="","",IF($O$9=0,"",O81/$O$9)))</f>
        <v/>
      </c>
      <c r="Q81" s="56"/>
      <c r="R81" s="55" t="str">
        <f aca="false">IF(Q81="","",IF($Q$9="","",IF($Q$9=0,"",Q81/$Q$9)))</f>
        <v/>
      </c>
      <c r="S81" s="54"/>
      <c r="T81" s="55" t="str">
        <f aca="false">IF(S81="","",IF($S$9="","",IF($S$9=0,"",S81/$S$9)))</f>
        <v/>
      </c>
      <c r="U81" s="54"/>
      <c r="V81" s="55" t="str">
        <f aca="false">IF(U81="","",IF($U$9="","",IF($U$9=0,"",U81/$U$9)))</f>
        <v/>
      </c>
      <c r="W81" s="54"/>
      <c r="X81" s="55" t="str">
        <f aca="false">IF(W81="","",IF($W$9="","",IF($W$9=0,"",W81/$W$9)))</f>
        <v/>
      </c>
    </row>
    <row r="82" customFormat="false" ht="15" hidden="false" customHeight="false" outlineLevel="0" collapsed="false">
      <c r="A82" s="28" t="n">
        <v>72</v>
      </c>
      <c r="B82" s="57" t="n">
        <v>46685</v>
      </c>
      <c r="C82" s="58" t="n">
        <f aca="false">$B$5</f>
        <v>0</v>
      </c>
      <c r="D82" s="52"/>
      <c r="E82" s="28"/>
      <c r="F82" s="28"/>
      <c r="G82" s="68" t="str">
        <f aca="false">IF(D82="","",D82-C82)</f>
        <v/>
      </c>
      <c r="H82" s="14" t="str">
        <f aca="false">IF(D82="","",IF(D82&lt;=C82,"En meta",IF(D82&lt;=C82+1,"Riesgo","Atrasado")))</f>
        <v/>
      </c>
      <c r="I82" s="56"/>
      <c r="J82" s="60" t="str">
        <f aca="false">IF(I82="","",IF($I$9="","",IF($I$9=0,"",I82/$I$9)))</f>
        <v/>
      </c>
      <c r="K82" s="54"/>
      <c r="L82" s="60" t="str">
        <f aca="false">IF(K82="","",IF($K$9="","",IF($K$9=0,"",K82/$K$9)))</f>
        <v/>
      </c>
      <c r="M82" s="54"/>
      <c r="N82" s="60" t="str">
        <f aca="false">IF(M82="","",IF($M$9="","",IF($M$9=0,"",M82/$M$9)))</f>
        <v/>
      </c>
      <c r="O82" s="54"/>
      <c r="P82" s="60" t="str">
        <f aca="false">IF(O82="","",IF($O$9="","",IF($O$9=0,"",O82/$O$9)))</f>
        <v/>
      </c>
      <c r="Q82" s="56"/>
      <c r="R82" s="60" t="str">
        <f aca="false">IF(Q82="","",IF($Q$9="","",IF($Q$9=0,"",Q82/$Q$9)))</f>
        <v/>
      </c>
      <c r="S82" s="54"/>
      <c r="T82" s="60" t="str">
        <f aca="false">IF(S82="","",IF($S$9="","",IF($S$9=0,"",S82/$S$9)))</f>
        <v/>
      </c>
      <c r="U82" s="54"/>
      <c r="V82" s="60" t="str">
        <f aca="false">IF(U82="","",IF($U$9="","",IF($U$9=0,"",U82/$U$9)))</f>
        <v/>
      </c>
      <c r="W82" s="54"/>
      <c r="X82" s="60" t="str">
        <f aca="false">IF(W82="","",IF($W$9="","",IF($W$9=0,"",W82/$W$9)))</f>
        <v/>
      </c>
    </row>
    <row r="83" customFormat="false" ht="15" hidden="false" customHeight="false" outlineLevel="0" collapsed="false">
      <c r="A83" s="5" t="n">
        <v>73</v>
      </c>
      <c r="B83" s="50" t="n">
        <v>46692</v>
      </c>
      <c r="C83" s="51" t="n">
        <f aca="false">$B$5</f>
        <v>0</v>
      </c>
      <c r="D83" s="52"/>
      <c r="E83" s="5"/>
      <c r="F83" s="5"/>
      <c r="G83" s="67" t="str">
        <f aca="false">IF(D83="","",D83-C83)</f>
        <v/>
      </c>
      <c r="H83" s="13" t="str">
        <f aca="false">IF(D83="","",IF(D83&lt;=C83,"En meta",IF(D83&lt;=C83+1,"Riesgo","Atrasado")))</f>
        <v/>
      </c>
      <c r="I83" s="56"/>
      <c r="J83" s="55" t="str">
        <f aca="false">IF(I83="","",IF($I$9="","",IF($I$9=0,"",I83/$I$9)))</f>
        <v/>
      </c>
      <c r="K83" s="54"/>
      <c r="L83" s="55" t="str">
        <f aca="false">IF(K83="","",IF($K$9="","",IF($K$9=0,"",K83/$K$9)))</f>
        <v/>
      </c>
      <c r="M83" s="54"/>
      <c r="N83" s="55" t="str">
        <f aca="false">IF(M83="","",IF($M$9="","",IF($M$9=0,"",M83/$M$9)))</f>
        <v/>
      </c>
      <c r="O83" s="54"/>
      <c r="P83" s="55" t="str">
        <f aca="false">IF(O83="","",IF($O$9="","",IF($O$9=0,"",O83/$O$9)))</f>
        <v/>
      </c>
      <c r="Q83" s="56"/>
      <c r="R83" s="55" t="str">
        <f aca="false">IF(Q83="","",IF($Q$9="","",IF($Q$9=0,"",Q83/$Q$9)))</f>
        <v/>
      </c>
      <c r="S83" s="54"/>
      <c r="T83" s="55" t="str">
        <f aca="false">IF(S83="","",IF($S$9="","",IF($S$9=0,"",S83/$S$9)))</f>
        <v/>
      </c>
      <c r="U83" s="54"/>
      <c r="V83" s="55" t="str">
        <f aca="false">IF(U83="","",IF($U$9="","",IF($U$9=0,"",U83/$U$9)))</f>
        <v/>
      </c>
      <c r="W83" s="54"/>
      <c r="X83" s="55" t="str">
        <f aca="false">IF(W83="","",IF($W$9="","",IF($W$9=0,"",W83/$W$9)))</f>
        <v/>
      </c>
    </row>
    <row r="84" customFormat="false" ht="15" hidden="false" customHeight="false" outlineLevel="0" collapsed="false">
      <c r="A84" s="28" t="n">
        <v>74</v>
      </c>
      <c r="B84" s="57" t="n">
        <v>46699</v>
      </c>
      <c r="C84" s="58" t="n">
        <f aca="false">$B$5</f>
        <v>0</v>
      </c>
      <c r="D84" s="52"/>
      <c r="E84" s="28"/>
      <c r="F84" s="28"/>
      <c r="G84" s="68" t="str">
        <f aca="false">IF(D84="","",D84-C84)</f>
        <v/>
      </c>
      <c r="H84" s="14" t="str">
        <f aca="false">IF(D84="","",IF(D84&lt;=C84,"En meta",IF(D84&lt;=C84+1,"Riesgo","Atrasado")))</f>
        <v/>
      </c>
      <c r="I84" s="56"/>
      <c r="J84" s="60" t="str">
        <f aca="false">IF(I84="","",IF($I$9="","",IF($I$9=0,"",I84/$I$9)))</f>
        <v/>
      </c>
      <c r="K84" s="54"/>
      <c r="L84" s="60" t="str">
        <f aca="false">IF(K84="","",IF($K$9="","",IF($K$9=0,"",K84/$K$9)))</f>
        <v/>
      </c>
      <c r="M84" s="54"/>
      <c r="N84" s="60" t="str">
        <f aca="false">IF(M84="","",IF($M$9="","",IF($M$9=0,"",M84/$M$9)))</f>
        <v/>
      </c>
      <c r="O84" s="54"/>
      <c r="P84" s="60" t="str">
        <f aca="false">IF(O84="","",IF($O$9="","",IF($O$9=0,"",O84/$O$9)))</f>
        <v/>
      </c>
      <c r="Q84" s="56"/>
      <c r="R84" s="60" t="str">
        <f aca="false">IF(Q84="","",IF($Q$9="","",IF($Q$9=0,"",Q84/$Q$9)))</f>
        <v/>
      </c>
      <c r="S84" s="54"/>
      <c r="T84" s="60" t="str">
        <f aca="false">IF(S84="","",IF($S$9="","",IF($S$9=0,"",S84/$S$9)))</f>
        <v/>
      </c>
      <c r="U84" s="54"/>
      <c r="V84" s="60" t="str">
        <f aca="false">IF(U84="","",IF($U$9="","",IF($U$9=0,"",U84/$U$9)))</f>
        <v/>
      </c>
      <c r="W84" s="54"/>
      <c r="X84" s="60" t="str">
        <f aca="false">IF(W84="","",IF($W$9="","",IF($W$9=0,"",W84/$W$9)))</f>
        <v/>
      </c>
    </row>
    <row r="85" customFormat="false" ht="15" hidden="false" customHeight="false" outlineLevel="0" collapsed="false">
      <c r="A85" s="5" t="n">
        <v>75</v>
      </c>
      <c r="B85" s="50" t="n">
        <v>46706</v>
      </c>
      <c r="C85" s="51" t="n">
        <f aca="false">$B$5</f>
        <v>0</v>
      </c>
      <c r="D85" s="52"/>
      <c r="E85" s="5"/>
      <c r="F85" s="5"/>
      <c r="G85" s="67" t="str">
        <f aca="false">IF(D85="","",D85-C85)</f>
        <v/>
      </c>
      <c r="H85" s="13" t="str">
        <f aca="false">IF(D85="","",IF(D85&lt;=C85,"En meta",IF(D85&lt;=C85+1,"Riesgo","Atrasado")))</f>
        <v/>
      </c>
      <c r="I85" s="56"/>
      <c r="J85" s="55" t="str">
        <f aca="false">IF(I85="","",IF($I$9="","",IF($I$9=0,"",I85/$I$9)))</f>
        <v/>
      </c>
      <c r="K85" s="54"/>
      <c r="L85" s="55" t="str">
        <f aca="false">IF(K85="","",IF($K$9="","",IF($K$9=0,"",K85/$K$9)))</f>
        <v/>
      </c>
      <c r="M85" s="54"/>
      <c r="N85" s="55" t="str">
        <f aca="false">IF(M85="","",IF($M$9="","",IF($M$9=0,"",M85/$M$9)))</f>
        <v/>
      </c>
      <c r="O85" s="54"/>
      <c r="P85" s="55" t="str">
        <f aca="false">IF(O85="","",IF($O$9="","",IF($O$9=0,"",O85/$O$9)))</f>
        <v/>
      </c>
      <c r="Q85" s="56"/>
      <c r="R85" s="55" t="str">
        <f aca="false">IF(Q85="","",IF($Q$9="","",IF($Q$9=0,"",Q85/$Q$9)))</f>
        <v/>
      </c>
      <c r="S85" s="54"/>
      <c r="T85" s="55" t="str">
        <f aca="false">IF(S85="","",IF($S$9="","",IF($S$9=0,"",S85/$S$9)))</f>
        <v/>
      </c>
      <c r="U85" s="54"/>
      <c r="V85" s="55" t="str">
        <f aca="false">IF(U85="","",IF($U$9="","",IF($U$9=0,"",U85/$U$9)))</f>
        <v/>
      </c>
      <c r="W85" s="54"/>
      <c r="X85" s="55" t="str">
        <f aca="false">IF(W85="","",IF($W$9="","",IF($W$9=0,"",W85/$W$9)))</f>
        <v/>
      </c>
    </row>
    <row r="86" customFormat="false" ht="15" hidden="false" customHeight="false" outlineLevel="0" collapsed="false">
      <c r="A86" s="28" t="n">
        <v>76</v>
      </c>
      <c r="B86" s="57" t="n">
        <v>46713</v>
      </c>
      <c r="C86" s="58" t="n">
        <f aca="false">$B$5</f>
        <v>0</v>
      </c>
      <c r="D86" s="52"/>
      <c r="E86" s="28"/>
      <c r="F86" s="28"/>
      <c r="G86" s="68" t="str">
        <f aca="false">IF(D86="","",D86-C86)</f>
        <v/>
      </c>
      <c r="H86" s="14" t="str">
        <f aca="false">IF(D86="","",IF(D86&lt;=C86,"En meta",IF(D86&lt;=C86+1,"Riesgo","Atrasado")))</f>
        <v/>
      </c>
      <c r="I86" s="56"/>
      <c r="J86" s="60" t="str">
        <f aca="false">IF(I86="","",IF($I$9="","",IF($I$9=0,"",I86/$I$9)))</f>
        <v/>
      </c>
      <c r="K86" s="54"/>
      <c r="L86" s="60" t="str">
        <f aca="false">IF(K86="","",IF($K$9="","",IF($K$9=0,"",K86/$K$9)))</f>
        <v/>
      </c>
      <c r="M86" s="54"/>
      <c r="N86" s="60" t="str">
        <f aca="false">IF(M86="","",IF($M$9="","",IF($M$9=0,"",M86/$M$9)))</f>
        <v/>
      </c>
      <c r="O86" s="54"/>
      <c r="P86" s="60" t="str">
        <f aca="false">IF(O86="","",IF($O$9="","",IF($O$9=0,"",O86/$O$9)))</f>
        <v/>
      </c>
      <c r="Q86" s="56"/>
      <c r="R86" s="60" t="str">
        <f aca="false">IF(Q86="","",IF($Q$9="","",IF($Q$9=0,"",Q86/$Q$9)))</f>
        <v/>
      </c>
      <c r="S86" s="54"/>
      <c r="T86" s="60" t="str">
        <f aca="false">IF(S86="","",IF($S$9="","",IF($S$9=0,"",S86/$S$9)))</f>
        <v/>
      </c>
      <c r="U86" s="54"/>
      <c r="V86" s="60" t="str">
        <f aca="false">IF(U86="","",IF($U$9="","",IF($U$9=0,"",U86/$U$9)))</f>
        <v/>
      </c>
      <c r="W86" s="54"/>
      <c r="X86" s="60" t="str">
        <f aca="false">IF(W86="","",IF($W$9="","",IF($W$9=0,"",W86/$W$9)))</f>
        <v/>
      </c>
    </row>
    <row r="87" customFormat="false" ht="15" hidden="false" customHeight="false" outlineLevel="0" collapsed="false">
      <c r="A87" s="5" t="n">
        <v>77</v>
      </c>
      <c r="B87" s="50" t="n">
        <v>46720</v>
      </c>
      <c r="C87" s="51" t="n">
        <f aca="false">$B$5</f>
        <v>0</v>
      </c>
      <c r="D87" s="52"/>
      <c r="E87" s="5"/>
      <c r="F87" s="5"/>
      <c r="G87" s="67" t="str">
        <f aca="false">IF(D87="","",D87-C87)</f>
        <v/>
      </c>
      <c r="H87" s="13" t="str">
        <f aca="false">IF(D87="","",IF(D87&lt;=C87,"En meta",IF(D87&lt;=C87+1,"Riesgo","Atrasado")))</f>
        <v/>
      </c>
      <c r="I87" s="56"/>
      <c r="J87" s="55" t="str">
        <f aca="false">IF(I87="","",IF($I$9="","",IF($I$9=0,"",I87/$I$9)))</f>
        <v/>
      </c>
      <c r="K87" s="54"/>
      <c r="L87" s="55" t="str">
        <f aca="false">IF(K87="","",IF($K$9="","",IF($K$9=0,"",K87/$K$9)))</f>
        <v/>
      </c>
      <c r="M87" s="54"/>
      <c r="N87" s="55" t="str">
        <f aca="false">IF(M87="","",IF($M$9="","",IF($M$9=0,"",M87/$M$9)))</f>
        <v/>
      </c>
      <c r="O87" s="54"/>
      <c r="P87" s="55" t="str">
        <f aca="false">IF(O87="","",IF($O$9="","",IF($O$9=0,"",O87/$O$9)))</f>
        <v/>
      </c>
      <c r="Q87" s="56"/>
      <c r="R87" s="55" t="str">
        <f aca="false">IF(Q87="","",IF($Q$9="","",IF($Q$9=0,"",Q87/$Q$9)))</f>
        <v/>
      </c>
      <c r="S87" s="54"/>
      <c r="T87" s="55" t="str">
        <f aca="false">IF(S87="","",IF($S$9="","",IF($S$9=0,"",S87/$S$9)))</f>
        <v/>
      </c>
      <c r="U87" s="54"/>
      <c r="V87" s="55" t="str">
        <f aca="false">IF(U87="","",IF($U$9="","",IF($U$9=0,"",U87/$U$9)))</f>
        <v/>
      </c>
      <c r="W87" s="54"/>
      <c r="X87" s="55" t="str">
        <f aca="false">IF(W87="","",IF($W$9="","",IF($W$9=0,"",W87/$W$9)))</f>
        <v/>
      </c>
    </row>
    <row r="88" customFormat="false" ht="15" hidden="false" customHeight="false" outlineLevel="0" collapsed="false">
      <c r="A88" s="28" t="n">
        <v>78</v>
      </c>
      <c r="B88" s="57" t="n">
        <v>46727</v>
      </c>
      <c r="C88" s="58" t="n">
        <f aca="false">$B$5</f>
        <v>0</v>
      </c>
      <c r="D88" s="52"/>
      <c r="E88" s="28"/>
      <c r="F88" s="28"/>
      <c r="G88" s="68" t="str">
        <f aca="false">IF(D88="","",D88-C88)</f>
        <v/>
      </c>
      <c r="H88" s="14" t="str">
        <f aca="false">IF(D88="","",IF(D88&lt;=C88,"En meta",IF(D88&lt;=C88+1,"Riesgo","Atrasado")))</f>
        <v/>
      </c>
      <c r="I88" s="56"/>
      <c r="J88" s="60" t="str">
        <f aca="false">IF(I88="","",IF($I$9="","",IF($I$9=0,"",I88/$I$9)))</f>
        <v/>
      </c>
      <c r="K88" s="54"/>
      <c r="L88" s="60" t="str">
        <f aca="false">IF(K88="","",IF($K$9="","",IF($K$9=0,"",K88/$K$9)))</f>
        <v/>
      </c>
      <c r="M88" s="54"/>
      <c r="N88" s="60" t="str">
        <f aca="false">IF(M88="","",IF($M$9="","",IF($M$9=0,"",M88/$M$9)))</f>
        <v/>
      </c>
      <c r="O88" s="54"/>
      <c r="P88" s="60" t="str">
        <f aca="false">IF(O88="","",IF($O$9="","",IF($O$9=0,"",O88/$O$9)))</f>
        <v/>
      </c>
      <c r="Q88" s="56"/>
      <c r="R88" s="60" t="str">
        <f aca="false">IF(Q88="","",IF($Q$9="","",IF($Q$9=0,"",Q88/$Q$9)))</f>
        <v/>
      </c>
      <c r="S88" s="54"/>
      <c r="T88" s="60" t="str">
        <f aca="false">IF(S88="","",IF($S$9="","",IF($S$9=0,"",S88/$S$9)))</f>
        <v/>
      </c>
      <c r="U88" s="54"/>
      <c r="V88" s="60" t="str">
        <f aca="false">IF(U88="","",IF($U$9="","",IF($U$9=0,"",U88/$U$9)))</f>
        <v/>
      </c>
      <c r="W88" s="54"/>
      <c r="X88" s="60" t="str">
        <f aca="false">IF(W88="","",IF($W$9="","",IF($W$9=0,"",W88/$W$9)))</f>
        <v/>
      </c>
    </row>
    <row r="89" customFormat="false" ht="15" hidden="false" customHeight="false" outlineLevel="0" collapsed="false">
      <c r="A89" s="5" t="n">
        <v>79</v>
      </c>
      <c r="B89" s="50" t="n">
        <v>46734</v>
      </c>
      <c r="C89" s="51" t="n">
        <f aca="false">$B$5</f>
        <v>0</v>
      </c>
      <c r="D89" s="52"/>
      <c r="E89" s="5"/>
      <c r="F89" s="5"/>
      <c r="G89" s="67" t="str">
        <f aca="false">IF(D89="","",D89-C89)</f>
        <v/>
      </c>
      <c r="H89" s="13" t="str">
        <f aca="false">IF(D89="","",IF(D89&lt;=C89,"En meta",IF(D89&lt;=C89+1,"Riesgo","Atrasado")))</f>
        <v/>
      </c>
      <c r="I89" s="56"/>
      <c r="J89" s="55" t="str">
        <f aca="false">IF(I89="","",IF($I$9="","",IF($I$9=0,"",I89/$I$9)))</f>
        <v/>
      </c>
      <c r="K89" s="54"/>
      <c r="L89" s="55" t="str">
        <f aca="false">IF(K89="","",IF($K$9="","",IF($K$9=0,"",K89/$K$9)))</f>
        <v/>
      </c>
      <c r="M89" s="54"/>
      <c r="N89" s="55" t="str">
        <f aca="false">IF(M89="","",IF($M$9="","",IF($M$9=0,"",M89/$M$9)))</f>
        <v/>
      </c>
      <c r="O89" s="54"/>
      <c r="P89" s="55" t="str">
        <f aca="false">IF(O89="","",IF($O$9="","",IF($O$9=0,"",O89/$O$9)))</f>
        <v/>
      </c>
      <c r="Q89" s="56"/>
      <c r="R89" s="55" t="str">
        <f aca="false">IF(Q89="","",IF($Q$9="","",IF($Q$9=0,"",Q89/$Q$9)))</f>
        <v/>
      </c>
      <c r="S89" s="54"/>
      <c r="T89" s="55" t="str">
        <f aca="false">IF(S89="","",IF($S$9="","",IF($S$9=0,"",S89/$S$9)))</f>
        <v/>
      </c>
      <c r="U89" s="54"/>
      <c r="V89" s="55" t="str">
        <f aca="false">IF(U89="","",IF($U$9="","",IF($U$9=0,"",U89/$U$9)))</f>
        <v/>
      </c>
      <c r="W89" s="54"/>
      <c r="X89" s="55" t="str">
        <f aca="false">IF(W89="","",IF($W$9="","",IF($W$9=0,"",W89/$W$9)))</f>
        <v/>
      </c>
    </row>
    <row r="90" customFormat="false" ht="15" hidden="false" customHeight="false" outlineLevel="0" collapsed="false">
      <c r="A90" s="28" t="n">
        <v>80</v>
      </c>
      <c r="B90" s="57" t="n">
        <v>46741</v>
      </c>
      <c r="C90" s="58" t="n">
        <f aca="false">$B$5</f>
        <v>0</v>
      </c>
      <c r="D90" s="52"/>
      <c r="E90" s="28"/>
      <c r="F90" s="28"/>
      <c r="G90" s="68" t="str">
        <f aca="false">IF(D90="","",D90-C90)</f>
        <v/>
      </c>
      <c r="H90" s="14" t="str">
        <f aca="false">IF(D90="","",IF(D90&lt;=C90,"En meta",IF(D90&lt;=C90+1,"Riesgo","Atrasado")))</f>
        <v/>
      </c>
      <c r="I90" s="56"/>
      <c r="J90" s="60" t="str">
        <f aca="false">IF(I90="","",IF($I$9="","",IF($I$9=0,"",I90/$I$9)))</f>
        <v/>
      </c>
      <c r="K90" s="54"/>
      <c r="L90" s="60" t="str">
        <f aca="false">IF(K90="","",IF($K$9="","",IF($K$9=0,"",K90/$K$9)))</f>
        <v/>
      </c>
      <c r="M90" s="54"/>
      <c r="N90" s="60" t="str">
        <f aca="false">IF(M90="","",IF($M$9="","",IF($M$9=0,"",M90/$M$9)))</f>
        <v/>
      </c>
      <c r="O90" s="54"/>
      <c r="P90" s="60" t="str">
        <f aca="false">IF(O90="","",IF($O$9="","",IF($O$9=0,"",O90/$O$9)))</f>
        <v/>
      </c>
      <c r="Q90" s="56"/>
      <c r="R90" s="60" t="str">
        <f aca="false">IF(Q90="","",IF($Q$9="","",IF($Q$9=0,"",Q90/$Q$9)))</f>
        <v/>
      </c>
      <c r="S90" s="54"/>
      <c r="T90" s="60" t="str">
        <f aca="false">IF(S90="","",IF($S$9="","",IF($S$9=0,"",S90/$S$9)))</f>
        <v/>
      </c>
      <c r="U90" s="54"/>
      <c r="V90" s="60" t="str">
        <f aca="false">IF(U90="","",IF($U$9="","",IF($U$9=0,"",U90/$U$9)))</f>
        <v/>
      </c>
      <c r="W90" s="54"/>
      <c r="X90" s="60" t="str">
        <f aca="false">IF(W90="","",IF($W$9="","",IF($W$9=0,"",W90/$W$9)))</f>
        <v/>
      </c>
    </row>
    <row r="91" customFormat="false" ht="15" hidden="false" customHeight="false" outlineLevel="0" collapsed="false">
      <c r="A91" s="5" t="n">
        <v>81</v>
      </c>
      <c r="B91" s="50" t="n">
        <v>46748</v>
      </c>
      <c r="C91" s="51" t="n">
        <f aca="false">$B$5</f>
        <v>0</v>
      </c>
      <c r="D91" s="52"/>
      <c r="E91" s="5"/>
      <c r="F91" s="5"/>
      <c r="G91" s="67" t="str">
        <f aca="false">IF(D91="","",D91-C91)</f>
        <v/>
      </c>
      <c r="H91" s="13" t="str">
        <f aca="false">IF(D91="","",IF(D91&lt;=C91,"En meta",IF(D91&lt;=C91+1,"Riesgo","Atrasado")))</f>
        <v/>
      </c>
      <c r="I91" s="56"/>
      <c r="J91" s="55" t="str">
        <f aca="false">IF(I91="","",IF($I$9="","",IF($I$9=0,"",I91/$I$9)))</f>
        <v/>
      </c>
      <c r="K91" s="54"/>
      <c r="L91" s="55" t="str">
        <f aca="false">IF(K91="","",IF($K$9="","",IF($K$9=0,"",K91/$K$9)))</f>
        <v/>
      </c>
      <c r="M91" s="54"/>
      <c r="N91" s="55" t="str">
        <f aca="false">IF(M91="","",IF($M$9="","",IF($M$9=0,"",M91/$M$9)))</f>
        <v/>
      </c>
      <c r="O91" s="54"/>
      <c r="P91" s="55" t="str">
        <f aca="false">IF(O91="","",IF($O$9="","",IF($O$9=0,"",O91/$O$9)))</f>
        <v/>
      </c>
      <c r="Q91" s="56"/>
      <c r="R91" s="55" t="str">
        <f aca="false">IF(Q91="","",IF($Q$9="","",IF($Q$9=0,"",Q91/$Q$9)))</f>
        <v/>
      </c>
      <c r="S91" s="54"/>
      <c r="T91" s="55" t="str">
        <f aca="false">IF(S91="","",IF($S$9="","",IF($S$9=0,"",S91/$S$9)))</f>
        <v/>
      </c>
      <c r="U91" s="54"/>
      <c r="V91" s="55" t="str">
        <f aca="false">IF(U91="","",IF($U$9="","",IF($U$9=0,"",U91/$U$9)))</f>
        <v/>
      </c>
      <c r="W91" s="54"/>
      <c r="X91" s="55" t="str">
        <f aca="false">IF(W91="","",IF($W$9="","",IF($W$9=0,"",W91/$W$9)))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151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152</v>
      </c>
    </row>
    <row r="3" customFormat="false" ht="15" hidden="false" customHeight="false" outlineLevel="0" collapsed="false">
      <c r="A3" s="17" t="s">
        <v>77</v>
      </c>
      <c r="B3" s="40" t="s">
        <v>153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57</v>
      </c>
    </row>
    <row r="5" customFormat="false" ht="15" hidden="false" customHeight="false" outlineLevel="0" collapsed="false">
      <c r="A5" s="17" t="s">
        <v>82</v>
      </c>
      <c r="B5" s="66" t="n">
        <v>30000</v>
      </c>
      <c r="D5" s="17" t="s">
        <v>83</v>
      </c>
      <c r="E5" s="43" t="n">
        <v>46188</v>
      </c>
      <c r="G5" s="17" t="s">
        <v>84</v>
      </c>
      <c r="H5" s="43" t="n">
        <v>46503</v>
      </c>
    </row>
    <row r="6" customFormat="false" ht="15" hidden="false" customHeight="false" outlineLevel="0" collapsed="false">
      <c r="A6" s="17" t="s">
        <v>85</v>
      </c>
      <c r="B6" s="40" t="s">
        <v>86</v>
      </c>
    </row>
    <row r="8" customFormat="false" ht="42" hidden="false" customHeight="true" outlineLevel="0" collapsed="false">
      <c r="A8" s="17" t="s">
        <v>87</v>
      </c>
      <c r="B8" s="44" t="n">
        <f aca="false">COUNT(A11:A56)</f>
        <v>46</v>
      </c>
      <c r="H8" s="45" t="s">
        <v>88</v>
      </c>
      <c r="I8" s="46" t="s">
        <v>154</v>
      </c>
      <c r="J8" s="46"/>
      <c r="K8" s="46" t="s">
        <v>155</v>
      </c>
      <c r="L8" s="46"/>
      <c r="M8" s="46" t="s">
        <v>156</v>
      </c>
      <c r="N8" s="46"/>
      <c r="O8" s="46" t="s">
        <v>157</v>
      </c>
      <c r="P8" s="46"/>
      <c r="Q8" s="46" t="s">
        <v>158</v>
      </c>
      <c r="R8" s="46"/>
      <c r="S8" s="46" t="s">
        <v>159</v>
      </c>
      <c r="T8" s="46"/>
      <c r="U8" s="46" t="s">
        <v>96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7" t="n">
        <v>4</v>
      </c>
      <c r="J9" s="47"/>
      <c r="K9" s="47" t="n">
        <v>2</v>
      </c>
      <c r="L9" s="47"/>
      <c r="M9" s="47" t="n">
        <v>1</v>
      </c>
      <c r="N9" s="47"/>
      <c r="O9" s="47" t="n">
        <v>1</v>
      </c>
      <c r="P9" s="47"/>
      <c r="Q9" s="47" t="n">
        <v>1</v>
      </c>
      <c r="R9" s="47"/>
      <c r="S9" s="47" t="n">
        <v>2</v>
      </c>
      <c r="T9" s="47"/>
      <c r="U9" s="47"/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99</v>
      </c>
      <c r="C10" s="4" t="s">
        <v>100</v>
      </c>
      <c r="D10" s="4" t="s">
        <v>101</v>
      </c>
      <c r="E10" s="4" t="s">
        <v>28</v>
      </c>
      <c r="F10" s="4" t="s">
        <v>29</v>
      </c>
      <c r="G10" s="4" t="s">
        <v>30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50" t="n">
        <v>46188</v>
      </c>
      <c r="C11" s="61" t="n">
        <f aca="false">$B$5/$B$8</f>
        <v>652.173913043478</v>
      </c>
      <c r="D11" s="52"/>
      <c r="E11" s="61" t="n">
        <f aca="false">SUM($C$11:C11)</f>
        <v>652.173913043478</v>
      </c>
      <c r="F11" s="61" t="n">
        <f aca="false">SUM($D$11:D11)</f>
        <v>0</v>
      </c>
      <c r="G11" s="53" t="str">
        <f aca="false">IF(COUNT($D$11:D11)=0,"",F11/E11)</f>
        <v/>
      </c>
      <c r="H11" s="13" t="str">
        <f aca="false">IF(G11="","",IF(G11&gt;=0.95,"En meta",IF(G11&gt;=0.8,"Riesgo","Atrasado")))</f>
        <v/>
      </c>
      <c r="I11" s="54"/>
      <c r="J11" s="55" t="str">
        <f aca="false">IF(I11="","",IF($I$9="","",IF($I$9=0,"",I11/$I$9)))</f>
        <v/>
      </c>
      <c r="K11" s="54"/>
      <c r="L11" s="55" t="str">
        <f aca="false">IF(K11="","",IF($K$9="","",IF($K$9=0,"",K11/$K$9)))</f>
        <v/>
      </c>
      <c r="M11" s="54"/>
      <c r="N11" s="55" t="str">
        <f aca="false">IF(M11="","",IF($M$9="","",IF($M$9=0,"",M11/$M$9)))</f>
        <v/>
      </c>
      <c r="O11" s="54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4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57" t="n">
        <v>46195</v>
      </c>
      <c r="C12" s="62" t="n">
        <f aca="false">$B$5/$B$8</f>
        <v>652.173913043478</v>
      </c>
      <c r="D12" s="52"/>
      <c r="E12" s="62" t="n">
        <f aca="false">SUM($C$11:C12)</f>
        <v>1304.34782608696</v>
      </c>
      <c r="F12" s="62" t="n">
        <f aca="false">SUM($D$11:D12)</f>
        <v>0</v>
      </c>
      <c r="G12" s="59" t="str">
        <f aca="false">IF(COUNT($D$11:D12)=0,"",F12/E12)</f>
        <v/>
      </c>
      <c r="H12" s="14" t="str">
        <f aca="false">IF(G12="","",IF(G12&gt;=0.95,"En meta",IF(G12&gt;=0.8,"Riesgo","Atrasado")))</f>
        <v/>
      </c>
      <c r="I12" s="54"/>
      <c r="J12" s="60" t="str">
        <f aca="false">IF(I12="","",IF($I$9="","",IF($I$9=0,"",I12/$I$9)))</f>
        <v/>
      </c>
      <c r="K12" s="54"/>
      <c r="L12" s="60" t="str">
        <f aca="false">IF(K12="","",IF($K$9="","",IF($K$9=0,"",K12/$K$9)))</f>
        <v/>
      </c>
      <c r="M12" s="54"/>
      <c r="N12" s="60" t="str">
        <f aca="false">IF(M12="","",IF($M$9="","",IF($M$9=0,"",M12/$M$9)))</f>
        <v/>
      </c>
      <c r="O12" s="54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4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50" t="n">
        <v>46202</v>
      </c>
      <c r="C13" s="61" t="n">
        <f aca="false">$B$5/$B$8</f>
        <v>652.173913043478</v>
      </c>
      <c r="D13" s="52"/>
      <c r="E13" s="61" t="n">
        <f aca="false">SUM($C$11:C13)</f>
        <v>1956.52173913043</v>
      </c>
      <c r="F13" s="61" t="n">
        <f aca="false">SUM($D$11:D13)</f>
        <v>0</v>
      </c>
      <c r="G13" s="53" t="str">
        <f aca="false">IF(COUNT($D$11:D13)=0,"",F13/E13)</f>
        <v/>
      </c>
      <c r="H13" s="13" t="str">
        <f aca="false">IF(G13="","",IF(G13&gt;=0.95,"En meta",IF(G13&gt;=0.8,"Riesgo","Atrasado")))</f>
        <v/>
      </c>
      <c r="I13" s="54"/>
      <c r="J13" s="55" t="str">
        <f aca="false">IF(I13="","",IF($I$9="","",IF($I$9=0,"",I13/$I$9)))</f>
        <v/>
      </c>
      <c r="K13" s="54"/>
      <c r="L13" s="55" t="str">
        <f aca="false">IF(K13="","",IF($K$9="","",IF($K$9=0,"",K13/$K$9)))</f>
        <v/>
      </c>
      <c r="M13" s="54"/>
      <c r="N13" s="55" t="str">
        <f aca="false">IF(M13="","",IF($M$9="","",IF($M$9=0,"",M13/$M$9)))</f>
        <v/>
      </c>
      <c r="O13" s="54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4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57" t="n">
        <v>46209</v>
      </c>
      <c r="C14" s="62" t="n">
        <f aca="false">$B$5/$B$8</f>
        <v>652.173913043478</v>
      </c>
      <c r="D14" s="52"/>
      <c r="E14" s="62" t="n">
        <f aca="false">SUM($C$11:C14)</f>
        <v>2608.69565217391</v>
      </c>
      <c r="F14" s="62" t="n">
        <f aca="false">SUM($D$11:D14)</f>
        <v>0</v>
      </c>
      <c r="G14" s="59" t="str">
        <f aca="false">IF(COUNT($D$11:D14)=0,"",F14/E14)</f>
        <v/>
      </c>
      <c r="H14" s="14" t="str">
        <f aca="false">IF(G14="","",IF(G14&gt;=0.95,"En meta",IF(G14&gt;=0.8,"Riesgo","Atrasado")))</f>
        <v/>
      </c>
      <c r="I14" s="54"/>
      <c r="J14" s="60" t="str">
        <f aca="false">IF(I14="","",IF($I$9="","",IF($I$9=0,"",I14/$I$9)))</f>
        <v/>
      </c>
      <c r="K14" s="54"/>
      <c r="L14" s="60" t="str">
        <f aca="false">IF(K14="","",IF($K$9="","",IF($K$9=0,"",K14/$K$9)))</f>
        <v/>
      </c>
      <c r="M14" s="54"/>
      <c r="N14" s="60" t="str">
        <f aca="false">IF(M14="","",IF($M$9="","",IF($M$9=0,"",M14/$M$9)))</f>
        <v/>
      </c>
      <c r="O14" s="54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4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50" t="n">
        <v>46216</v>
      </c>
      <c r="C15" s="61" t="n">
        <f aca="false">$B$5/$B$8</f>
        <v>652.173913043478</v>
      </c>
      <c r="D15" s="52"/>
      <c r="E15" s="61" t="n">
        <f aca="false">SUM($C$11:C15)</f>
        <v>3260.86956521739</v>
      </c>
      <c r="F15" s="61" t="n">
        <f aca="false">SUM($D$11:D15)</f>
        <v>0</v>
      </c>
      <c r="G15" s="53" t="str">
        <f aca="false">IF(COUNT($D$11:D15)=0,"",F15/E15)</f>
        <v/>
      </c>
      <c r="H15" s="13" t="str">
        <f aca="false">IF(G15="","",IF(G15&gt;=0.95,"En meta",IF(G15&gt;=0.8,"Riesgo","Atrasado")))</f>
        <v/>
      </c>
      <c r="I15" s="54"/>
      <c r="J15" s="55" t="str">
        <f aca="false">IF(I15="","",IF($I$9="","",IF($I$9=0,"",I15/$I$9)))</f>
        <v/>
      </c>
      <c r="K15" s="54"/>
      <c r="L15" s="55" t="str">
        <f aca="false">IF(K15="","",IF($K$9="","",IF($K$9=0,"",K15/$K$9)))</f>
        <v/>
      </c>
      <c r="M15" s="54"/>
      <c r="N15" s="55" t="str">
        <f aca="false">IF(M15="","",IF($M$9="","",IF($M$9=0,"",M15/$M$9)))</f>
        <v/>
      </c>
      <c r="O15" s="54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4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57" t="n">
        <v>46223</v>
      </c>
      <c r="C16" s="62" t="n">
        <f aca="false">$B$5/$B$8</f>
        <v>652.173913043478</v>
      </c>
      <c r="D16" s="52"/>
      <c r="E16" s="62" t="n">
        <f aca="false">SUM($C$11:C16)</f>
        <v>3913.04347826087</v>
      </c>
      <c r="F16" s="62" t="n">
        <f aca="false">SUM($D$11:D16)</f>
        <v>0</v>
      </c>
      <c r="G16" s="59" t="str">
        <f aca="false">IF(COUNT($D$11:D16)=0,"",F16/E16)</f>
        <v/>
      </c>
      <c r="H16" s="14" t="str">
        <f aca="false">IF(G16="","",IF(G16&gt;=0.95,"En meta",IF(G16&gt;=0.8,"Riesgo","Atrasado")))</f>
        <v/>
      </c>
      <c r="I16" s="54"/>
      <c r="J16" s="60" t="str">
        <f aca="false">IF(I16="","",IF($I$9="","",IF($I$9=0,"",I16/$I$9)))</f>
        <v/>
      </c>
      <c r="K16" s="54"/>
      <c r="L16" s="60" t="str">
        <f aca="false">IF(K16="","",IF($K$9="","",IF($K$9=0,"",K16/$K$9)))</f>
        <v/>
      </c>
      <c r="M16" s="54"/>
      <c r="N16" s="60" t="str">
        <f aca="false">IF(M16="","",IF($M$9="","",IF($M$9=0,"",M16/$M$9)))</f>
        <v/>
      </c>
      <c r="O16" s="54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4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50" t="n">
        <v>46230</v>
      </c>
      <c r="C17" s="61" t="n">
        <f aca="false">$B$5/$B$8</f>
        <v>652.173913043478</v>
      </c>
      <c r="D17" s="52"/>
      <c r="E17" s="61" t="n">
        <f aca="false">SUM($C$11:C17)</f>
        <v>4565.21739130435</v>
      </c>
      <c r="F17" s="61" t="n">
        <f aca="false">SUM($D$11:D17)</f>
        <v>0</v>
      </c>
      <c r="G17" s="53" t="str">
        <f aca="false">IF(COUNT($D$11:D17)=0,"",F17/E17)</f>
        <v/>
      </c>
      <c r="H17" s="13" t="str">
        <f aca="false">IF(G17="","",IF(G17&gt;=0.95,"En meta",IF(G17&gt;=0.8,"Riesgo","Atrasado")))</f>
        <v/>
      </c>
      <c r="I17" s="54"/>
      <c r="J17" s="55" t="str">
        <f aca="false">IF(I17="","",IF($I$9="","",IF($I$9=0,"",I17/$I$9)))</f>
        <v/>
      </c>
      <c r="K17" s="54"/>
      <c r="L17" s="55" t="str">
        <f aca="false">IF(K17="","",IF($K$9="","",IF($K$9=0,"",K17/$K$9)))</f>
        <v/>
      </c>
      <c r="M17" s="54"/>
      <c r="N17" s="55" t="str">
        <f aca="false">IF(M17="","",IF($M$9="","",IF($M$9=0,"",M17/$M$9)))</f>
        <v/>
      </c>
      <c r="O17" s="54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4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57" t="n">
        <v>46237</v>
      </c>
      <c r="C18" s="62" t="n">
        <f aca="false">$B$5/$B$8</f>
        <v>652.173913043478</v>
      </c>
      <c r="D18" s="52"/>
      <c r="E18" s="62" t="n">
        <f aca="false">SUM($C$11:C18)</f>
        <v>5217.39130434783</v>
      </c>
      <c r="F18" s="62" t="n">
        <f aca="false">SUM($D$11:D18)</f>
        <v>0</v>
      </c>
      <c r="G18" s="59" t="str">
        <f aca="false">IF(COUNT($D$11:D18)=0,"",F18/E18)</f>
        <v/>
      </c>
      <c r="H18" s="14" t="str">
        <f aca="false">IF(G18="","",IF(G18&gt;=0.95,"En meta",IF(G18&gt;=0.8,"Riesgo","Atrasado")))</f>
        <v/>
      </c>
      <c r="I18" s="54"/>
      <c r="J18" s="60" t="str">
        <f aca="false">IF(I18="","",IF($I$9="","",IF($I$9=0,"",I18/$I$9)))</f>
        <v/>
      </c>
      <c r="K18" s="54"/>
      <c r="L18" s="60" t="str">
        <f aca="false">IF(K18="","",IF($K$9="","",IF($K$9=0,"",K18/$K$9)))</f>
        <v/>
      </c>
      <c r="M18" s="54"/>
      <c r="N18" s="60" t="str">
        <f aca="false">IF(M18="","",IF($M$9="","",IF($M$9=0,"",M18/$M$9)))</f>
        <v/>
      </c>
      <c r="O18" s="54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4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50" t="n">
        <v>46244</v>
      </c>
      <c r="C19" s="61" t="n">
        <f aca="false">$B$5/$B$8</f>
        <v>652.173913043478</v>
      </c>
      <c r="D19" s="52"/>
      <c r="E19" s="61" t="n">
        <f aca="false">SUM($C$11:C19)</f>
        <v>5869.5652173913</v>
      </c>
      <c r="F19" s="61" t="n">
        <f aca="false">SUM($D$11:D19)</f>
        <v>0</v>
      </c>
      <c r="G19" s="53" t="str">
        <f aca="false">IF(COUNT($D$11:D19)=0,"",F19/E19)</f>
        <v/>
      </c>
      <c r="H19" s="13" t="str">
        <f aca="false">IF(G19="","",IF(G19&gt;=0.95,"En meta",IF(G19&gt;=0.8,"Riesgo","Atrasado")))</f>
        <v/>
      </c>
      <c r="I19" s="54"/>
      <c r="J19" s="55" t="str">
        <f aca="false">IF(I19="","",IF($I$9="","",IF($I$9=0,"",I19/$I$9)))</f>
        <v/>
      </c>
      <c r="K19" s="54"/>
      <c r="L19" s="55" t="str">
        <f aca="false">IF(K19="","",IF($K$9="","",IF($K$9=0,"",K19/$K$9)))</f>
        <v/>
      </c>
      <c r="M19" s="54"/>
      <c r="N19" s="55" t="str">
        <f aca="false">IF(M19="","",IF($M$9="","",IF($M$9=0,"",M19/$M$9)))</f>
        <v/>
      </c>
      <c r="O19" s="54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4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57" t="n">
        <v>46251</v>
      </c>
      <c r="C20" s="62" t="n">
        <f aca="false">$B$5/$B$8</f>
        <v>652.173913043478</v>
      </c>
      <c r="D20" s="52"/>
      <c r="E20" s="62" t="n">
        <f aca="false">SUM($C$11:C20)</f>
        <v>6521.73913043478</v>
      </c>
      <c r="F20" s="62" t="n">
        <f aca="false">SUM($D$11:D20)</f>
        <v>0</v>
      </c>
      <c r="G20" s="59" t="str">
        <f aca="false">IF(COUNT($D$11:D20)=0,"",F20/E20)</f>
        <v/>
      </c>
      <c r="H20" s="14" t="str">
        <f aca="false">IF(G20="","",IF(G20&gt;=0.95,"En meta",IF(G20&gt;=0.8,"Riesgo","Atrasado")))</f>
        <v/>
      </c>
      <c r="I20" s="54"/>
      <c r="J20" s="60" t="str">
        <f aca="false">IF(I20="","",IF($I$9="","",IF($I$9=0,"",I20/$I$9)))</f>
        <v/>
      </c>
      <c r="K20" s="54"/>
      <c r="L20" s="60" t="str">
        <f aca="false">IF(K20="","",IF($K$9="","",IF($K$9=0,"",K20/$K$9)))</f>
        <v/>
      </c>
      <c r="M20" s="54"/>
      <c r="N20" s="60" t="str">
        <f aca="false">IF(M20="","",IF($M$9="","",IF($M$9=0,"",M20/$M$9)))</f>
        <v/>
      </c>
      <c r="O20" s="54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4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50" t="n">
        <v>46258</v>
      </c>
      <c r="C21" s="61" t="n">
        <f aca="false">$B$5/$B$8</f>
        <v>652.173913043478</v>
      </c>
      <c r="D21" s="52"/>
      <c r="E21" s="61" t="n">
        <f aca="false">SUM($C$11:C21)</f>
        <v>7173.91304347826</v>
      </c>
      <c r="F21" s="61" t="n">
        <f aca="false">SUM($D$11:D21)</f>
        <v>0</v>
      </c>
      <c r="G21" s="53" t="str">
        <f aca="false">IF(COUNT($D$11:D21)=0,"",F21/E21)</f>
        <v/>
      </c>
      <c r="H21" s="13" t="str">
        <f aca="false">IF(G21="","",IF(G21&gt;=0.95,"En meta",IF(G21&gt;=0.8,"Riesgo","Atrasado")))</f>
        <v/>
      </c>
      <c r="I21" s="54"/>
      <c r="J21" s="55" t="str">
        <f aca="false">IF(I21="","",IF($I$9="","",IF($I$9=0,"",I21/$I$9)))</f>
        <v/>
      </c>
      <c r="K21" s="54"/>
      <c r="L21" s="55" t="str">
        <f aca="false">IF(K21="","",IF($K$9="","",IF($K$9=0,"",K21/$K$9)))</f>
        <v/>
      </c>
      <c r="M21" s="54"/>
      <c r="N21" s="55" t="str">
        <f aca="false">IF(M21="","",IF($M$9="","",IF($M$9=0,"",M21/$M$9)))</f>
        <v/>
      </c>
      <c r="O21" s="54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4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57" t="n">
        <v>46265</v>
      </c>
      <c r="C22" s="62" t="n">
        <f aca="false">$B$5/$B$8</f>
        <v>652.173913043478</v>
      </c>
      <c r="D22" s="52"/>
      <c r="E22" s="62" t="n">
        <f aca="false">SUM($C$11:C22)</f>
        <v>7826.08695652174</v>
      </c>
      <c r="F22" s="62" t="n">
        <f aca="false">SUM($D$11:D22)</f>
        <v>0</v>
      </c>
      <c r="G22" s="59" t="str">
        <f aca="false">IF(COUNT($D$11:D22)=0,"",F22/E22)</f>
        <v/>
      </c>
      <c r="H22" s="14" t="str">
        <f aca="false">IF(G22="","",IF(G22&gt;=0.95,"En meta",IF(G22&gt;=0.8,"Riesgo","Atrasado")))</f>
        <v/>
      </c>
      <c r="I22" s="54"/>
      <c r="J22" s="60" t="str">
        <f aca="false">IF(I22="","",IF($I$9="","",IF($I$9=0,"",I22/$I$9)))</f>
        <v/>
      </c>
      <c r="K22" s="54"/>
      <c r="L22" s="60" t="str">
        <f aca="false">IF(K22="","",IF($K$9="","",IF($K$9=0,"",K22/$K$9)))</f>
        <v/>
      </c>
      <c r="M22" s="54"/>
      <c r="N22" s="60" t="str">
        <f aca="false">IF(M22="","",IF($M$9="","",IF($M$9=0,"",M22/$M$9)))</f>
        <v/>
      </c>
      <c r="O22" s="54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4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50" t="n">
        <v>46272</v>
      </c>
      <c r="C23" s="61" t="n">
        <f aca="false">$B$5/$B$8</f>
        <v>652.173913043478</v>
      </c>
      <c r="D23" s="52"/>
      <c r="E23" s="61" t="n">
        <f aca="false">SUM($C$11:C23)</f>
        <v>8478.26086956522</v>
      </c>
      <c r="F23" s="61" t="n">
        <f aca="false">SUM($D$11:D23)</f>
        <v>0</v>
      </c>
      <c r="G23" s="53" t="str">
        <f aca="false">IF(COUNT($D$11:D23)=0,"",F23/E23)</f>
        <v/>
      </c>
      <c r="H23" s="13" t="str">
        <f aca="false">IF(G23="","",IF(G23&gt;=0.95,"En meta",IF(G23&gt;=0.8,"Riesgo","Atrasado")))</f>
        <v/>
      </c>
      <c r="I23" s="54"/>
      <c r="J23" s="55" t="str">
        <f aca="false">IF(I23="","",IF($I$9="","",IF($I$9=0,"",I23/$I$9)))</f>
        <v/>
      </c>
      <c r="K23" s="54"/>
      <c r="L23" s="55" t="str">
        <f aca="false">IF(K23="","",IF($K$9="","",IF($K$9=0,"",K23/$K$9)))</f>
        <v/>
      </c>
      <c r="M23" s="54"/>
      <c r="N23" s="55" t="str">
        <f aca="false">IF(M23="","",IF($M$9="","",IF($M$9=0,"",M23/$M$9)))</f>
        <v/>
      </c>
      <c r="O23" s="54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4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57" t="n">
        <v>46279</v>
      </c>
      <c r="C24" s="62" t="n">
        <f aca="false">$B$5/$B$8</f>
        <v>652.173913043478</v>
      </c>
      <c r="D24" s="52"/>
      <c r="E24" s="62" t="n">
        <f aca="false">SUM($C$11:C24)</f>
        <v>9130.4347826087</v>
      </c>
      <c r="F24" s="62" t="n">
        <f aca="false">SUM($D$11:D24)</f>
        <v>0</v>
      </c>
      <c r="G24" s="59" t="str">
        <f aca="false">IF(COUNT($D$11:D24)=0,"",F24/E24)</f>
        <v/>
      </c>
      <c r="H24" s="14" t="str">
        <f aca="false">IF(G24="","",IF(G24&gt;=0.95,"En meta",IF(G24&gt;=0.8,"Riesgo","Atrasado")))</f>
        <v/>
      </c>
      <c r="I24" s="54"/>
      <c r="J24" s="60" t="str">
        <f aca="false">IF(I24="","",IF($I$9="","",IF($I$9=0,"",I24/$I$9)))</f>
        <v/>
      </c>
      <c r="K24" s="54"/>
      <c r="L24" s="60" t="str">
        <f aca="false">IF(K24="","",IF($K$9="","",IF($K$9=0,"",K24/$K$9)))</f>
        <v/>
      </c>
      <c r="M24" s="54"/>
      <c r="N24" s="60" t="str">
        <f aca="false">IF(M24="","",IF($M$9="","",IF($M$9=0,"",M24/$M$9)))</f>
        <v/>
      </c>
      <c r="O24" s="54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4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50" t="n">
        <v>46286</v>
      </c>
      <c r="C25" s="61" t="n">
        <f aca="false">$B$5/$B$8</f>
        <v>652.173913043478</v>
      </c>
      <c r="D25" s="52"/>
      <c r="E25" s="61" t="n">
        <f aca="false">SUM($C$11:C25)</f>
        <v>9782.60869565217</v>
      </c>
      <c r="F25" s="61" t="n">
        <f aca="false">SUM($D$11:D25)</f>
        <v>0</v>
      </c>
      <c r="G25" s="53" t="str">
        <f aca="false">IF(COUNT($D$11:D25)=0,"",F25/E25)</f>
        <v/>
      </c>
      <c r="H25" s="13" t="str">
        <f aca="false">IF(G25="","",IF(G25&gt;=0.95,"En meta",IF(G25&gt;=0.8,"Riesgo","Atrasado")))</f>
        <v/>
      </c>
      <c r="I25" s="54"/>
      <c r="J25" s="55" t="str">
        <f aca="false">IF(I25="","",IF($I$9="","",IF($I$9=0,"",I25/$I$9)))</f>
        <v/>
      </c>
      <c r="K25" s="54"/>
      <c r="L25" s="55" t="str">
        <f aca="false">IF(K25="","",IF($K$9="","",IF($K$9=0,"",K25/$K$9)))</f>
        <v/>
      </c>
      <c r="M25" s="54"/>
      <c r="N25" s="55" t="str">
        <f aca="false">IF(M25="","",IF($M$9="","",IF($M$9=0,"",M25/$M$9)))</f>
        <v/>
      </c>
      <c r="O25" s="54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4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57" t="n">
        <v>46293</v>
      </c>
      <c r="C26" s="62" t="n">
        <f aca="false">$B$5/$B$8</f>
        <v>652.173913043478</v>
      </c>
      <c r="D26" s="52"/>
      <c r="E26" s="62" t="n">
        <f aca="false">SUM($C$11:C26)</f>
        <v>10434.7826086957</v>
      </c>
      <c r="F26" s="62" t="n">
        <f aca="false">SUM($D$11:D26)</f>
        <v>0</v>
      </c>
      <c r="G26" s="59" t="str">
        <f aca="false">IF(COUNT($D$11:D26)=0,"",F26/E26)</f>
        <v/>
      </c>
      <c r="H26" s="14" t="str">
        <f aca="false">IF(G26="","",IF(G26&gt;=0.95,"En meta",IF(G26&gt;=0.8,"Riesgo","Atrasado")))</f>
        <v/>
      </c>
      <c r="I26" s="54"/>
      <c r="J26" s="60" t="str">
        <f aca="false">IF(I26="","",IF($I$9="","",IF($I$9=0,"",I26/$I$9)))</f>
        <v/>
      </c>
      <c r="K26" s="54"/>
      <c r="L26" s="60" t="str">
        <f aca="false">IF(K26="","",IF($K$9="","",IF($K$9=0,"",K26/$K$9)))</f>
        <v/>
      </c>
      <c r="M26" s="54"/>
      <c r="N26" s="60" t="str">
        <f aca="false">IF(M26="","",IF($M$9="","",IF($M$9=0,"",M26/$M$9)))</f>
        <v/>
      </c>
      <c r="O26" s="54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4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50" t="n">
        <v>46300</v>
      </c>
      <c r="C27" s="61" t="n">
        <f aca="false">$B$5/$B$8</f>
        <v>652.173913043478</v>
      </c>
      <c r="D27" s="52"/>
      <c r="E27" s="61" t="n">
        <f aca="false">SUM($C$11:C27)</f>
        <v>11086.9565217391</v>
      </c>
      <c r="F27" s="61" t="n">
        <f aca="false">SUM($D$11:D27)</f>
        <v>0</v>
      </c>
      <c r="G27" s="53" t="str">
        <f aca="false">IF(COUNT($D$11:D27)=0,"",F27/E27)</f>
        <v/>
      </c>
      <c r="H27" s="13" t="str">
        <f aca="false">IF(G27="","",IF(G27&gt;=0.95,"En meta",IF(G27&gt;=0.8,"Riesgo","Atrasado")))</f>
        <v/>
      </c>
      <c r="I27" s="54"/>
      <c r="J27" s="55" t="str">
        <f aca="false">IF(I27="","",IF($I$9="","",IF($I$9=0,"",I27/$I$9)))</f>
        <v/>
      </c>
      <c r="K27" s="54"/>
      <c r="L27" s="55" t="str">
        <f aca="false">IF(K27="","",IF($K$9="","",IF($K$9=0,"",K27/$K$9)))</f>
        <v/>
      </c>
      <c r="M27" s="54"/>
      <c r="N27" s="55" t="str">
        <f aca="false">IF(M27="","",IF($M$9="","",IF($M$9=0,"",M27/$M$9)))</f>
        <v/>
      </c>
      <c r="O27" s="54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4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57" t="n">
        <v>46307</v>
      </c>
      <c r="C28" s="62" t="n">
        <f aca="false">$B$5/$B$8</f>
        <v>652.173913043478</v>
      </c>
      <c r="D28" s="52"/>
      <c r="E28" s="62" t="n">
        <f aca="false">SUM($C$11:C28)</f>
        <v>11739.1304347826</v>
      </c>
      <c r="F28" s="62" t="n">
        <f aca="false">SUM($D$11:D28)</f>
        <v>0</v>
      </c>
      <c r="G28" s="59" t="str">
        <f aca="false">IF(COUNT($D$11:D28)=0,"",F28/E28)</f>
        <v/>
      </c>
      <c r="H28" s="14" t="str">
        <f aca="false">IF(G28="","",IF(G28&gt;=0.95,"En meta",IF(G28&gt;=0.8,"Riesgo","Atrasado")))</f>
        <v/>
      </c>
      <c r="I28" s="54"/>
      <c r="J28" s="60" t="str">
        <f aca="false">IF(I28="","",IF($I$9="","",IF($I$9=0,"",I28/$I$9)))</f>
        <v/>
      </c>
      <c r="K28" s="54"/>
      <c r="L28" s="60" t="str">
        <f aca="false">IF(K28="","",IF($K$9="","",IF($K$9=0,"",K28/$K$9)))</f>
        <v/>
      </c>
      <c r="M28" s="54"/>
      <c r="N28" s="60" t="str">
        <f aca="false">IF(M28="","",IF($M$9="","",IF($M$9=0,"",M28/$M$9)))</f>
        <v/>
      </c>
      <c r="O28" s="54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4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  <row r="29" customFormat="false" ht="15" hidden="false" customHeight="false" outlineLevel="0" collapsed="false">
      <c r="A29" s="5" t="n">
        <v>19</v>
      </c>
      <c r="B29" s="50" t="n">
        <v>46314</v>
      </c>
      <c r="C29" s="61" t="n">
        <f aca="false">$B$5/$B$8</f>
        <v>652.173913043478</v>
      </c>
      <c r="D29" s="52"/>
      <c r="E29" s="61" t="n">
        <f aca="false">SUM($C$11:C29)</f>
        <v>12391.3043478261</v>
      </c>
      <c r="F29" s="61" t="n">
        <f aca="false">SUM($D$11:D29)</f>
        <v>0</v>
      </c>
      <c r="G29" s="53" t="str">
        <f aca="false">IF(COUNT($D$11:D29)=0,"",F29/E29)</f>
        <v/>
      </c>
      <c r="H29" s="13" t="str">
        <f aca="false">IF(G29="","",IF(G29&gt;=0.95,"En meta",IF(G29&gt;=0.8,"Riesgo","Atrasado")))</f>
        <v/>
      </c>
      <c r="I29" s="54"/>
      <c r="J29" s="55" t="str">
        <f aca="false">IF(I29="","",IF($I$9="","",IF($I$9=0,"",I29/$I$9)))</f>
        <v/>
      </c>
      <c r="K29" s="54"/>
      <c r="L29" s="55" t="str">
        <f aca="false">IF(K29="","",IF($K$9="","",IF($K$9=0,"",K29/$K$9)))</f>
        <v/>
      </c>
      <c r="M29" s="54"/>
      <c r="N29" s="55" t="str">
        <f aca="false">IF(M29="","",IF($M$9="","",IF($M$9=0,"",M29/$M$9)))</f>
        <v/>
      </c>
      <c r="O29" s="54"/>
      <c r="P29" s="55" t="str">
        <f aca="false">IF(O29="","",IF($O$9="","",IF($O$9=0,"",O29/$O$9)))</f>
        <v/>
      </c>
      <c r="Q29" s="54"/>
      <c r="R29" s="55" t="str">
        <f aca="false">IF(Q29="","",IF($Q$9="","",IF($Q$9=0,"",Q29/$Q$9)))</f>
        <v/>
      </c>
      <c r="S29" s="54"/>
      <c r="T29" s="55" t="str">
        <f aca="false">IF(S29="","",IF($S$9="","",IF($S$9=0,"",S29/$S$9)))</f>
        <v/>
      </c>
      <c r="U29" s="54"/>
      <c r="V29" s="55" t="str">
        <f aca="false">IF(U29="","",IF($U$9="","",IF($U$9=0,"",U29/$U$9)))</f>
        <v/>
      </c>
      <c r="W29" s="54"/>
      <c r="X29" s="55" t="str">
        <f aca="false">IF(W29="","",IF($W$9="","",IF($W$9=0,"",W29/$W$9)))</f>
        <v/>
      </c>
    </row>
    <row r="30" customFormat="false" ht="15" hidden="false" customHeight="false" outlineLevel="0" collapsed="false">
      <c r="A30" s="28" t="n">
        <v>20</v>
      </c>
      <c r="B30" s="57" t="n">
        <v>46321</v>
      </c>
      <c r="C30" s="62" t="n">
        <f aca="false">$B$5/$B$8</f>
        <v>652.173913043478</v>
      </c>
      <c r="D30" s="52"/>
      <c r="E30" s="62" t="n">
        <f aca="false">SUM($C$11:C30)</f>
        <v>13043.4782608696</v>
      </c>
      <c r="F30" s="62" t="n">
        <f aca="false">SUM($D$11:D30)</f>
        <v>0</v>
      </c>
      <c r="G30" s="59" t="str">
        <f aca="false">IF(COUNT($D$11:D30)=0,"",F30/E30)</f>
        <v/>
      </c>
      <c r="H30" s="14" t="str">
        <f aca="false">IF(G30="","",IF(G30&gt;=0.95,"En meta",IF(G30&gt;=0.8,"Riesgo","Atrasado")))</f>
        <v/>
      </c>
      <c r="I30" s="54"/>
      <c r="J30" s="60" t="str">
        <f aca="false">IF(I30="","",IF($I$9="","",IF($I$9=0,"",I30/$I$9)))</f>
        <v/>
      </c>
      <c r="K30" s="54"/>
      <c r="L30" s="60" t="str">
        <f aca="false">IF(K30="","",IF($K$9="","",IF($K$9=0,"",K30/$K$9)))</f>
        <v/>
      </c>
      <c r="M30" s="54"/>
      <c r="N30" s="60" t="str">
        <f aca="false">IF(M30="","",IF($M$9="","",IF($M$9=0,"",M30/$M$9)))</f>
        <v/>
      </c>
      <c r="O30" s="54"/>
      <c r="P30" s="60" t="str">
        <f aca="false">IF(O30="","",IF($O$9="","",IF($O$9=0,"",O30/$O$9)))</f>
        <v/>
      </c>
      <c r="Q30" s="54"/>
      <c r="R30" s="60" t="str">
        <f aca="false">IF(Q30="","",IF($Q$9="","",IF($Q$9=0,"",Q30/$Q$9)))</f>
        <v/>
      </c>
      <c r="S30" s="54"/>
      <c r="T30" s="60" t="str">
        <f aca="false">IF(S30="","",IF($S$9="","",IF($S$9=0,"",S30/$S$9)))</f>
        <v/>
      </c>
      <c r="U30" s="54"/>
      <c r="V30" s="60" t="str">
        <f aca="false">IF(U30="","",IF($U$9="","",IF($U$9=0,"",U30/$U$9)))</f>
        <v/>
      </c>
      <c r="W30" s="54"/>
      <c r="X30" s="60" t="str">
        <f aca="false">IF(W30="","",IF($W$9="","",IF($W$9=0,"",W30/$W$9)))</f>
        <v/>
      </c>
    </row>
    <row r="31" customFormat="false" ht="15" hidden="false" customHeight="false" outlineLevel="0" collapsed="false">
      <c r="A31" s="5" t="n">
        <v>21</v>
      </c>
      <c r="B31" s="50" t="n">
        <v>46328</v>
      </c>
      <c r="C31" s="61" t="n">
        <f aca="false">$B$5/$B$8</f>
        <v>652.173913043478</v>
      </c>
      <c r="D31" s="52"/>
      <c r="E31" s="61" t="n">
        <f aca="false">SUM($C$11:C31)</f>
        <v>13695.652173913</v>
      </c>
      <c r="F31" s="61" t="n">
        <f aca="false">SUM($D$11:D31)</f>
        <v>0</v>
      </c>
      <c r="G31" s="53" t="str">
        <f aca="false">IF(COUNT($D$11:D31)=0,"",F31/E31)</f>
        <v/>
      </c>
      <c r="H31" s="13" t="str">
        <f aca="false">IF(G31="","",IF(G31&gt;=0.95,"En meta",IF(G31&gt;=0.8,"Riesgo","Atrasado")))</f>
        <v/>
      </c>
      <c r="I31" s="54"/>
      <c r="J31" s="55" t="str">
        <f aca="false">IF(I31="","",IF($I$9="","",IF($I$9=0,"",I31/$I$9)))</f>
        <v/>
      </c>
      <c r="K31" s="54"/>
      <c r="L31" s="55" t="str">
        <f aca="false">IF(K31="","",IF($K$9="","",IF($K$9=0,"",K31/$K$9)))</f>
        <v/>
      </c>
      <c r="M31" s="54"/>
      <c r="N31" s="55" t="str">
        <f aca="false">IF(M31="","",IF($M$9="","",IF($M$9=0,"",M31/$M$9)))</f>
        <v/>
      </c>
      <c r="O31" s="54"/>
      <c r="P31" s="55" t="str">
        <f aca="false">IF(O31="","",IF($O$9="","",IF($O$9=0,"",O31/$O$9)))</f>
        <v/>
      </c>
      <c r="Q31" s="54"/>
      <c r="R31" s="55" t="str">
        <f aca="false">IF(Q31="","",IF($Q$9="","",IF($Q$9=0,"",Q31/$Q$9)))</f>
        <v/>
      </c>
      <c r="S31" s="54"/>
      <c r="T31" s="55" t="str">
        <f aca="false">IF(S31="","",IF($S$9="","",IF($S$9=0,"",S31/$S$9)))</f>
        <v/>
      </c>
      <c r="U31" s="54"/>
      <c r="V31" s="55" t="str">
        <f aca="false">IF(U31="","",IF($U$9="","",IF($U$9=0,"",U31/$U$9)))</f>
        <v/>
      </c>
      <c r="W31" s="54"/>
      <c r="X31" s="55" t="str">
        <f aca="false">IF(W31="","",IF($W$9="","",IF($W$9=0,"",W31/$W$9)))</f>
        <v/>
      </c>
    </row>
    <row r="32" customFormat="false" ht="15" hidden="false" customHeight="false" outlineLevel="0" collapsed="false">
      <c r="A32" s="28" t="n">
        <v>22</v>
      </c>
      <c r="B32" s="57" t="n">
        <v>46335</v>
      </c>
      <c r="C32" s="62" t="n">
        <f aca="false">$B$5/$B$8</f>
        <v>652.173913043478</v>
      </c>
      <c r="D32" s="52"/>
      <c r="E32" s="62" t="n">
        <f aca="false">SUM($C$11:C32)</f>
        <v>14347.8260869565</v>
      </c>
      <c r="F32" s="62" t="n">
        <f aca="false">SUM($D$11:D32)</f>
        <v>0</v>
      </c>
      <c r="G32" s="59" t="str">
        <f aca="false">IF(COUNT($D$11:D32)=0,"",F32/E32)</f>
        <v/>
      </c>
      <c r="H32" s="14" t="str">
        <f aca="false">IF(G32="","",IF(G32&gt;=0.95,"En meta",IF(G32&gt;=0.8,"Riesgo","Atrasado")))</f>
        <v/>
      </c>
      <c r="I32" s="54"/>
      <c r="J32" s="60" t="str">
        <f aca="false">IF(I32="","",IF($I$9="","",IF($I$9=0,"",I32/$I$9)))</f>
        <v/>
      </c>
      <c r="K32" s="54"/>
      <c r="L32" s="60" t="str">
        <f aca="false">IF(K32="","",IF($K$9="","",IF($K$9=0,"",K32/$K$9)))</f>
        <v/>
      </c>
      <c r="M32" s="54"/>
      <c r="N32" s="60" t="str">
        <f aca="false">IF(M32="","",IF($M$9="","",IF($M$9=0,"",M32/$M$9)))</f>
        <v/>
      </c>
      <c r="O32" s="54"/>
      <c r="P32" s="60" t="str">
        <f aca="false">IF(O32="","",IF($O$9="","",IF($O$9=0,"",O32/$O$9)))</f>
        <v/>
      </c>
      <c r="Q32" s="54"/>
      <c r="R32" s="60" t="str">
        <f aca="false">IF(Q32="","",IF($Q$9="","",IF($Q$9=0,"",Q32/$Q$9)))</f>
        <v/>
      </c>
      <c r="S32" s="54"/>
      <c r="T32" s="60" t="str">
        <f aca="false">IF(S32="","",IF($S$9="","",IF($S$9=0,"",S32/$S$9)))</f>
        <v/>
      </c>
      <c r="U32" s="54"/>
      <c r="V32" s="60" t="str">
        <f aca="false">IF(U32="","",IF($U$9="","",IF($U$9=0,"",U32/$U$9)))</f>
        <v/>
      </c>
      <c r="W32" s="54"/>
      <c r="X32" s="60" t="str">
        <f aca="false">IF(W32="","",IF($W$9="","",IF($W$9=0,"",W32/$W$9)))</f>
        <v/>
      </c>
    </row>
    <row r="33" customFormat="false" ht="15" hidden="false" customHeight="false" outlineLevel="0" collapsed="false">
      <c r="A33" s="5" t="n">
        <v>23</v>
      </c>
      <c r="B33" s="50" t="n">
        <v>46342</v>
      </c>
      <c r="C33" s="61" t="n">
        <f aca="false">$B$5/$B$8</f>
        <v>652.173913043478</v>
      </c>
      <c r="D33" s="52"/>
      <c r="E33" s="61" t="n">
        <f aca="false">SUM($C$11:C33)</f>
        <v>15000</v>
      </c>
      <c r="F33" s="61" t="n">
        <f aca="false">SUM($D$11:D33)</f>
        <v>0</v>
      </c>
      <c r="G33" s="53" t="str">
        <f aca="false">IF(COUNT($D$11:D33)=0,"",F33/E33)</f>
        <v/>
      </c>
      <c r="H33" s="13" t="str">
        <f aca="false">IF(G33="","",IF(G33&gt;=0.95,"En meta",IF(G33&gt;=0.8,"Riesgo","Atrasado")))</f>
        <v/>
      </c>
      <c r="I33" s="54"/>
      <c r="J33" s="55" t="str">
        <f aca="false">IF(I33="","",IF($I$9="","",IF($I$9=0,"",I33/$I$9)))</f>
        <v/>
      </c>
      <c r="K33" s="54"/>
      <c r="L33" s="55" t="str">
        <f aca="false">IF(K33="","",IF($K$9="","",IF($K$9=0,"",K33/$K$9)))</f>
        <v/>
      </c>
      <c r="M33" s="54"/>
      <c r="N33" s="55" t="str">
        <f aca="false">IF(M33="","",IF($M$9="","",IF($M$9=0,"",M33/$M$9)))</f>
        <v/>
      </c>
      <c r="O33" s="54"/>
      <c r="P33" s="55" t="str">
        <f aca="false">IF(O33="","",IF($O$9="","",IF($O$9=0,"",O33/$O$9)))</f>
        <v/>
      </c>
      <c r="Q33" s="54"/>
      <c r="R33" s="55" t="str">
        <f aca="false">IF(Q33="","",IF($Q$9="","",IF($Q$9=0,"",Q33/$Q$9)))</f>
        <v/>
      </c>
      <c r="S33" s="54"/>
      <c r="T33" s="55" t="str">
        <f aca="false">IF(S33="","",IF($S$9="","",IF($S$9=0,"",S33/$S$9)))</f>
        <v/>
      </c>
      <c r="U33" s="54"/>
      <c r="V33" s="55" t="str">
        <f aca="false">IF(U33="","",IF($U$9="","",IF($U$9=0,"",U33/$U$9)))</f>
        <v/>
      </c>
      <c r="W33" s="54"/>
      <c r="X33" s="55" t="str">
        <f aca="false">IF(W33="","",IF($W$9="","",IF($W$9=0,"",W33/$W$9)))</f>
        <v/>
      </c>
    </row>
    <row r="34" customFormat="false" ht="15" hidden="false" customHeight="false" outlineLevel="0" collapsed="false">
      <c r="A34" s="28" t="n">
        <v>24</v>
      </c>
      <c r="B34" s="57" t="n">
        <v>46349</v>
      </c>
      <c r="C34" s="62" t="n">
        <f aca="false">$B$5/$B$8</f>
        <v>652.173913043478</v>
      </c>
      <c r="D34" s="52"/>
      <c r="E34" s="62" t="n">
        <f aca="false">SUM($C$11:C34)</f>
        <v>15652.1739130435</v>
      </c>
      <c r="F34" s="62" t="n">
        <f aca="false">SUM($D$11:D34)</f>
        <v>0</v>
      </c>
      <c r="G34" s="59" t="str">
        <f aca="false">IF(COUNT($D$11:D34)=0,"",F34/E34)</f>
        <v/>
      </c>
      <c r="H34" s="14" t="str">
        <f aca="false">IF(G34="","",IF(G34&gt;=0.95,"En meta",IF(G34&gt;=0.8,"Riesgo","Atrasado")))</f>
        <v/>
      </c>
      <c r="I34" s="54"/>
      <c r="J34" s="60" t="str">
        <f aca="false">IF(I34="","",IF($I$9="","",IF($I$9=0,"",I34/$I$9)))</f>
        <v/>
      </c>
      <c r="K34" s="54"/>
      <c r="L34" s="60" t="str">
        <f aca="false">IF(K34="","",IF($K$9="","",IF($K$9=0,"",K34/$K$9)))</f>
        <v/>
      </c>
      <c r="M34" s="54"/>
      <c r="N34" s="60" t="str">
        <f aca="false">IF(M34="","",IF($M$9="","",IF($M$9=0,"",M34/$M$9)))</f>
        <v/>
      </c>
      <c r="O34" s="54"/>
      <c r="P34" s="60" t="str">
        <f aca="false">IF(O34="","",IF($O$9="","",IF($O$9=0,"",O34/$O$9)))</f>
        <v/>
      </c>
      <c r="Q34" s="54"/>
      <c r="R34" s="60" t="str">
        <f aca="false">IF(Q34="","",IF($Q$9="","",IF($Q$9=0,"",Q34/$Q$9)))</f>
        <v/>
      </c>
      <c r="S34" s="54"/>
      <c r="T34" s="60" t="str">
        <f aca="false">IF(S34="","",IF($S$9="","",IF($S$9=0,"",S34/$S$9)))</f>
        <v/>
      </c>
      <c r="U34" s="54"/>
      <c r="V34" s="60" t="str">
        <f aca="false">IF(U34="","",IF($U$9="","",IF($U$9=0,"",U34/$U$9)))</f>
        <v/>
      </c>
      <c r="W34" s="54"/>
      <c r="X34" s="60" t="str">
        <f aca="false">IF(W34="","",IF($W$9="","",IF($W$9=0,"",W34/$W$9)))</f>
        <v/>
      </c>
    </row>
    <row r="35" customFormat="false" ht="15" hidden="false" customHeight="false" outlineLevel="0" collapsed="false">
      <c r="A35" s="5" t="n">
        <v>25</v>
      </c>
      <c r="B35" s="50" t="n">
        <v>46356</v>
      </c>
      <c r="C35" s="61" t="n">
        <f aca="false">$B$5/$B$8</f>
        <v>652.173913043478</v>
      </c>
      <c r="D35" s="52"/>
      <c r="E35" s="61" t="n">
        <f aca="false">SUM($C$11:C35)</f>
        <v>16304.347826087</v>
      </c>
      <c r="F35" s="61" t="n">
        <f aca="false">SUM($D$11:D35)</f>
        <v>0</v>
      </c>
      <c r="G35" s="53" t="str">
        <f aca="false">IF(COUNT($D$11:D35)=0,"",F35/E35)</f>
        <v/>
      </c>
      <c r="H35" s="13" t="str">
        <f aca="false">IF(G35="","",IF(G35&gt;=0.95,"En meta",IF(G35&gt;=0.8,"Riesgo","Atrasado")))</f>
        <v/>
      </c>
      <c r="I35" s="54"/>
      <c r="J35" s="55" t="str">
        <f aca="false">IF(I35="","",IF($I$9="","",IF($I$9=0,"",I35/$I$9)))</f>
        <v/>
      </c>
      <c r="K35" s="54"/>
      <c r="L35" s="55" t="str">
        <f aca="false">IF(K35="","",IF($K$9="","",IF($K$9=0,"",K35/$K$9)))</f>
        <v/>
      </c>
      <c r="M35" s="54"/>
      <c r="N35" s="55" t="str">
        <f aca="false">IF(M35="","",IF($M$9="","",IF($M$9=0,"",M35/$M$9)))</f>
        <v/>
      </c>
      <c r="O35" s="54"/>
      <c r="P35" s="55" t="str">
        <f aca="false">IF(O35="","",IF($O$9="","",IF($O$9=0,"",O35/$O$9)))</f>
        <v/>
      </c>
      <c r="Q35" s="54"/>
      <c r="R35" s="55" t="str">
        <f aca="false">IF(Q35="","",IF($Q$9="","",IF($Q$9=0,"",Q35/$Q$9)))</f>
        <v/>
      </c>
      <c r="S35" s="54"/>
      <c r="T35" s="55" t="str">
        <f aca="false">IF(S35="","",IF($S$9="","",IF($S$9=0,"",S35/$S$9)))</f>
        <v/>
      </c>
      <c r="U35" s="54"/>
      <c r="V35" s="55" t="str">
        <f aca="false">IF(U35="","",IF($U$9="","",IF($U$9=0,"",U35/$U$9)))</f>
        <v/>
      </c>
      <c r="W35" s="54"/>
      <c r="X35" s="55" t="str">
        <f aca="false">IF(W35="","",IF($W$9="","",IF($W$9=0,"",W35/$W$9)))</f>
        <v/>
      </c>
    </row>
    <row r="36" customFormat="false" ht="15" hidden="false" customHeight="false" outlineLevel="0" collapsed="false">
      <c r="A36" s="28" t="n">
        <v>26</v>
      </c>
      <c r="B36" s="57" t="n">
        <v>46363</v>
      </c>
      <c r="C36" s="62" t="n">
        <f aca="false">$B$5/$B$8</f>
        <v>652.173913043478</v>
      </c>
      <c r="D36" s="52"/>
      <c r="E36" s="62" t="n">
        <f aca="false">SUM($C$11:C36)</f>
        <v>16956.5217391304</v>
      </c>
      <c r="F36" s="62" t="n">
        <f aca="false">SUM($D$11:D36)</f>
        <v>0</v>
      </c>
      <c r="G36" s="59" t="str">
        <f aca="false">IF(COUNT($D$11:D36)=0,"",F36/E36)</f>
        <v/>
      </c>
      <c r="H36" s="14" t="str">
        <f aca="false">IF(G36="","",IF(G36&gt;=0.95,"En meta",IF(G36&gt;=0.8,"Riesgo","Atrasado")))</f>
        <v/>
      </c>
      <c r="I36" s="54"/>
      <c r="J36" s="60" t="str">
        <f aca="false">IF(I36="","",IF($I$9="","",IF($I$9=0,"",I36/$I$9)))</f>
        <v/>
      </c>
      <c r="K36" s="54"/>
      <c r="L36" s="60" t="str">
        <f aca="false">IF(K36="","",IF($K$9="","",IF($K$9=0,"",K36/$K$9)))</f>
        <v/>
      </c>
      <c r="M36" s="54"/>
      <c r="N36" s="60" t="str">
        <f aca="false">IF(M36="","",IF($M$9="","",IF($M$9=0,"",M36/$M$9)))</f>
        <v/>
      </c>
      <c r="O36" s="54"/>
      <c r="P36" s="60" t="str">
        <f aca="false">IF(O36="","",IF($O$9="","",IF($O$9=0,"",O36/$O$9)))</f>
        <v/>
      </c>
      <c r="Q36" s="54"/>
      <c r="R36" s="60" t="str">
        <f aca="false">IF(Q36="","",IF($Q$9="","",IF($Q$9=0,"",Q36/$Q$9)))</f>
        <v/>
      </c>
      <c r="S36" s="54"/>
      <c r="T36" s="60" t="str">
        <f aca="false">IF(S36="","",IF($S$9="","",IF($S$9=0,"",S36/$S$9)))</f>
        <v/>
      </c>
      <c r="U36" s="54"/>
      <c r="V36" s="60" t="str">
        <f aca="false">IF(U36="","",IF($U$9="","",IF($U$9=0,"",U36/$U$9)))</f>
        <v/>
      </c>
      <c r="W36" s="54"/>
      <c r="X36" s="60" t="str">
        <f aca="false">IF(W36="","",IF($W$9="","",IF($W$9=0,"",W36/$W$9)))</f>
        <v/>
      </c>
    </row>
    <row r="37" customFormat="false" ht="15" hidden="false" customHeight="false" outlineLevel="0" collapsed="false">
      <c r="A37" s="5" t="n">
        <v>27</v>
      </c>
      <c r="B37" s="50" t="n">
        <v>46370</v>
      </c>
      <c r="C37" s="61" t="n">
        <f aca="false">$B$5/$B$8</f>
        <v>652.173913043478</v>
      </c>
      <c r="D37" s="52"/>
      <c r="E37" s="61" t="n">
        <f aca="false">SUM($C$11:C37)</f>
        <v>17608.6956521739</v>
      </c>
      <c r="F37" s="61" t="n">
        <f aca="false">SUM($D$11:D37)</f>
        <v>0</v>
      </c>
      <c r="G37" s="53" t="str">
        <f aca="false">IF(COUNT($D$11:D37)=0,"",F37/E37)</f>
        <v/>
      </c>
      <c r="H37" s="13" t="str">
        <f aca="false">IF(G37="","",IF(G37&gt;=0.95,"En meta",IF(G37&gt;=0.8,"Riesgo","Atrasado")))</f>
        <v/>
      </c>
      <c r="I37" s="54"/>
      <c r="J37" s="55" t="str">
        <f aca="false">IF(I37="","",IF($I$9="","",IF($I$9=0,"",I37/$I$9)))</f>
        <v/>
      </c>
      <c r="K37" s="54"/>
      <c r="L37" s="55" t="str">
        <f aca="false">IF(K37="","",IF($K$9="","",IF($K$9=0,"",K37/$K$9)))</f>
        <v/>
      </c>
      <c r="M37" s="54"/>
      <c r="N37" s="55" t="str">
        <f aca="false">IF(M37="","",IF($M$9="","",IF($M$9=0,"",M37/$M$9)))</f>
        <v/>
      </c>
      <c r="O37" s="54"/>
      <c r="P37" s="55" t="str">
        <f aca="false">IF(O37="","",IF($O$9="","",IF($O$9=0,"",O37/$O$9)))</f>
        <v/>
      </c>
      <c r="Q37" s="54"/>
      <c r="R37" s="55" t="str">
        <f aca="false">IF(Q37="","",IF($Q$9="","",IF($Q$9=0,"",Q37/$Q$9)))</f>
        <v/>
      </c>
      <c r="S37" s="54"/>
      <c r="T37" s="55" t="str">
        <f aca="false">IF(S37="","",IF($S$9="","",IF($S$9=0,"",S37/$S$9)))</f>
        <v/>
      </c>
      <c r="U37" s="54"/>
      <c r="V37" s="55" t="str">
        <f aca="false">IF(U37="","",IF($U$9="","",IF($U$9=0,"",U37/$U$9)))</f>
        <v/>
      </c>
      <c r="W37" s="54"/>
      <c r="X37" s="55" t="str">
        <f aca="false">IF(W37="","",IF($W$9="","",IF($W$9=0,"",W37/$W$9)))</f>
        <v/>
      </c>
    </row>
    <row r="38" customFormat="false" ht="15" hidden="false" customHeight="false" outlineLevel="0" collapsed="false">
      <c r="A38" s="28" t="n">
        <v>28</v>
      </c>
      <c r="B38" s="57" t="n">
        <v>46377</v>
      </c>
      <c r="C38" s="62" t="n">
        <f aca="false">$B$5/$B$8</f>
        <v>652.173913043478</v>
      </c>
      <c r="D38" s="52"/>
      <c r="E38" s="62" t="n">
        <f aca="false">SUM($C$11:C38)</f>
        <v>18260.8695652174</v>
      </c>
      <c r="F38" s="62" t="n">
        <f aca="false">SUM($D$11:D38)</f>
        <v>0</v>
      </c>
      <c r="G38" s="59" t="str">
        <f aca="false">IF(COUNT($D$11:D38)=0,"",F38/E38)</f>
        <v/>
      </c>
      <c r="H38" s="14" t="str">
        <f aca="false">IF(G38="","",IF(G38&gt;=0.95,"En meta",IF(G38&gt;=0.8,"Riesgo","Atrasado")))</f>
        <v/>
      </c>
      <c r="I38" s="54"/>
      <c r="J38" s="60" t="str">
        <f aca="false">IF(I38="","",IF($I$9="","",IF($I$9=0,"",I38/$I$9)))</f>
        <v/>
      </c>
      <c r="K38" s="54"/>
      <c r="L38" s="60" t="str">
        <f aca="false">IF(K38="","",IF($K$9="","",IF($K$9=0,"",K38/$K$9)))</f>
        <v/>
      </c>
      <c r="M38" s="54"/>
      <c r="N38" s="60" t="str">
        <f aca="false">IF(M38="","",IF($M$9="","",IF($M$9=0,"",M38/$M$9)))</f>
        <v/>
      </c>
      <c r="O38" s="54"/>
      <c r="P38" s="60" t="str">
        <f aca="false">IF(O38="","",IF($O$9="","",IF($O$9=0,"",O38/$O$9)))</f>
        <v/>
      </c>
      <c r="Q38" s="54"/>
      <c r="R38" s="60" t="str">
        <f aca="false">IF(Q38="","",IF($Q$9="","",IF($Q$9=0,"",Q38/$Q$9)))</f>
        <v/>
      </c>
      <c r="S38" s="54"/>
      <c r="T38" s="60" t="str">
        <f aca="false">IF(S38="","",IF($S$9="","",IF($S$9=0,"",S38/$S$9)))</f>
        <v/>
      </c>
      <c r="U38" s="54"/>
      <c r="V38" s="60" t="str">
        <f aca="false">IF(U38="","",IF($U$9="","",IF($U$9=0,"",U38/$U$9)))</f>
        <v/>
      </c>
      <c r="W38" s="54"/>
      <c r="X38" s="60" t="str">
        <f aca="false">IF(W38="","",IF($W$9="","",IF($W$9=0,"",W38/$W$9)))</f>
        <v/>
      </c>
    </row>
    <row r="39" customFormat="false" ht="15" hidden="false" customHeight="false" outlineLevel="0" collapsed="false">
      <c r="A39" s="5" t="n">
        <v>29</v>
      </c>
      <c r="B39" s="50" t="n">
        <v>46384</v>
      </c>
      <c r="C39" s="61" t="n">
        <f aca="false">$B$5/$B$8</f>
        <v>652.173913043478</v>
      </c>
      <c r="D39" s="52"/>
      <c r="E39" s="61" t="n">
        <f aca="false">SUM($C$11:C39)</f>
        <v>18913.0434782609</v>
      </c>
      <c r="F39" s="61" t="n">
        <f aca="false">SUM($D$11:D39)</f>
        <v>0</v>
      </c>
      <c r="G39" s="53" t="str">
        <f aca="false">IF(COUNT($D$11:D39)=0,"",F39/E39)</f>
        <v/>
      </c>
      <c r="H39" s="13" t="str">
        <f aca="false">IF(G39="","",IF(G39&gt;=0.95,"En meta",IF(G39&gt;=0.8,"Riesgo","Atrasado")))</f>
        <v/>
      </c>
      <c r="I39" s="54"/>
      <c r="J39" s="55" t="str">
        <f aca="false">IF(I39="","",IF($I$9="","",IF($I$9=0,"",I39/$I$9)))</f>
        <v/>
      </c>
      <c r="K39" s="54"/>
      <c r="L39" s="55" t="str">
        <f aca="false">IF(K39="","",IF($K$9="","",IF($K$9=0,"",K39/$K$9)))</f>
        <v/>
      </c>
      <c r="M39" s="54"/>
      <c r="N39" s="55" t="str">
        <f aca="false">IF(M39="","",IF($M$9="","",IF($M$9=0,"",M39/$M$9)))</f>
        <v/>
      </c>
      <c r="O39" s="54"/>
      <c r="P39" s="55" t="str">
        <f aca="false">IF(O39="","",IF($O$9="","",IF($O$9=0,"",O39/$O$9)))</f>
        <v/>
      </c>
      <c r="Q39" s="54"/>
      <c r="R39" s="55" t="str">
        <f aca="false">IF(Q39="","",IF($Q$9="","",IF($Q$9=0,"",Q39/$Q$9)))</f>
        <v/>
      </c>
      <c r="S39" s="54"/>
      <c r="T39" s="55" t="str">
        <f aca="false">IF(S39="","",IF($S$9="","",IF($S$9=0,"",S39/$S$9)))</f>
        <v/>
      </c>
      <c r="U39" s="54"/>
      <c r="V39" s="55" t="str">
        <f aca="false">IF(U39="","",IF($U$9="","",IF($U$9=0,"",U39/$U$9)))</f>
        <v/>
      </c>
      <c r="W39" s="54"/>
      <c r="X39" s="55" t="str">
        <f aca="false">IF(W39="","",IF($W$9="","",IF($W$9=0,"",W39/$W$9)))</f>
        <v/>
      </c>
    </row>
    <row r="40" customFormat="false" ht="15" hidden="false" customHeight="false" outlineLevel="0" collapsed="false">
      <c r="A40" s="28" t="n">
        <v>30</v>
      </c>
      <c r="B40" s="57" t="n">
        <v>46391</v>
      </c>
      <c r="C40" s="62" t="n">
        <f aca="false">$B$5/$B$8</f>
        <v>652.173913043478</v>
      </c>
      <c r="D40" s="52"/>
      <c r="E40" s="62" t="n">
        <f aca="false">SUM($C$11:C40)</f>
        <v>19565.2173913043</v>
      </c>
      <c r="F40" s="62" t="n">
        <f aca="false">SUM($D$11:D40)</f>
        <v>0</v>
      </c>
      <c r="G40" s="59" t="str">
        <f aca="false">IF(COUNT($D$11:D40)=0,"",F40/E40)</f>
        <v/>
      </c>
      <c r="H40" s="14" t="str">
        <f aca="false">IF(G40="","",IF(G40&gt;=0.95,"En meta",IF(G40&gt;=0.8,"Riesgo","Atrasado")))</f>
        <v/>
      </c>
      <c r="I40" s="54"/>
      <c r="J40" s="60" t="str">
        <f aca="false">IF(I40="","",IF($I$9="","",IF($I$9=0,"",I40/$I$9)))</f>
        <v/>
      </c>
      <c r="K40" s="54"/>
      <c r="L40" s="60" t="str">
        <f aca="false">IF(K40="","",IF($K$9="","",IF($K$9=0,"",K40/$K$9)))</f>
        <v/>
      </c>
      <c r="M40" s="54"/>
      <c r="N40" s="60" t="str">
        <f aca="false">IF(M40="","",IF($M$9="","",IF($M$9=0,"",M40/$M$9)))</f>
        <v/>
      </c>
      <c r="O40" s="54"/>
      <c r="P40" s="60" t="str">
        <f aca="false">IF(O40="","",IF($O$9="","",IF($O$9=0,"",O40/$O$9)))</f>
        <v/>
      </c>
      <c r="Q40" s="54"/>
      <c r="R40" s="60" t="str">
        <f aca="false">IF(Q40="","",IF($Q$9="","",IF($Q$9=0,"",Q40/$Q$9)))</f>
        <v/>
      </c>
      <c r="S40" s="54"/>
      <c r="T40" s="60" t="str">
        <f aca="false">IF(S40="","",IF($S$9="","",IF($S$9=0,"",S40/$S$9)))</f>
        <v/>
      </c>
      <c r="U40" s="54"/>
      <c r="V40" s="60" t="str">
        <f aca="false">IF(U40="","",IF($U$9="","",IF($U$9=0,"",U40/$U$9)))</f>
        <v/>
      </c>
      <c r="W40" s="54"/>
      <c r="X40" s="60" t="str">
        <f aca="false">IF(W40="","",IF($W$9="","",IF($W$9=0,"",W40/$W$9)))</f>
        <v/>
      </c>
    </row>
    <row r="41" customFormat="false" ht="15" hidden="false" customHeight="false" outlineLevel="0" collapsed="false">
      <c r="A41" s="5" t="n">
        <v>31</v>
      </c>
      <c r="B41" s="50" t="n">
        <v>46398</v>
      </c>
      <c r="C41" s="61" t="n">
        <f aca="false">$B$5/$B$8</f>
        <v>652.173913043478</v>
      </c>
      <c r="D41" s="52"/>
      <c r="E41" s="61" t="n">
        <f aca="false">SUM($C$11:C41)</f>
        <v>20217.3913043478</v>
      </c>
      <c r="F41" s="61" t="n">
        <f aca="false">SUM($D$11:D41)</f>
        <v>0</v>
      </c>
      <c r="G41" s="53" t="str">
        <f aca="false">IF(COUNT($D$11:D41)=0,"",F41/E41)</f>
        <v/>
      </c>
      <c r="H41" s="13" t="str">
        <f aca="false">IF(G41="","",IF(G41&gt;=0.95,"En meta",IF(G41&gt;=0.8,"Riesgo","Atrasado")))</f>
        <v/>
      </c>
      <c r="I41" s="54"/>
      <c r="J41" s="55" t="str">
        <f aca="false">IF(I41="","",IF($I$9="","",IF($I$9=0,"",I41/$I$9)))</f>
        <v/>
      </c>
      <c r="K41" s="54"/>
      <c r="L41" s="55" t="str">
        <f aca="false">IF(K41="","",IF($K$9="","",IF($K$9=0,"",K41/$K$9)))</f>
        <v/>
      </c>
      <c r="M41" s="54"/>
      <c r="N41" s="55" t="str">
        <f aca="false">IF(M41="","",IF($M$9="","",IF($M$9=0,"",M41/$M$9)))</f>
        <v/>
      </c>
      <c r="O41" s="54"/>
      <c r="P41" s="55" t="str">
        <f aca="false">IF(O41="","",IF($O$9="","",IF($O$9=0,"",O41/$O$9)))</f>
        <v/>
      </c>
      <c r="Q41" s="54"/>
      <c r="R41" s="55" t="str">
        <f aca="false">IF(Q41="","",IF($Q$9="","",IF($Q$9=0,"",Q41/$Q$9)))</f>
        <v/>
      </c>
      <c r="S41" s="54"/>
      <c r="T41" s="55" t="str">
        <f aca="false">IF(S41="","",IF($S$9="","",IF($S$9=0,"",S41/$S$9)))</f>
        <v/>
      </c>
      <c r="U41" s="54"/>
      <c r="V41" s="55" t="str">
        <f aca="false">IF(U41="","",IF($U$9="","",IF($U$9=0,"",U41/$U$9)))</f>
        <v/>
      </c>
      <c r="W41" s="54"/>
      <c r="X41" s="55" t="str">
        <f aca="false">IF(W41="","",IF($W$9="","",IF($W$9=0,"",W41/$W$9)))</f>
        <v/>
      </c>
    </row>
    <row r="42" customFormat="false" ht="15" hidden="false" customHeight="false" outlineLevel="0" collapsed="false">
      <c r="A42" s="28" t="n">
        <v>32</v>
      </c>
      <c r="B42" s="57" t="n">
        <v>46405</v>
      </c>
      <c r="C42" s="62" t="n">
        <f aca="false">$B$5/$B$8</f>
        <v>652.173913043478</v>
      </c>
      <c r="D42" s="52"/>
      <c r="E42" s="62" t="n">
        <f aca="false">SUM($C$11:C42)</f>
        <v>20869.5652173913</v>
      </c>
      <c r="F42" s="62" t="n">
        <f aca="false">SUM($D$11:D42)</f>
        <v>0</v>
      </c>
      <c r="G42" s="59" t="str">
        <f aca="false">IF(COUNT($D$11:D42)=0,"",F42/E42)</f>
        <v/>
      </c>
      <c r="H42" s="14" t="str">
        <f aca="false">IF(G42="","",IF(G42&gt;=0.95,"En meta",IF(G42&gt;=0.8,"Riesgo","Atrasado")))</f>
        <v/>
      </c>
      <c r="I42" s="54"/>
      <c r="J42" s="60" t="str">
        <f aca="false">IF(I42="","",IF($I$9="","",IF($I$9=0,"",I42/$I$9)))</f>
        <v/>
      </c>
      <c r="K42" s="54"/>
      <c r="L42" s="60" t="str">
        <f aca="false">IF(K42="","",IF($K$9="","",IF($K$9=0,"",K42/$K$9)))</f>
        <v/>
      </c>
      <c r="M42" s="54"/>
      <c r="N42" s="60" t="str">
        <f aca="false">IF(M42="","",IF($M$9="","",IF($M$9=0,"",M42/$M$9)))</f>
        <v/>
      </c>
      <c r="O42" s="54"/>
      <c r="P42" s="60" t="str">
        <f aca="false">IF(O42="","",IF($O$9="","",IF($O$9=0,"",O42/$O$9)))</f>
        <v/>
      </c>
      <c r="Q42" s="54"/>
      <c r="R42" s="60" t="str">
        <f aca="false">IF(Q42="","",IF($Q$9="","",IF($Q$9=0,"",Q42/$Q$9)))</f>
        <v/>
      </c>
      <c r="S42" s="54"/>
      <c r="T42" s="60" t="str">
        <f aca="false">IF(S42="","",IF($S$9="","",IF($S$9=0,"",S42/$S$9)))</f>
        <v/>
      </c>
      <c r="U42" s="54"/>
      <c r="V42" s="60" t="str">
        <f aca="false">IF(U42="","",IF($U$9="","",IF($U$9=0,"",U42/$U$9)))</f>
        <v/>
      </c>
      <c r="W42" s="54"/>
      <c r="X42" s="60" t="str">
        <f aca="false">IF(W42="","",IF($W$9="","",IF($W$9=0,"",W42/$W$9)))</f>
        <v/>
      </c>
    </row>
    <row r="43" customFormat="false" ht="15" hidden="false" customHeight="false" outlineLevel="0" collapsed="false">
      <c r="A43" s="5" t="n">
        <v>33</v>
      </c>
      <c r="B43" s="50" t="n">
        <v>46412</v>
      </c>
      <c r="C43" s="61" t="n">
        <f aca="false">$B$5/$B$8</f>
        <v>652.173913043478</v>
      </c>
      <c r="D43" s="52"/>
      <c r="E43" s="61" t="n">
        <f aca="false">SUM($C$11:C43)</f>
        <v>21521.7391304348</v>
      </c>
      <c r="F43" s="61" t="n">
        <f aca="false">SUM($D$11:D43)</f>
        <v>0</v>
      </c>
      <c r="G43" s="53" t="str">
        <f aca="false">IF(COUNT($D$11:D43)=0,"",F43/E43)</f>
        <v/>
      </c>
      <c r="H43" s="13" t="str">
        <f aca="false">IF(G43="","",IF(G43&gt;=0.95,"En meta",IF(G43&gt;=0.8,"Riesgo","Atrasado")))</f>
        <v/>
      </c>
      <c r="I43" s="54"/>
      <c r="J43" s="55" t="str">
        <f aca="false">IF(I43="","",IF($I$9="","",IF($I$9=0,"",I43/$I$9)))</f>
        <v/>
      </c>
      <c r="K43" s="54"/>
      <c r="L43" s="55" t="str">
        <f aca="false">IF(K43="","",IF($K$9="","",IF($K$9=0,"",K43/$K$9)))</f>
        <v/>
      </c>
      <c r="M43" s="54"/>
      <c r="N43" s="55" t="str">
        <f aca="false">IF(M43="","",IF($M$9="","",IF($M$9=0,"",M43/$M$9)))</f>
        <v/>
      </c>
      <c r="O43" s="54"/>
      <c r="P43" s="55" t="str">
        <f aca="false">IF(O43="","",IF($O$9="","",IF($O$9=0,"",O43/$O$9)))</f>
        <v/>
      </c>
      <c r="Q43" s="54"/>
      <c r="R43" s="55" t="str">
        <f aca="false">IF(Q43="","",IF($Q$9="","",IF($Q$9=0,"",Q43/$Q$9)))</f>
        <v/>
      </c>
      <c r="S43" s="54"/>
      <c r="T43" s="55" t="str">
        <f aca="false">IF(S43="","",IF($S$9="","",IF($S$9=0,"",S43/$S$9)))</f>
        <v/>
      </c>
      <c r="U43" s="54"/>
      <c r="V43" s="55" t="str">
        <f aca="false">IF(U43="","",IF($U$9="","",IF($U$9=0,"",U43/$U$9)))</f>
        <v/>
      </c>
      <c r="W43" s="54"/>
      <c r="X43" s="55" t="str">
        <f aca="false">IF(W43="","",IF($W$9="","",IF($W$9=0,"",W43/$W$9)))</f>
        <v/>
      </c>
    </row>
    <row r="44" customFormat="false" ht="15" hidden="false" customHeight="false" outlineLevel="0" collapsed="false">
      <c r="A44" s="28" t="n">
        <v>34</v>
      </c>
      <c r="B44" s="57" t="n">
        <v>46419</v>
      </c>
      <c r="C44" s="62" t="n">
        <f aca="false">$B$5/$B$8</f>
        <v>652.173913043478</v>
      </c>
      <c r="D44" s="52"/>
      <c r="E44" s="62" t="n">
        <f aca="false">SUM($C$11:C44)</f>
        <v>22173.9130434783</v>
      </c>
      <c r="F44" s="62" t="n">
        <f aca="false">SUM($D$11:D44)</f>
        <v>0</v>
      </c>
      <c r="G44" s="59" t="str">
        <f aca="false">IF(COUNT($D$11:D44)=0,"",F44/E44)</f>
        <v/>
      </c>
      <c r="H44" s="14" t="str">
        <f aca="false">IF(G44="","",IF(G44&gt;=0.95,"En meta",IF(G44&gt;=0.8,"Riesgo","Atrasado")))</f>
        <v/>
      </c>
      <c r="I44" s="54"/>
      <c r="J44" s="60" t="str">
        <f aca="false">IF(I44="","",IF($I$9="","",IF($I$9=0,"",I44/$I$9)))</f>
        <v/>
      </c>
      <c r="K44" s="54"/>
      <c r="L44" s="60" t="str">
        <f aca="false">IF(K44="","",IF($K$9="","",IF($K$9=0,"",K44/$K$9)))</f>
        <v/>
      </c>
      <c r="M44" s="54"/>
      <c r="N44" s="60" t="str">
        <f aca="false">IF(M44="","",IF($M$9="","",IF($M$9=0,"",M44/$M$9)))</f>
        <v/>
      </c>
      <c r="O44" s="54"/>
      <c r="P44" s="60" t="str">
        <f aca="false">IF(O44="","",IF($O$9="","",IF($O$9=0,"",O44/$O$9)))</f>
        <v/>
      </c>
      <c r="Q44" s="54"/>
      <c r="R44" s="60" t="str">
        <f aca="false">IF(Q44="","",IF($Q$9="","",IF($Q$9=0,"",Q44/$Q$9)))</f>
        <v/>
      </c>
      <c r="S44" s="54"/>
      <c r="T44" s="60" t="str">
        <f aca="false">IF(S44="","",IF($S$9="","",IF($S$9=0,"",S44/$S$9)))</f>
        <v/>
      </c>
      <c r="U44" s="54"/>
      <c r="V44" s="60" t="str">
        <f aca="false">IF(U44="","",IF($U$9="","",IF($U$9=0,"",U44/$U$9)))</f>
        <v/>
      </c>
      <c r="W44" s="54"/>
      <c r="X44" s="60" t="str">
        <f aca="false">IF(W44="","",IF($W$9="","",IF($W$9=0,"",W44/$W$9)))</f>
        <v/>
      </c>
    </row>
    <row r="45" customFormat="false" ht="15" hidden="false" customHeight="false" outlineLevel="0" collapsed="false">
      <c r="A45" s="5" t="n">
        <v>35</v>
      </c>
      <c r="B45" s="50" t="n">
        <v>46426</v>
      </c>
      <c r="C45" s="61" t="n">
        <f aca="false">$B$5/$B$8</f>
        <v>652.173913043478</v>
      </c>
      <c r="D45" s="52"/>
      <c r="E45" s="61" t="n">
        <f aca="false">SUM($C$11:C45)</f>
        <v>22826.0869565217</v>
      </c>
      <c r="F45" s="61" t="n">
        <f aca="false">SUM($D$11:D45)</f>
        <v>0</v>
      </c>
      <c r="G45" s="53" t="str">
        <f aca="false">IF(COUNT($D$11:D45)=0,"",F45/E45)</f>
        <v/>
      </c>
      <c r="H45" s="13" t="str">
        <f aca="false">IF(G45="","",IF(G45&gt;=0.95,"En meta",IF(G45&gt;=0.8,"Riesgo","Atrasado")))</f>
        <v/>
      </c>
      <c r="I45" s="54"/>
      <c r="J45" s="55" t="str">
        <f aca="false">IF(I45="","",IF($I$9="","",IF($I$9=0,"",I45/$I$9)))</f>
        <v/>
      </c>
      <c r="K45" s="54"/>
      <c r="L45" s="55" t="str">
        <f aca="false">IF(K45="","",IF($K$9="","",IF($K$9=0,"",K45/$K$9)))</f>
        <v/>
      </c>
      <c r="M45" s="54"/>
      <c r="N45" s="55" t="str">
        <f aca="false">IF(M45="","",IF($M$9="","",IF($M$9=0,"",M45/$M$9)))</f>
        <v/>
      </c>
      <c r="O45" s="54"/>
      <c r="P45" s="55" t="str">
        <f aca="false">IF(O45="","",IF($O$9="","",IF($O$9=0,"",O45/$O$9)))</f>
        <v/>
      </c>
      <c r="Q45" s="54"/>
      <c r="R45" s="55" t="str">
        <f aca="false">IF(Q45="","",IF($Q$9="","",IF($Q$9=0,"",Q45/$Q$9)))</f>
        <v/>
      </c>
      <c r="S45" s="54"/>
      <c r="T45" s="55" t="str">
        <f aca="false">IF(S45="","",IF($S$9="","",IF($S$9=0,"",S45/$S$9)))</f>
        <v/>
      </c>
      <c r="U45" s="54"/>
      <c r="V45" s="55" t="str">
        <f aca="false">IF(U45="","",IF($U$9="","",IF($U$9=0,"",U45/$U$9)))</f>
        <v/>
      </c>
      <c r="W45" s="54"/>
      <c r="X45" s="55" t="str">
        <f aca="false">IF(W45="","",IF($W$9="","",IF($W$9=0,"",W45/$W$9)))</f>
        <v/>
      </c>
    </row>
    <row r="46" customFormat="false" ht="15" hidden="false" customHeight="false" outlineLevel="0" collapsed="false">
      <c r="A46" s="28" t="n">
        <v>36</v>
      </c>
      <c r="B46" s="57" t="n">
        <v>46433</v>
      </c>
      <c r="C46" s="62" t="n">
        <f aca="false">$B$5/$B$8</f>
        <v>652.173913043478</v>
      </c>
      <c r="D46" s="52"/>
      <c r="E46" s="62" t="n">
        <f aca="false">SUM($C$11:C46)</f>
        <v>23478.2608695652</v>
      </c>
      <c r="F46" s="62" t="n">
        <f aca="false">SUM($D$11:D46)</f>
        <v>0</v>
      </c>
      <c r="G46" s="59" t="str">
        <f aca="false">IF(COUNT($D$11:D46)=0,"",F46/E46)</f>
        <v/>
      </c>
      <c r="H46" s="14" t="str">
        <f aca="false">IF(G46="","",IF(G46&gt;=0.95,"En meta",IF(G46&gt;=0.8,"Riesgo","Atrasado")))</f>
        <v/>
      </c>
      <c r="I46" s="54"/>
      <c r="J46" s="60" t="str">
        <f aca="false">IF(I46="","",IF($I$9="","",IF($I$9=0,"",I46/$I$9)))</f>
        <v/>
      </c>
      <c r="K46" s="54"/>
      <c r="L46" s="60" t="str">
        <f aca="false">IF(K46="","",IF($K$9="","",IF($K$9=0,"",K46/$K$9)))</f>
        <v/>
      </c>
      <c r="M46" s="54"/>
      <c r="N46" s="60" t="str">
        <f aca="false">IF(M46="","",IF($M$9="","",IF($M$9=0,"",M46/$M$9)))</f>
        <v/>
      </c>
      <c r="O46" s="54"/>
      <c r="P46" s="60" t="str">
        <f aca="false">IF(O46="","",IF($O$9="","",IF($O$9=0,"",O46/$O$9)))</f>
        <v/>
      </c>
      <c r="Q46" s="54"/>
      <c r="R46" s="60" t="str">
        <f aca="false">IF(Q46="","",IF($Q$9="","",IF($Q$9=0,"",Q46/$Q$9)))</f>
        <v/>
      </c>
      <c r="S46" s="54"/>
      <c r="T46" s="60" t="str">
        <f aca="false">IF(S46="","",IF($S$9="","",IF($S$9=0,"",S46/$S$9)))</f>
        <v/>
      </c>
      <c r="U46" s="54"/>
      <c r="V46" s="60" t="str">
        <f aca="false">IF(U46="","",IF($U$9="","",IF($U$9=0,"",U46/$U$9)))</f>
        <v/>
      </c>
      <c r="W46" s="54"/>
      <c r="X46" s="60" t="str">
        <f aca="false">IF(W46="","",IF($W$9="","",IF($W$9=0,"",W46/$W$9)))</f>
        <v/>
      </c>
    </row>
    <row r="47" customFormat="false" ht="15" hidden="false" customHeight="false" outlineLevel="0" collapsed="false">
      <c r="A47" s="5" t="n">
        <v>37</v>
      </c>
      <c r="B47" s="50" t="n">
        <v>46440</v>
      </c>
      <c r="C47" s="61" t="n">
        <f aca="false">$B$5/$B$8</f>
        <v>652.173913043478</v>
      </c>
      <c r="D47" s="52"/>
      <c r="E47" s="61" t="n">
        <f aca="false">SUM($C$11:C47)</f>
        <v>24130.4347826087</v>
      </c>
      <c r="F47" s="61" t="n">
        <f aca="false">SUM($D$11:D47)</f>
        <v>0</v>
      </c>
      <c r="G47" s="53" t="str">
        <f aca="false">IF(COUNT($D$11:D47)=0,"",F47/E47)</f>
        <v/>
      </c>
      <c r="H47" s="13" t="str">
        <f aca="false">IF(G47="","",IF(G47&gt;=0.95,"En meta",IF(G47&gt;=0.8,"Riesgo","Atrasado")))</f>
        <v/>
      </c>
      <c r="I47" s="54"/>
      <c r="J47" s="55" t="str">
        <f aca="false">IF(I47="","",IF($I$9="","",IF($I$9=0,"",I47/$I$9)))</f>
        <v/>
      </c>
      <c r="K47" s="54"/>
      <c r="L47" s="55" t="str">
        <f aca="false">IF(K47="","",IF($K$9="","",IF($K$9=0,"",K47/$K$9)))</f>
        <v/>
      </c>
      <c r="M47" s="54"/>
      <c r="N47" s="55" t="str">
        <f aca="false">IF(M47="","",IF($M$9="","",IF($M$9=0,"",M47/$M$9)))</f>
        <v/>
      </c>
      <c r="O47" s="54"/>
      <c r="P47" s="55" t="str">
        <f aca="false">IF(O47="","",IF($O$9="","",IF($O$9=0,"",O47/$O$9)))</f>
        <v/>
      </c>
      <c r="Q47" s="54"/>
      <c r="R47" s="55" t="str">
        <f aca="false">IF(Q47="","",IF($Q$9="","",IF($Q$9=0,"",Q47/$Q$9)))</f>
        <v/>
      </c>
      <c r="S47" s="54"/>
      <c r="T47" s="55" t="str">
        <f aca="false">IF(S47="","",IF($S$9="","",IF($S$9=0,"",S47/$S$9)))</f>
        <v/>
      </c>
      <c r="U47" s="54"/>
      <c r="V47" s="55" t="str">
        <f aca="false">IF(U47="","",IF($U$9="","",IF($U$9=0,"",U47/$U$9)))</f>
        <v/>
      </c>
      <c r="W47" s="54"/>
      <c r="X47" s="55" t="str">
        <f aca="false">IF(W47="","",IF($W$9="","",IF($W$9=0,"",W47/$W$9)))</f>
        <v/>
      </c>
    </row>
    <row r="48" customFormat="false" ht="15" hidden="false" customHeight="false" outlineLevel="0" collapsed="false">
      <c r="A48" s="28" t="n">
        <v>38</v>
      </c>
      <c r="B48" s="57" t="n">
        <v>46447</v>
      </c>
      <c r="C48" s="62" t="n">
        <f aca="false">$B$5/$B$8</f>
        <v>652.173913043478</v>
      </c>
      <c r="D48" s="52"/>
      <c r="E48" s="62" t="n">
        <f aca="false">SUM($C$11:C48)</f>
        <v>24782.6086956522</v>
      </c>
      <c r="F48" s="62" t="n">
        <f aca="false">SUM($D$11:D48)</f>
        <v>0</v>
      </c>
      <c r="G48" s="59" t="str">
        <f aca="false">IF(COUNT($D$11:D48)=0,"",F48/E48)</f>
        <v/>
      </c>
      <c r="H48" s="14" t="str">
        <f aca="false">IF(G48="","",IF(G48&gt;=0.95,"En meta",IF(G48&gt;=0.8,"Riesgo","Atrasado")))</f>
        <v/>
      </c>
      <c r="I48" s="54"/>
      <c r="J48" s="60" t="str">
        <f aca="false">IF(I48="","",IF($I$9="","",IF($I$9=0,"",I48/$I$9)))</f>
        <v/>
      </c>
      <c r="K48" s="54"/>
      <c r="L48" s="60" t="str">
        <f aca="false">IF(K48="","",IF($K$9="","",IF($K$9=0,"",K48/$K$9)))</f>
        <v/>
      </c>
      <c r="M48" s="54"/>
      <c r="N48" s="60" t="str">
        <f aca="false">IF(M48="","",IF($M$9="","",IF($M$9=0,"",M48/$M$9)))</f>
        <v/>
      </c>
      <c r="O48" s="54"/>
      <c r="P48" s="60" t="str">
        <f aca="false">IF(O48="","",IF($O$9="","",IF($O$9=0,"",O48/$O$9)))</f>
        <v/>
      </c>
      <c r="Q48" s="54"/>
      <c r="R48" s="60" t="str">
        <f aca="false">IF(Q48="","",IF($Q$9="","",IF($Q$9=0,"",Q48/$Q$9)))</f>
        <v/>
      </c>
      <c r="S48" s="54"/>
      <c r="T48" s="60" t="str">
        <f aca="false">IF(S48="","",IF($S$9="","",IF($S$9=0,"",S48/$S$9)))</f>
        <v/>
      </c>
      <c r="U48" s="54"/>
      <c r="V48" s="60" t="str">
        <f aca="false">IF(U48="","",IF($U$9="","",IF($U$9=0,"",U48/$U$9)))</f>
        <v/>
      </c>
      <c r="W48" s="54"/>
      <c r="X48" s="60" t="str">
        <f aca="false">IF(W48="","",IF($W$9="","",IF($W$9=0,"",W48/$W$9)))</f>
        <v/>
      </c>
    </row>
    <row r="49" customFormat="false" ht="15" hidden="false" customHeight="false" outlineLevel="0" collapsed="false">
      <c r="A49" s="5" t="n">
        <v>39</v>
      </c>
      <c r="B49" s="50" t="n">
        <v>46454</v>
      </c>
      <c r="C49" s="61" t="n">
        <f aca="false">$B$5/$B$8</f>
        <v>652.173913043478</v>
      </c>
      <c r="D49" s="52"/>
      <c r="E49" s="61" t="n">
        <f aca="false">SUM($C$11:C49)</f>
        <v>25434.7826086957</v>
      </c>
      <c r="F49" s="61" t="n">
        <f aca="false">SUM($D$11:D49)</f>
        <v>0</v>
      </c>
      <c r="G49" s="53" t="str">
        <f aca="false">IF(COUNT($D$11:D49)=0,"",F49/E49)</f>
        <v/>
      </c>
      <c r="H49" s="13" t="str">
        <f aca="false">IF(G49="","",IF(G49&gt;=0.95,"En meta",IF(G49&gt;=0.8,"Riesgo","Atrasado")))</f>
        <v/>
      </c>
      <c r="I49" s="54"/>
      <c r="J49" s="55" t="str">
        <f aca="false">IF(I49="","",IF($I$9="","",IF($I$9=0,"",I49/$I$9)))</f>
        <v/>
      </c>
      <c r="K49" s="54"/>
      <c r="L49" s="55" t="str">
        <f aca="false">IF(K49="","",IF($K$9="","",IF($K$9=0,"",K49/$K$9)))</f>
        <v/>
      </c>
      <c r="M49" s="54"/>
      <c r="N49" s="55" t="str">
        <f aca="false">IF(M49="","",IF($M$9="","",IF($M$9=0,"",M49/$M$9)))</f>
        <v/>
      </c>
      <c r="O49" s="54"/>
      <c r="P49" s="55" t="str">
        <f aca="false">IF(O49="","",IF($O$9="","",IF($O$9=0,"",O49/$O$9)))</f>
        <v/>
      </c>
      <c r="Q49" s="54"/>
      <c r="R49" s="55" t="str">
        <f aca="false">IF(Q49="","",IF($Q$9="","",IF($Q$9=0,"",Q49/$Q$9)))</f>
        <v/>
      </c>
      <c r="S49" s="54"/>
      <c r="T49" s="55" t="str">
        <f aca="false">IF(S49="","",IF($S$9="","",IF($S$9=0,"",S49/$S$9)))</f>
        <v/>
      </c>
      <c r="U49" s="54"/>
      <c r="V49" s="55" t="str">
        <f aca="false">IF(U49="","",IF($U$9="","",IF($U$9=0,"",U49/$U$9)))</f>
        <v/>
      </c>
      <c r="W49" s="54"/>
      <c r="X49" s="55" t="str">
        <f aca="false">IF(W49="","",IF($W$9="","",IF($W$9=0,"",W49/$W$9)))</f>
        <v/>
      </c>
    </row>
    <row r="50" customFormat="false" ht="15" hidden="false" customHeight="false" outlineLevel="0" collapsed="false">
      <c r="A50" s="28" t="n">
        <v>40</v>
      </c>
      <c r="B50" s="57" t="n">
        <v>46461</v>
      </c>
      <c r="C50" s="62" t="n">
        <f aca="false">$B$5/$B$8</f>
        <v>652.173913043478</v>
      </c>
      <c r="D50" s="52"/>
      <c r="E50" s="62" t="n">
        <f aca="false">SUM($C$11:C50)</f>
        <v>26086.9565217391</v>
      </c>
      <c r="F50" s="62" t="n">
        <f aca="false">SUM($D$11:D50)</f>
        <v>0</v>
      </c>
      <c r="G50" s="59" t="str">
        <f aca="false">IF(COUNT($D$11:D50)=0,"",F50/E50)</f>
        <v/>
      </c>
      <c r="H50" s="14" t="str">
        <f aca="false">IF(G50="","",IF(G50&gt;=0.95,"En meta",IF(G50&gt;=0.8,"Riesgo","Atrasado")))</f>
        <v/>
      </c>
      <c r="I50" s="54"/>
      <c r="J50" s="60" t="str">
        <f aca="false">IF(I50="","",IF($I$9="","",IF($I$9=0,"",I50/$I$9)))</f>
        <v/>
      </c>
      <c r="K50" s="54"/>
      <c r="L50" s="60" t="str">
        <f aca="false">IF(K50="","",IF($K$9="","",IF($K$9=0,"",K50/$K$9)))</f>
        <v/>
      </c>
      <c r="M50" s="54"/>
      <c r="N50" s="60" t="str">
        <f aca="false">IF(M50="","",IF($M$9="","",IF($M$9=0,"",M50/$M$9)))</f>
        <v/>
      </c>
      <c r="O50" s="54"/>
      <c r="P50" s="60" t="str">
        <f aca="false">IF(O50="","",IF($O$9="","",IF($O$9=0,"",O50/$O$9)))</f>
        <v/>
      </c>
      <c r="Q50" s="54"/>
      <c r="R50" s="60" t="str">
        <f aca="false">IF(Q50="","",IF($Q$9="","",IF($Q$9=0,"",Q50/$Q$9)))</f>
        <v/>
      </c>
      <c r="S50" s="54"/>
      <c r="T50" s="60" t="str">
        <f aca="false">IF(S50="","",IF($S$9="","",IF($S$9=0,"",S50/$S$9)))</f>
        <v/>
      </c>
      <c r="U50" s="54"/>
      <c r="V50" s="60" t="str">
        <f aca="false">IF(U50="","",IF($U$9="","",IF($U$9=0,"",U50/$U$9)))</f>
        <v/>
      </c>
      <c r="W50" s="54"/>
      <c r="X50" s="60" t="str">
        <f aca="false">IF(W50="","",IF($W$9="","",IF($W$9=0,"",W50/$W$9)))</f>
        <v/>
      </c>
    </row>
    <row r="51" customFormat="false" ht="15" hidden="false" customHeight="false" outlineLevel="0" collapsed="false">
      <c r="A51" s="5" t="n">
        <v>41</v>
      </c>
      <c r="B51" s="50" t="n">
        <v>46468</v>
      </c>
      <c r="C51" s="61" t="n">
        <f aca="false">$B$5/$B$8</f>
        <v>652.173913043478</v>
      </c>
      <c r="D51" s="52"/>
      <c r="E51" s="61" t="n">
        <f aca="false">SUM($C$11:C51)</f>
        <v>26739.1304347826</v>
      </c>
      <c r="F51" s="61" t="n">
        <f aca="false">SUM($D$11:D51)</f>
        <v>0</v>
      </c>
      <c r="G51" s="53" t="str">
        <f aca="false">IF(COUNT($D$11:D51)=0,"",F51/E51)</f>
        <v/>
      </c>
      <c r="H51" s="13" t="str">
        <f aca="false">IF(G51="","",IF(G51&gt;=0.95,"En meta",IF(G51&gt;=0.8,"Riesgo","Atrasado")))</f>
        <v/>
      </c>
      <c r="I51" s="54"/>
      <c r="J51" s="55" t="str">
        <f aca="false">IF(I51="","",IF($I$9="","",IF($I$9=0,"",I51/$I$9)))</f>
        <v/>
      </c>
      <c r="K51" s="54"/>
      <c r="L51" s="55" t="str">
        <f aca="false">IF(K51="","",IF($K$9="","",IF($K$9=0,"",K51/$K$9)))</f>
        <v/>
      </c>
      <c r="M51" s="54"/>
      <c r="N51" s="55" t="str">
        <f aca="false">IF(M51="","",IF($M$9="","",IF($M$9=0,"",M51/$M$9)))</f>
        <v/>
      </c>
      <c r="O51" s="54"/>
      <c r="P51" s="55" t="str">
        <f aca="false">IF(O51="","",IF($O$9="","",IF($O$9=0,"",O51/$O$9)))</f>
        <v/>
      </c>
      <c r="Q51" s="54"/>
      <c r="R51" s="55" t="str">
        <f aca="false">IF(Q51="","",IF($Q$9="","",IF($Q$9=0,"",Q51/$Q$9)))</f>
        <v/>
      </c>
      <c r="S51" s="54"/>
      <c r="T51" s="55" t="str">
        <f aca="false">IF(S51="","",IF($S$9="","",IF($S$9=0,"",S51/$S$9)))</f>
        <v/>
      </c>
      <c r="U51" s="54"/>
      <c r="V51" s="55" t="str">
        <f aca="false">IF(U51="","",IF($U$9="","",IF($U$9=0,"",U51/$U$9)))</f>
        <v/>
      </c>
      <c r="W51" s="54"/>
      <c r="X51" s="55" t="str">
        <f aca="false">IF(W51="","",IF($W$9="","",IF($W$9=0,"",W51/$W$9)))</f>
        <v/>
      </c>
    </row>
    <row r="52" customFormat="false" ht="15" hidden="false" customHeight="false" outlineLevel="0" collapsed="false">
      <c r="A52" s="28" t="n">
        <v>42</v>
      </c>
      <c r="B52" s="57" t="n">
        <v>46475</v>
      </c>
      <c r="C52" s="62" t="n">
        <f aca="false">$B$5/$B$8</f>
        <v>652.173913043478</v>
      </c>
      <c r="D52" s="52"/>
      <c r="E52" s="62" t="n">
        <f aca="false">SUM($C$11:C52)</f>
        <v>27391.3043478261</v>
      </c>
      <c r="F52" s="62" t="n">
        <f aca="false">SUM($D$11:D52)</f>
        <v>0</v>
      </c>
      <c r="G52" s="59" t="str">
        <f aca="false">IF(COUNT($D$11:D52)=0,"",F52/E52)</f>
        <v/>
      </c>
      <c r="H52" s="14" t="str">
        <f aca="false">IF(G52="","",IF(G52&gt;=0.95,"En meta",IF(G52&gt;=0.8,"Riesgo","Atrasado")))</f>
        <v/>
      </c>
      <c r="I52" s="54"/>
      <c r="J52" s="60" t="str">
        <f aca="false">IF(I52="","",IF($I$9="","",IF($I$9=0,"",I52/$I$9)))</f>
        <v/>
      </c>
      <c r="K52" s="54"/>
      <c r="L52" s="60" t="str">
        <f aca="false">IF(K52="","",IF($K$9="","",IF($K$9=0,"",K52/$K$9)))</f>
        <v/>
      </c>
      <c r="M52" s="54"/>
      <c r="N52" s="60" t="str">
        <f aca="false">IF(M52="","",IF($M$9="","",IF($M$9=0,"",M52/$M$9)))</f>
        <v/>
      </c>
      <c r="O52" s="54"/>
      <c r="P52" s="60" t="str">
        <f aca="false">IF(O52="","",IF($O$9="","",IF($O$9=0,"",O52/$O$9)))</f>
        <v/>
      </c>
      <c r="Q52" s="54"/>
      <c r="R52" s="60" t="str">
        <f aca="false">IF(Q52="","",IF($Q$9="","",IF($Q$9=0,"",Q52/$Q$9)))</f>
        <v/>
      </c>
      <c r="S52" s="54"/>
      <c r="T52" s="60" t="str">
        <f aca="false">IF(S52="","",IF($S$9="","",IF($S$9=0,"",S52/$S$9)))</f>
        <v/>
      </c>
      <c r="U52" s="54"/>
      <c r="V52" s="60" t="str">
        <f aca="false">IF(U52="","",IF($U$9="","",IF($U$9=0,"",U52/$U$9)))</f>
        <v/>
      </c>
      <c r="W52" s="54"/>
      <c r="X52" s="60" t="str">
        <f aca="false">IF(W52="","",IF($W$9="","",IF($W$9=0,"",W52/$W$9)))</f>
        <v/>
      </c>
    </row>
    <row r="53" customFormat="false" ht="15" hidden="false" customHeight="false" outlineLevel="0" collapsed="false">
      <c r="A53" s="5" t="n">
        <v>43</v>
      </c>
      <c r="B53" s="50" t="n">
        <v>46482</v>
      </c>
      <c r="C53" s="61" t="n">
        <f aca="false">$B$5/$B$8</f>
        <v>652.173913043478</v>
      </c>
      <c r="D53" s="52"/>
      <c r="E53" s="61" t="n">
        <f aca="false">SUM($C$11:C53)</f>
        <v>28043.4782608696</v>
      </c>
      <c r="F53" s="61" t="n">
        <f aca="false">SUM($D$11:D53)</f>
        <v>0</v>
      </c>
      <c r="G53" s="53" t="str">
        <f aca="false">IF(COUNT($D$11:D53)=0,"",F53/E53)</f>
        <v/>
      </c>
      <c r="H53" s="13" t="str">
        <f aca="false">IF(G53="","",IF(G53&gt;=0.95,"En meta",IF(G53&gt;=0.8,"Riesgo","Atrasado")))</f>
        <v/>
      </c>
      <c r="I53" s="54"/>
      <c r="J53" s="55" t="str">
        <f aca="false">IF(I53="","",IF($I$9="","",IF($I$9=0,"",I53/$I$9)))</f>
        <v/>
      </c>
      <c r="K53" s="54"/>
      <c r="L53" s="55" t="str">
        <f aca="false">IF(K53="","",IF($K$9="","",IF($K$9=0,"",K53/$K$9)))</f>
        <v/>
      </c>
      <c r="M53" s="54"/>
      <c r="N53" s="55" t="str">
        <f aca="false">IF(M53="","",IF($M$9="","",IF($M$9=0,"",M53/$M$9)))</f>
        <v/>
      </c>
      <c r="O53" s="54"/>
      <c r="P53" s="55" t="str">
        <f aca="false">IF(O53="","",IF($O$9="","",IF($O$9=0,"",O53/$O$9)))</f>
        <v/>
      </c>
      <c r="Q53" s="54"/>
      <c r="R53" s="55" t="str">
        <f aca="false">IF(Q53="","",IF($Q$9="","",IF($Q$9=0,"",Q53/$Q$9)))</f>
        <v/>
      </c>
      <c r="S53" s="54"/>
      <c r="T53" s="55" t="str">
        <f aca="false">IF(S53="","",IF($S$9="","",IF($S$9=0,"",S53/$S$9)))</f>
        <v/>
      </c>
      <c r="U53" s="54"/>
      <c r="V53" s="55" t="str">
        <f aca="false">IF(U53="","",IF($U$9="","",IF($U$9=0,"",U53/$U$9)))</f>
        <v/>
      </c>
      <c r="W53" s="54"/>
      <c r="X53" s="55" t="str">
        <f aca="false">IF(W53="","",IF($W$9="","",IF($W$9=0,"",W53/$W$9)))</f>
        <v/>
      </c>
    </row>
    <row r="54" customFormat="false" ht="15" hidden="false" customHeight="false" outlineLevel="0" collapsed="false">
      <c r="A54" s="28" t="n">
        <v>44</v>
      </c>
      <c r="B54" s="57" t="n">
        <v>46489</v>
      </c>
      <c r="C54" s="62" t="n">
        <f aca="false">$B$5/$B$8</f>
        <v>652.173913043478</v>
      </c>
      <c r="D54" s="52"/>
      <c r="E54" s="62" t="n">
        <f aca="false">SUM($C$11:C54)</f>
        <v>28695.652173913</v>
      </c>
      <c r="F54" s="62" t="n">
        <f aca="false">SUM($D$11:D54)</f>
        <v>0</v>
      </c>
      <c r="G54" s="59" t="str">
        <f aca="false">IF(COUNT($D$11:D54)=0,"",F54/E54)</f>
        <v/>
      </c>
      <c r="H54" s="14" t="str">
        <f aca="false">IF(G54="","",IF(G54&gt;=0.95,"En meta",IF(G54&gt;=0.8,"Riesgo","Atrasado")))</f>
        <v/>
      </c>
      <c r="I54" s="54"/>
      <c r="J54" s="60" t="str">
        <f aca="false">IF(I54="","",IF($I$9="","",IF($I$9=0,"",I54/$I$9)))</f>
        <v/>
      </c>
      <c r="K54" s="54"/>
      <c r="L54" s="60" t="str">
        <f aca="false">IF(K54="","",IF($K$9="","",IF($K$9=0,"",K54/$K$9)))</f>
        <v/>
      </c>
      <c r="M54" s="54"/>
      <c r="N54" s="60" t="str">
        <f aca="false">IF(M54="","",IF($M$9="","",IF($M$9=0,"",M54/$M$9)))</f>
        <v/>
      </c>
      <c r="O54" s="54"/>
      <c r="P54" s="60" t="str">
        <f aca="false">IF(O54="","",IF($O$9="","",IF($O$9=0,"",O54/$O$9)))</f>
        <v/>
      </c>
      <c r="Q54" s="54"/>
      <c r="R54" s="60" t="str">
        <f aca="false">IF(Q54="","",IF($Q$9="","",IF($Q$9=0,"",Q54/$Q$9)))</f>
        <v/>
      </c>
      <c r="S54" s="54"/>
      <c r="T54" s="60" t="str">
        <f aca="false">IF(S54="","",IF($S$9="","",IF($S$9=0,"",S54/$S$9)))</f>
        <v/>
      </c>
      <c r="U54" s="54"/>
      <c r="V54" s="60" t="str">
        <f aca="false">IF(U54="","",IF($U$9="","",IF($U$9=0,"",U54/$U$9)))</f>
        <v/>
      </c>
      <c r="W54" s="54"/>
      <c r="X54" s="60" t="str">
        <f aca="false">IF(W54="","",IF($W$9="","",IF($W$9=0,"",W54/$W$9)))</f>
        <v/>
      </c>
    </row>
    <row r="55" customFormat="false" ht="15" hidden="false" customHeight="false" outlineLevel="0" collapsed="false">
      <c r="A55" s="5" t="n">
        <v>45</v>
      </c>
      <c r="B55" s="50" t="n">
        <v>46496</v>
      </c>
      <c r="C55" s="61" t="n">
        <f aca="false">$B$5/$B$8</f>
        <v>652.173913043478</v>
      </c>
      <c r="D55" s="52"/>
      <c r="E55" s="61" t="n">
        <f aca="false">SUM($C$11:C55)</f>
        <v>29347.8260869565</v>
      </c>
      <c r="F55" s="61" t="n">
        <f aca="false">SUM($D$11:D55)</f>
        <v>0</v>
      </c>
      <c r="G55" s="53" t="str">
        <f aca="false">IF(COUNT($D$11:D55)=0,"",F55/E55)</f>
        <v/>
      </c>
      <c r="H55" s="13" t="str">
        <f aca="false">IF(G55="","",IF(G55&gt;=0.95,"En meta",IF(G55&gt;=0.8,"Riesgo","Atrasado")))</f>
        <v/>
      </c>
      <c r="I55" s="54"/>
      <c r="J55" s="55" t="str">
        <f aca="false">IF(I55="","",IF($I$9="","",IF($I$9=0,"",I55/$I$9)))</f>
        <v/>
      </c>
      <c r="K55" s="54"/>
      <c r="L55" s="55" t="str">
        <f aca="false">IF(K55="","",IF($K$9="","",IF($K$9=0,"",K55/$K$9)))</f>
        <v/>
      </c>
      <c r="M55" s="54"/>
      <c r="N55" s="55" t="str">
        <f aca="false">IF(M55="","",IF($M$9="","",IF($M$9=0,"",M55/$M$9)))</f>
        <v/>
      </c>
      <c r="O55" s="54"/>
      <c r="P55" s="55" t="str">
        <f aca="false">IF(O55="","",IF($O$9="","",IF($O$9=0,"",O55/$O$9)))</f>
        <v/>
      </c>
      <c r="Q55" s="54"/>
      <c r="R55" s="55" t="str">
        <f aca="false">IF(Q55="","",IF($Q$9="","",IF($Q$9=0,"",Q55/$Q$9)))</f>
        <v/>
      </c>
      <c r="S55" s="54"/>
      <c r="T55" s="55" t="str">
        <f aca="false">IF(S55="","",IF($S$9="","",IF($S$9=0,"",S55/$S$9)))</f>
        <v/>
      </c>
      <c r="U55" s="54"/>
      <c r="V55" s="55" t="str">
        <f aca="false">IF(U55="","",IF($U$9="","",IF($U$9=0,"",U55/$U$9)))</f>
        <v/>
      </c>
      <c r="W55" s="54"/>
      <c r="X55" s="55" t="str">
        <f aca="false">IF(W55="","",IF($W$9="","",IF($W$9=0,"",W55/$W$9)))</f>
        <v/>
      </c>
    </row>
    <row r="56" customFormat="false" ht="15" hidden="false" customHeight="false" outlineLevel="0" collapsed="false">
      <c r="A56" s="28" t="n">
        <v>46</v>
      </c>
      <c r="B56" s="57" t="n">
        <v>46503</v>
      </c>
      <c r="C56" s="62" t="n">
        <f aca="false">$B$5/$B$8</f>
        <v>652.173913043478</v>
      </c>
      <c r="D56" s="52"/>
      <c r="E56" s="62" t="n">
        <f aca="false">SUM($C$11:C56)</f>
        <v>30000</v>
      </c>
      <c r="F56" s="62" t="n">
        <f aca="false">SUM($D$11:D56)</f>
        <v>0</v>
      </c>
      <c r="G56" s="59" t="str">
        <f aca="false">IF(COUNT($D$11:D56)=0,"",F56/E56)</f>
        <v/>
      </c>
      <c r="H56" s="14" t="str">
        <f aca="false">IF(G56="","",IF(G56&gt;=0.95,"En meta",IF(G56&gt;=0.8,"Riesgo","Atrasado")))</f>
        <v/>
      </c>
      <c r="I56" s="54"/>
      <c r="J56" s="60" t="str">
        <f aca="false">IF(I56="","",IF($I$9="","",IF($I$9=0,"",I56/$I$9)))</f>
        <v/>
      </c>
      <c r="K56" s="54"/>
      <c r="L56" s="60" t="str">
        <f aca="false">IF(K56="","",IF($K$9="","",IF($K$9=0,"",K56/$K$9)))</f>
        <v/>
      </c>
      <c r="M56" s="54"/>
      <c r="N56" s="60" t="str">
        <f aca="false">IF(M56="","",IF($M$9="","",IF($M$9=0,"",M56/$M$9)))</f>
        <v/>
      </c>
      <c r="O56" s="54"/>
      <c r="P56" s="60" t="str">
        <f aca="false">IF(O56="","",IF($O$9="","",IF($O$9=0,"",O56/$O$9)))</f>
        <v/>
      </c>
      <c r="Q56" s="54"/>
      <c r="R56" s="60" t="str">
        <f aca="false">IF(Q56="","",IF($Q$9="","",IF($Q$9=0,"",Q56/$Q$9)))</f>
        <v/>
      </c>
      <c r="S56" s="54"/>
      <c r="T56" s="60" t="str">
        <f aca="false">IF(S56="","",IF($S$9="","",IF($S$9=0,"",S56/$S$9)))</f>
        <v/>
      </c>
      <c r="U56" s="54"/>
      <c r="V56" s="60" t="str">
        <f aca="false">IF(U56="","",IF($U$9="","",IF($U$9=0,"",U56/$U$9)))</f>
        <v/>
      </c>
      <c r="W56" s="54"/>
      <c r="X56" s="60" t="str">
        <f aca="false">IF(W56="","",IF($W$9="","",IF($W$9=0,"",W56/$W$9)))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56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160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161</v>
      </c>
    </row>
    <row r="3" customFormat="false" ht="15" hidden="false" customHeight="false" outlineLevel="0" collapsed="false">
      <c r="A3" s="17" t="s">
        <v>77</v>
      </c>
      <c r="B3" s="40" t="s">
        <v>162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60</v>
      </c>
    </row>
    <row r="5" customFormat="false" ht="15" hidden="false" customHeight="false" outlineLevel="0" collapsed="false">
      <c r="A5" s="17" t="s">
        <v>82</v>
      </c>
      <c r="B5" s="63" t="n">
        <v>0.16</v>
      </c>
      <c r="D5" s="17" t="s">
        <v>83</v>
      </c>
      <c r="E5" s="43" t="n">
        <v>46204</v>
      </c>
      <c r="G5" s="17" t="s">
        <v>84</v>
      </c>
      <c r="H5" s="43" t="n">
        <v>46722</v>
      </c>
    </row>
    <row r="6" customFormat="false" ht="15" hidden="false" customHeight="false" outlineLevel="0" collapsed="false">
      <c r="A6" s="17" t="s">
        <v>85</v>
      </c>
      <c r="B6" s="40" t="s">
        <v>163</v>
      </c>
    </row>
    <row r="8" customFormat="false" ht="42" hidden="false" customHeight="true" outlineLevel="0" collapsed="false">
      <c r="A8" s="17" t="s">
        <v>87</v>
      </c>
      <c r="B8" s="44" t="n">
        <f aca="false">COUNT(A11:A28)</f>
        <v>18</v>
      </c>
      <c r="H8" s="45" t="s">
        <v>88</v>
      </c>
      <c r="I8" s="46" t="s">
        <v>164</v>
      </c>
      <c r="J8" s="46"/>
      <c r="K8" s="46" t="s">
        <v>165</v>
      </c>
      <c r="L8" s="46"/>
      <c r="M8" s="46" t="s">
        <v>166</v>
      </c>
      <c r="N8" s="46"/>
      <c r="O8" s="46" t="s">
        <v>167</v>
      </c>
      <c r="P8" s="46"/>
      <c r="Q8" s="46" t="s">
        <v>168</v>
      </c>
      <c r="R8" s="46"/>
      <c r="S8" s="46" t="s">
        <v>169</v>
      </c>
      <c r="T8" s="46"/>
      <c r="U8" s="46" t="s">
        <v>96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8" t="n">
        <v>1</v>
      </c>
      <c r="J9" s="48"/>
      <c r="K9" s="48" t="n">
        <v>1</v>
      </c>
      <c r="L9" s="48"/>
      <c r="M9" s="48" t="n">
        <v>1</v>
      </c>
      <c r="N9" s="48"/>
      <c r="O9" s="47" t="n">
        <v>2</v>
      </c>
      <c r="P9" s="47"/>
      <c r="Q9" s="47" t="n">
        <v>4</v>
      </c>
      <c r="R9" s="47"/>
      <c r="S9" s="48" t="n">
        <v>1</v>
      </c>
      <c r="T9" s="48"/>
      <c r="U9" s="47"/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26</v>
      </c>
      <c r="C10" s="4" t="s">
        <v>36</v>
      </c>
      <c r="D10" s="4" t="s">
        <v>101</v>
      </c>
      <c r="E10" s="4"/>
      <c r="F10" s="4"/>
      <c r="G10" s="4" t="s">
        <v>132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19" t="n">
        <v>46204</v>
      </c>
      <c r="C11" s="64" t="n">
        <f aca="false">$B$5</f>
        <v>0.16</v>
      </c>
      <c r="D11" s="52"/>
      <c r="E11" s="5"/>
      <c r="F11" s="5"/>
      <c r="G11" s="53" t="str">
        <f aca="false">IF(D11="","",D11-C11)</f>
        <v/>
      </c>
      <c r="H11" s="13" t="str">
        <f aca="false">IF(D11="","",IF(D11&gt;=C11,"En meta",IF(D11&gt;=C11-0.01,"Riesgo","Atrasado")))</f>
        <v/>
      </c>
      <c r="I11" s="56"/>
      <c r="J11" s="55" t="str">
        <f aca="false">IF(I11="","",IF($I$9="","",IF($I$9=0,"",I11/$I$9)))</f>
        <v/>
      </c>
      <c r="K11" s="56"/>
      <c r="L11" s="55" t="str">
        <f aca="false">IF(K11="","",IF($K$9="","",IF($K$9=0,"",K11/$K$9)))</f>
        <v/>
      </c>
      <c r="M11" s="56"/>
      <c r="N11" s="55" t="str">
        <f aca="false">IF(M11="","",IF($M$9="","",IF($M$9=0,"",M11/$M$9)))</f>
        <v/>
      </c>
      <c r="O11" s="54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6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20" t="n">
        <v>46235</v>
      </c>
      <c r="C12" s="65" t="n">
        <f aca="false">$B$5</f>
        <v>0.16</v>
      </c>
      <c r="D12" s="52"/>
      <c r="E12" s="28"/>
      <c r="F12" s="28"/>
      <c r="G12" s="59" t="str">
        <f aca="false">IF(D12="","",D12-C12)</f>
        <v/>
      </c>
      <c r="H12" s="14" t="str">
        <f aca="false">IF(D12="","",IF(D12&gt;=C12,"En meta",IF(D12&gt;=C12-0.01,"Riesgo","Atrasado")))</f>
        <v/>
      </c>
      <c r="I12" s="56"/>
      <c r="J12" s="60" t="str">
        <f aca="false">IF(I12="","",IF($I$9="","",IF($I$9=0,"",I12/$I$9)))</f>
        <v/>
      </c>
      <c r="K12" s="56"/>
      <c r="L12" s="60" t="str">
        <f aca="false">IF(K12="","",IF($K$9="","",IF($K$9=0,"",K12/$K$9)))</f>
        <v/>
      </c>
      <c r="M12" s="56"/>
      <c r="N12" s="60" t="str">
        <f aca="false">IF(M12="","",IF($M$9="","",IF($M$9=0,"",M12/$M$9)))</f>
        <v/>
      </c>
      <c r="O12" s="54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6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19" t="n">
        <v>46266</v>
      </c>
      <c r="C13" s="64" t="n">
        <f aca="false">$B$5</f>
        <v>0.16</v>
      </c>
      <c r="D13" s="52"/>
      <c r="E13" s="5"/>
      <c r="F13" s="5"/>
      <c r="G13" s="53" t="str">
        <f aca="false">IF(D13="","",D13-C13)</f>
        <v/>
      </c>
      <c r="H13" s="13" t="str">
        <f aca="false">IF(D13="","",IF(D13&gt;=C13,"En meta",IF(D13&gt;=C13-0.01,"Riesgo","Atrasado")))</f>
        <v/>
      </c>
      <c r="I13" s="56"/>
      <c r="J13" s="55" t="str">
        <f aca="false">IF(I13="","",IF($I$9="","",IF($I$9=0,"",I13/$I$9)))</f>
        <v/>
      </c>
      <c r="K13" s="56"/>
      <c r="L13" s="55" t="str">
        <f aca="false">IF(K13="","",IF($K$9="","",IF($K$9=0,"",K13/$K$9)))</f>
        <v/>
      </c>
      <c r="M13" s="56"/>
      <c r="N13" s="55" t="str">
        <f aca="false">IF(M13="","",IF($M$9="","",IF($M$9=0,"",M13/$M$9)))</f>
        <v/>
      </c>
      <c r="O13" s="54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6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20" t="n">
        <v>46296</v>
      </c>
      <c r="C14" s="65" t="n">
        <f aca="false">$B$5</f>
        <v>0.16</v>
      </c>
      <c r="D14" s="52"/>
      <c r="E14" s="28"/>
      <c r="F14" s="28"/>
      <c r="G14" s="59" t="str">
        <f aca="false">IF(D14="","",D14-C14)</f>
        <v/>
      </c>
      <c r="H14" s="14" t="str">
        <f aca="false">IF(D14="","",IF(D14&gt;=C14,"En meta",IF(D14&gt;=C14-0.01,"Riesgo","Atrasado")))</f>
        <v/>
      </c>
      <c r="I14" s="56"/>
      <c r="J14" s="60" t="str">
        <f aca="false">IF(I14="","",IF($I$9="","",IF($I$9=0,"",I14/$I$9)))</f>
        <v/>
      </c>
      <c r="K14" s="56"/>
      <c r="L14" s="60" t="str">
        <f aca="false">IF(K14="","",IF($K$9="","",IF($K$9=0,"",K14/$K$9)))</f>
        <v/>
      </c>
      <c r="M14" s="56"/>
      <c r="N14" s="60" t="str">
        <f aca="false">IF(M14="","",IF($M$9="","",IF($M$9=0,"",M14/$M$9)))</f>
        <v/>
      </c>
      <c r="O14" s="54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6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19" t="n">
        <v>46327</v>
      </c>
      <c r="C15" s="64" t="n">
        <f aca="false">$B$5</f>
        <v>0.16</v>
      </c>
      <c r="D15" s="52"/>
      <c r="E15" s="5"/>
      <c r="F15" s="5"/>
      <c r="G15" s="53" t="str">
        <f aca="false">IF(D15="","",D15-C15)</f>
        <v/>
      </c>
      <c r="H15" s="13" t="str">
        <f aca="false">IF(D15="","",IF(D15&gt;=C15,"En meta",IF(D15&gt;=C15-0.01,"Riesgo","Atrasado")))</f>
        <v/>
      </c>
      <c r="I15" s="56"/>
      <c r="J15" s="55" t="str">
        <f aca="false">IF(I15="","",IF($I$9="","",IF($I$9=0,"",I15/$I$9)))</f>
        <v/>
      </c>
      <c r="K15" s="56"/>
      <c r="L15" s="55" t="str">
        <f aca="false">IF(K15="","",IF($K$9="","",IF($K$9=0,"",K15/$K$9)))</f>
        <v/>
      </c>
      <c r="M15" s="56"/>
      <c r="N15" s="55" t="str">
        <f aca="false">IF(M15="","",IF($M$9="","",IF($M$9=0,"",M15/$M$9)))</f>
        <v/>
      </c>
      <c r="O15" s="54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6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20" t="n">
        <v>46357</v>
      </c>
      <c r="C16" s="65" t="n">
        <f aca="false">$B$5</f>
        <v>0.16</v>
      </c>
      <c r="D16" s="52"/>
      <c r="E16" s="28"/>
      <c r="F16" s="28"/>
      <c r="G16" s="59" t="str">
        <f aca="false">IF(D16="","",D16-C16)</f>
        <v/>
      </c>
      <c r="H16" s="14" t="str">
        <f aca="false">IF(D16="","",IF(D16&gt;=C16,"En meta",IF(D16&gt;=C16-0.01,"Riesgo","Atrasado")))</f>
        <v/>
      </c>
      <c r="I16" s="56"/>
      <c r="J16" s="60" t="str">
        <f aca="false">IF(I16="","",IF($I$9="","",IF($I$9=0,"",I16/$I$9)))</f>
        <v/>
      </c>
      <c r="K16" s="56"/>
      <c r="L16" s="60" t="str">
        <f aca="false">IF(K16="","",IF($K$9="","",IF($K$9=0,"",K16/$K$9)))</f>
        <v/>
      </c>
      <c r="M16" s="56"/>
      <c r="N16" s="60" t="str">
        <f aca="false">IF(M16="","",IF($M$9="","",IF($M$9=0,"",M16/$M$9)))</f>
        <v/>
      </c>
      <c r="O16" s="54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6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19" t="n">
        <v>46388</v>
      </c>
      <c r="C17" s="64" t="n">
        <f aca="false">$B$5</f>
        <v>0.16</v>
      </c>
      <c r="D17" s="52"/>
      <c r="E17" s="5"/>
      <c r="F17" s="5"/>
      <c r="G17" s="53" t="str">
        <f aca="false">IF(D17="","",D17-C17)</f>
        <v/>
      </c>
      <c r="H17" s="13" t="str">
        <f aca="false">IF(D17="","",IF(D17&gt;=C17,"En meta",IF(D17&gt;=C17-0.01,"Riesgo","Atrasado")))</f>
        <v/>
      </c>
      <c r="I17" s="56"/>
      <c r="J17" s="55" t="str">
        <f aca="false">IF(I17="","",IF($I$9="","",IF($I$9=0,"",I17/$I$9)))</f>
        <v/>
      </c>
      <c r="K17" s="56"/>
      <c r="L17" s="55" t="str">
        <f aca="false">IF(K17="","",IF($K$9="","",IF($K$9=0,"",K17/$K$9)))</f>
        <v/>
      </c>
      <c r="M17" s="56"/>
      <c r="N17" s="55" t="str">
        <f aca="false">IF(M17="","",IF($M$9="","",IF($M$9=0,"",M17/$M$9)))</f>
        <v/>
      </c>
      <c r="O17" s="54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6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20" t="n">
        <v>46419</v>
      </c>
      <c r="C18" s="65" t="n">
        <f aca="false">$B$5</f>
        <v>0.16</v>
      </c>
      <c r="D18" s="52"/>
      <c r="E18" s="28"/>
      <c r="F18" s="28"/>
      <c r="G18" s="59" t="str">
        <f aca="false">IF(D18="","",D18-C18)</f>
        <v/>
      </c>
      <c r="H18" s="14" t="str">
        <f aca="false">IF(D18="","",IF(D18&gt;=C18,"En meta",IF(D18&gt;=C18-0.01,"Riesgo","Atrasado")))</f>
        <v/>
      </c>
      <c r="I18" s="56"/>
      <c r="J18" s="60" t="str">
        <f aca="false">IF(I18="","",IF($I$9="","",IF($I$9=0,"",I18/$I$9)))</f>
        <v/>
      </c>
      <c r="K18" s="56"/>
      <c r="L18" s="60" t="str">
        <f aca="false">IF(K18="","",IF($K$9="","",IF($K$9=0,"",K18/$K$9)))</f>
        <v/>
      </c>
      <c r="M18" s="56"/>
      <c r="N18" s="60" t="str">
        <f aca="false">IF(M18="","",IF($M$9="","",IF($M$9=0,"",M18/$M$9)))</f>
        <v/>
      </c>
      <c r="O18" s="54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6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19" t="n">
        <v>46447</v>
      </c>
      <c r="C19" s="64" t="n">
        <f aca="false">$B$5</f>
        <v>0.16</v>
      </c>
      <c r="D19" s="52"/>
      <c r="E19" s="5"/>
      <c r="F19" s="5"/>
      <c r="G19" s="53" t="str">
        <f aca="false">IF(D19="","",D19-C19)</f>
        <v/>
      </c>
      <c r="H19" s="13" t="str">
        <f aca="false">IF(D19="","",IF(D19&gt;=C19,"En meta",IF(D19&gt;=C19-0.01,"Riesgo","Atrasado")))</f>
        <v/>
      </c>
      <c r="I19" s="56"/>
      <c r="J19" s="55" t="str">
        <f aca="false">IF(I19="","",IF($I$9="","",IF($I$9=0,"",I19/$I$9)))</f>
        <v/>
      </c>
      <c r="K19" s="56"/>
      <c r="L19" s="55" t="str">
        <f aca="false">IF(K19="","",IF($K$9="","",IF($K$9=0,"",K19/$K$9)))</f>
        <v/>
      </c>
      <c r="M19" s="56"/>
      <c r="N19" s="55" t="str">
        <f aca="false">IF(M19="","",IF($M$9="","",IF($M$9=0,"",M19/$M$9)))</f>
        <v/>
      </c>
      <c r="O19" s="54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6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20" t="n">
        <v>46478</v>
      </c>
      <c r="C20" s="65" t="n">
        <f aca="false">$B$5</f>
        <v>0.16</v>
      </c>
      <c r="D20" s="52"/>
      <c r="E20" s="28"/>
      <c r="F20" s="28"/>
      <c r="G20" s="59" t="str">
        <f aca="false">IF(D20="","",D20-C20)</f>
        <v/>
      </c>
      <c r="H20" s="14" t="str">
        <f aca="false">IF(D20="","",IF(D20&gt;=C20,"En meta",IF(D20&gt;=C20-0.01,"Riesgo","Atrasado")))</f>
        <v/>
      </c>
      <c r="I20" s="56"/>
      <c r="J20" s="60" t="str">
        <f aca="false">IF(I20="","",IF($I$9="","",IF($I$9=0,"",I20/$I$9)))</f>
        <v/>
      </c>
      <c r="K20" s="56"/>
      <c r="L20" s="60" t="str">
        <f aca="false">IF(K20="","",IF($K$9="","",IF($K$9=0,"",K20/$K$9)))</f>
        <v/>
      </c>
      <c r="M20" s="56"/>
      <c r="N20" s="60" t="str">
        <f aca="false">IF(M20="","",IF($M$9="","",IF($M$9=0,"",M20/$M$9)))</f>
        <v/>
      </c>
      <c r="O20" s="54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6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19" t="n">
        <v>46508</v>
      </c>
      <c r="C21" s="64" t="n">
        <f aca="false">$B$5</f>
        <v>0.16</v>
      </c>
      <c r="D21" s="52"/>
      <c r="E21" s="5"/>
      <c r="F21" s="5"/>
      <c r="G21" s="53" t="str">
        <f aca="false">IF(D21="","",D21-C21)</f>
        <v/>
      </c>
      <c r="H21" s="13" t="str">
        <f aca="false">IF(D21="","",IF(D21&gt;=C21,"En meta",IF(D21&gt;=C21-0.01,"Riesgo","Atrasado")))</f>
        <v/>
      </c>
      <c r="I21" s="56"/>
      <c r="J21" s="55" t="str">
        <f aca="false">IF(I21="","",IF($I$9="","",IF($I$9=0,"",I21/$I$9)))</f>
        <v/>
      </c>
      <c r="K21" s="56"/>
      <c r="L21" s="55" t="str">
        <f aca="false">IF(K21="","",IF($K$9="","",IF($K$9=0,"",K21/$K$9)))</f>
        <v/>
      </c>
      <c r="M21" s="56"/>
      <c r="N21" s="55" t="str">
        <f aca="false">IF(M21="","",IF($M$9="","",IF($M$9=0,"",M21/$M$9)))</f>
        <v/>
      </c>
      <c r="O21" s="54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6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20" t="n">
        <v>46539</v>
      </c>
      <c r="C22" s="65" t="n">
        <f aca="false">$B$5</f>
        <v>0.16</v>
      </c>
      <c r="D22" s="52"/>
      <c r="E22" s="28"/>
      <c r="F22" s="28"/>
      <c r="G22" s="59" t="str">
        <f aca="false">IF(D22="","",D22-C22)</f>
        <v/>
      </c>
      <c r="H22" s="14" t="str">
        <f aca="false">IF(D22="","",IF(D22&gt;=C22,"En meta",IF(D22&gt;=C22-0.01,"Riesgo","Atrasado")))</f>
        <v/>
      </c>
      <c r="I22" s="56"/>
      <c r="J22" s="60" t="str">
        <f aca="false">IF(I22="","",IF($I$9="","",IF($I$9=0,"",I22/$I$9)))</f>
        <v/>
      </c>
      <c r="K22" s="56"/>
      <c r="L22" s="60" t="str">
        <f aca="false">IF(K22="","",IF($K$9="","",IF($K$9=0,"",K22/$K$9)))</f>
        <v/>
      </c>
      <c r="M22" s="56"/>
      <c r="N22" s="60" t="str">
        <f aca="false">IF(M22="","",IF($M$9="","",IF($M$9=0,"",M22/$M$9)))</f>
        <v/>
      </c>
      <c r="O22" s="54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6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19" t="n">
        <v>46569</v>
      </c>
      <c r="C23" s="64" t="n">
        <f aca="false">$B$5</f>
        <v>0.16</v>
      </c>
      <c r="D23" s="52"/>
      <c r="E23" s="5"/>
      <c r="F23" s="5"/>
      <c r="G23" s="53" t="str">
        <f aca="false">IF(D23="","",D23-C23)</f>
        <v/>
      </c>
      <c r="H23" s="13" t="str">
        <f aca="false">IF(D23="","",IF(D23&gt;=C23,"En meta",IF(D23&gt;=C23-0.01,"Riesgo","Atrasado")))</f>
        <v/>
      </c>
      <c r="I23" s="56"/>
      <c r="J23" s="55" t="str">
        <f aca="false">IF(I23="","",IF($I$9="","",IF($I$9=0,"",I23/$I$9)))</f>
        <v/>
      </c>
      <c r="K23" s="56"/>
      <c r="L23" s="55" t="str">
        <f aca="false">IF(K23="","",IF($K$9="","",IF($K$9=0,"",K23/$K$9)))</f>
        <v/>
      </c>
      <c r="M23" s="56"/>
      <c r="N23" s="55" t="str">
        <f aca="false">IF(M23="","",IF($M$9="","",IF($M$9=0,"",M23/$M$9)))</f>
        <v/>
      </c>
      <c r="O23" s="54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6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20" t="n">
        <v>46600</v>
      </c>
      <c r="C24" s="65" t="n">
        <f aca="false">$B$5</f>
        <v>0.16</v>
      </c>
      <c r="D24" s="52"/>
      <c r="E24" s="28"/>
      <c r="F24" s="28"/>
      <c r="G24" s="59" t="str">
        <f aca="false">IF(D24="","",D24-C24)</f>
        <v/>
      </c>
      <c r="H24" s="14" t="str">
        <f aca="false">IF(D24="","",IF(D24&gt;=C24,"En meta",IF(D24&gt;=C24-0.01,"Riesgo","Atrasado")))</f>
        <v/>
      </c>
      <c r="I24" s="56"/>
      <c r="J24" s="60" t="str">
        <f aca="false">IF(I24="","",IF($I$9="","",IF($I$9=0,"",I24/$I$9)))</f>
        <v/>
      </c>
      <c r="K24" s="56"/>
      <c r="L24" s="60" t="str">
        <f aca="false">IF(K24="","",IF($K$9="","",IF($K$9=0,"",K24/$K$9)))</f>
        <v/>
      </c>
      <c r="M24" s="56"/>
      <c r="N24" s="60" t="str">
        <f aca="false">IF(M24="","",IF($M$9="","",IF($M$9=0,"",M24/$M$9)))</f>
        <v/>
      </c>
      <c r="O24" s="54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6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19" t="n">
        <v>46631</v>
      </c>
      <c r="C25" s="64" t="n">
        <f aca="false">$B$5</f>
        <v>0.16</v>
      </c>
      <c r="D25" s="52"/>
      <c r="E25" s="5"/>
      <c r="F25" s="5"/>
      <c r="G25" s="53" t="str">
        <f aca="false">IF(D25="","",D25-C25)</f>
        <v/>
      </c>
      <c r="H25" s="13" t="str">
        <f aca="false">IF(D25="","",IF(D25&gt;=C25,"En meta",IF(D25&gt;=C25-0.01,"Riesgo","Atrasado")))</f>
        <v/>
      </c>
      <c r="I25" s="56"/>
      <c r="J25" s="55" t="str">
        <f aca="false">IF(I25="","",IF($I$9="","",IF($I$9=0,"",I25/$I$9)))</f>
        <v/>
      </c>
      <c r="K25" s="56"/>
      <c r="L25" s="55" t="str">
        <f aca="false">IF(K25="","",IF($K$9="","",IF($K$9=0,"",K25/$K$9)))</f>
        <v/>
      </c>
      <c r="M25" s="56"/>
      <c r="N25" s="55" t="str">
        <f aca="false">IF(M25="","",IF($M$9="","",IF($M$9=0,"",M25/$M$9)))</f>
        <v/>
      </c>
      <c r="O25" s="54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6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20" t="n">
        <v>46661</v>
      </c>
      <c r="C26" s="65" t="n">
        <f aca="false">$B$5</f>
        <v>0.16</v>
      </c>
      <c r="D26" s="52"/>
      <c r="E26" s="28"/>
      <c r="F26" s="28"/>
      <c r="G26" s="59" t="str">
        <f aca="false">IF(D26="","",D26-C26)</f>
        <v/>
      </c>
      <c r="H26" s="14" t="str">
        <f aca="false">IF(D26="","",IF(D26&gt;=C26,"En meta",IF(D26&gt;=C26-0.01,"Riesgo","Atrasado")))</f>
        <v/>
      </c>
      <c r="I26" s="56"/>
      <c r="J26" s="60" t="str">
        <f aca="false">IF(I26="","",IF($I$9="","",IF($I$9=0,"",I26/$I$9)))</f>
        <v/>
      </c>
      <c r="K26" s="56"/>
      <c r="L26" s="60" t="str">
        <f aca="false">IF(K26="","",IF($K$9="","",IF($K$9=0,"",K26/$K$9)))</f>
        <v/>
      </c>
      <c r="M26" s="56"/>
      <c r="N26" s="60" t="str">
        <f aca="false">IF(M26="","",IF($M$9="","",IF($M$9=0,"",M26/$M$9)))</f>
        <v/>
      </c>
      <c r="O26" s="54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6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19" t="n">
        <v>46692</v>
      </c>
      <c r="C27" s="64" t="n">
        <f aca="false">$B$5</f>
        <v>0.16</v>
      </c>
      <c r="D27" s="52"/>
      <c r="E27" s="5"/>
      <c r="F27" s="5"/>
      <c r="G27" s="53" t="str">
        <f aca="false">IF(D27="","",D27-C27)</f>
        <v/>
      </c>
      <c r="H27" s="13" t="str">
        <f aca="false">IF(D27="","",IF(D27&gt;=C27,"En meta",IF(D27&gt;=C27-0.01,"Riesgo","Atrasado")))</f>
        <v/>
      </c>
      <c r="I27" s="56"/>
      <c r="J27" s="55" t="str">
        <f aca="false">IF(I27="","",IF($I$9="","",IF($I$9=0,"",I27/$I$9)))</f>
        <v/>
      </c>
      <c r="K27" s="56"/>
      <c r="L27" s="55" t="str">
        <f aca="false">IF(K27="","",IF($K$9="","",IF($K$9=0,"",K27/$K$9)))</f>
        <v/>
      </c>
      <c r="M27" s="56"/>
      <c r="N27" s="55" t="str">
        <f aca="false">IF(M27="","",IF($M$9="","",IF($M$9=0,"",M27/$M$9)))</f>
        <v/>
      </c>
      <c r="O27" s="54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6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20" t="n">
        <v>46722</v>
      </c>
      <c r="C28" s="65" t="n">
        <f aca="false">$B$5</f>
        <v>0.16</v>
      </c>
      <c r="D28" s="52"/>
      <c r="E28" s="28"/>
      <c r="F28" s="28"/>
      <c r="G28" s="59" t="str">
        <f aca="false">IF(D28="","",D28-C28)</f>
        <v/>
      </c>
      <c r="H28" s="14" t="str">
        <f aca="false">IF(D28="","",IF(D28&gt;=C28,"En meta",IF(D28&gt;=C28-0.01,"Riesgo","Atrasado")))</f>
        <v/>
      </c>
      <c r="I28" s="56"/>
      <c r="J28" s="60" t="str">
        <f aca="false">IF(I28="","",IF($I$9="","",IF($I$9=0,"",I28/$I$9)))</f>
        <v/>
      </c>
      <c r="K28" s="56"/>
      <c r="L28" s="60" t="str">
        <f aca="false">IF(K28="","",IF($K$9="","",IF($K$9=0,"",K28/$K$9)))</f>
        <v/>
      </c>
      <c r="M28" s="56"/>
      <c r="N28" s="60" t="str">
        <f aca="false">IF(M28="","",IF($M$9="","",IF($M$9=0,"",M28/$M$9)))</f>
        <v/>
      </c>
      <c r="O28" s="54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6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170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171</v>
      </c>
    </row>
    <row r="3" customFormat="false" ht="15" hidden="false" customHeight="false" outlineLevel="0" collapsed="false">
      <c r="A3" s="17" t="s">
        <v>77</v>
      </c>
      <c r="B3" s="40" t="s">
        <v>172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63</v>
      </c>
    </row>
    <row r="5" customFormat="false" ht="15" hidden="false" customHeight="false" outlineLevel="0" collapsed="false">
      <c r="A5" s="17" t="s">
        <v>82</v>
      </c>
      <c r="B5" s="69" t="n">
        <v>4.5</v>
      </c>
      <c r="D5" s="17" t="s">
        <v>83</v>
      </c>
      <c r="E5" s="43" t="n">
        <v>46204</v>
      </c>
      <c r="G5" s="17" t="s">
        <v>84</v>
      </c>
      <c r="H5" s="43" t="n">
        <v>46722</v>
      </c>
    </row>
    <row r="6" customFormat="false" ht="15" hidden="false" customHeight="false" outlineLevel="0" collapsed="false">
      <c r="A6" s="17" t="s">
        <v>85</v>
      </c>
      <c r="B6" s="40" t="s">
        <v>163</v>
      </c>
    </row>
    <row r="8" customFormat="false" ht="42" hidden="false" customHeight="true" outlineLevel="0" collapsed="false">
      <c r="A8" s="17" t="s">
        <v>87</v>
      </c>
      <c r="B8" s="44" t="n">
        <f aca="false">COUNT(A11:A28)</f>
        <v>18</v>
      </c>
      <c r="H8" s="45" t="s">
        <v>88</v>
      </c>
      <c r="I8" s="46" t="s">
        <v>173</v>
      </c>
      <c r="J8" s="46"/>
      <c r="K8" s="46" t="s">
        <v>174</v>
      </c>
      <c r="L8" s="46"/>
      <c r="M8" s="46" t="s">
        <v>175</v>
      </c>
      <c r="N8" s="46"/>
      <c r="O8" s="46" t="s">
        <v>176</v>
      </c>
      <c r="P8" s="46"/>
      <c r="Q8" s="46" t="s">
        <v>177</v>
      </c>
      <c r="R8" s="46"/>
      <c r="S8" s="46" t="s">
        <v>178</v>
      </c>
      <c r="T8" s="46"/>
      <c r="U8" s="46" t="s">
        <v>96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8" t="n">
        <v>0.6</v>
      </c>
      <c r="J9" s="48"/>
      <c r="K9" s="47" t="n">
        <v>8</v>
      </c>
      <c r="L9" s="47"/>
      <c r="M9" s="48" t="n">
        <v>1</v>
      </c>
      <c r="N9" s="48"/>
      <c r="O9" s="48" t="n">
        <v>0.95</v>
      </c>
      <c r="P9" s="48"/>
      <c r="Q9" s="47" t="n">
        <v>12</v>
      </c>
      <c r="R9" s="47"/>
      <c r="S9" s="47" t="n">
        <v>3</v>
      </c>
      <c r="T9" s="47"/>
      <c r="U9" s="47"/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26</v>
      </c>
      <c r="C10" s="4" t="s">
        <v>36</v>
      </c>
      <c r="D10" s="4" t="s">
        <v>101</v>
      </c>
      <c r="E10" s="4"/>
      <c r="F10" s="4"/>
      <c r="G10" s="4" t="s">
        <v>132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19" t="n">
        <v>46204</v>
      </c>
      <c r="C11" s="70" t="n">
        <f aca="false">$B$5</f>
        <v>4.5</v>
      </c>
      <c r="D11" s="52"/>
      <c r="E11" s="5"/>
      <c r="F11" s="5"/>
      <c r="G11" s="71" t="str">
        <f aca="false">IF(D11="","",D11-C11)</f>
        <v/>
      </c>
      <c r="H11" s="13" t="str">
        <f aca="false">IF(D11="","",IF(D11&gt;=C11,"En meta",IF(D11&gt;=C11-0.3,"Riesgo","Atrasado")))</f>
        <v/>
      </c>
      <c r="I11" s="56"/>
      <c r="J11" s="55" t="str">
        <f aca="false">IF(I11="","",IF($I$9="","",IF($I$9=0,"",I11/$I$9)))</f>
        <v/>
      </c>
      <c r="K11" s="54"/>
      <c r="L11" s="55" t="str">
        <f aca="false">IF(K11="","",IF($K$9="","",IF($K$9=0,"",K11/$K$9)))</f>
        <v/>
      </c>
      <c r="M11" s="56"/>
      <c r="N11" s="55" t="str">
        <f aca="false">IF(M11="","",IF($M$9="","",IF($M$9=0,"",M11/$M$9)))</f>
        <v/>
      </c>
      <c r="O11" s="56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4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20" t="n">
        <v>46235</v>
      </c>
      <c r="C12" s="72" t="n">
        <f aca="false">$B$5</f>
        <v>4.5</v>
      </c>
      <c r="D12" s="52"/>
      <c r="E12" s="28"/>
      <c r="F12" s="28"/>
      <c r="G12" s="73" t="str">
        <f aca="false">IF(D12="","",D12-C12)</f>
        <v/>
      </c>
      <c r="H12" s="14" t="str">
        <f aca="false">IF(D12="","",IF(D12&gt;=C12,"En meta",IF(D12&gt;=C12-0.3,"Riesgo","Atrasado")))</f>
        <v/>
      </c>
      <c r="I12" s="56"/>
      <c r="J12" s="60" t="str">
        <f aca="false">IF(I12="","",IF($I$9="","",IF($I$9=0,"",I12/$I$9)))</f>
        <v/>
      </c>
      <c r="K12" s="54"/>
      <c r="L12" s="60" t="str">
        <f aca="false">IF(K12="","",IF($K$9="","",IF($K$9=0,"",K12/$K$9)))</f>
        <v/>
      </c>
      <c r="M12" s="56"/>
      <c r="N12" s="60" t="str">
        <f aca="false">IF(M12="","",IF($M$9="","",IF($M$9=0,"",M12/$M$9)))</f>
        <v/>
      </c>
      <c r="O12" s="56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4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19" t="n">
        <v>46266</v>
      </c>
      <c r="C13" s="70" t="n">
        <f aca="false">$B$5</f>
        <v>4.5</v>
      </c>
      <c r="D13" s="52"/>
      <c r="E13" s="5"/>
      <c r="F13" s="5"/>
      <c r="G13" s="71" t="str">
        <f aca="false">IF(D13="","",D13-C13)</f>
        <v/>
      </c>
      <c r="H13" s="13" t="str">
        <f aca="false">IF(D13="","",IF(D13&gt;=C13,"En meta",IF(D13&gt;=C13-0.3,"Riesgo","Atrasado")))</f>
        <v/>
      </c>
      <c r="I13" s="56"/>
      <c r="J13" s="55" t="str">
        <f aca="false">IF(I13="","",IF($I$9="","",IF($I$9=0,"",I13/$I$9)))</f>
        <v/>
      </c>
      <c r="K13" s="54"/>
      <c r="L13" s="55" t="str">
        <f aca="false">IF(K13="","",IF($K$9="","",IF($K$9=0,"",K13/$K$9)))</f>
        <v/>
      </c>
      <c r="M13" s="56"/>
      <c r="N13" s="55" t="str">
        <f aca="false">IF(M13="","",IF($M$9="","",IF($M$9=0,"",M13/$M$9)))</f>
        <v/>
      </c>
      <c r="O13" s="56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4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20" t="n">
        <v>46296</v>
      </c>
      <c r="C14" s="72" t="n">
        <f aca="false">$B$5</f>
        <v>4.5</v>
      </c>
      <c r="D14" s="52"/>
      <c r="E14" s="28"/>
      <c r="F14" s="28"/>
      <c r="G14" s="73" t="str">
        <f aca="false">IF(D14="","",D14-C14)</f>
        <v/>
      </c>
      <c r="H14" s="14" t="str">
        <f aca="false">IF(D14="","",IF(D14&gt;=C14,"En meta",IF(D14&gt;=C14-0.3,"Riesgo","Atrasado")))</f>
        <v/>
      </c>
      <c r="I14" s="56"/>
      <c r="J14" s="60" t="str">
        <f aca="false">IF(I14="","",IF($I$9="","",IF($I$9=0,"",I14/$I$9)))</f>
        <v/>
      </c>
      <c r="K14" s="54"/>
      <c r="L14" s="60" t="str">
        <f aca="false">IF(K14="","",IF($K$9="","",IF($K$9=0,"",K14/$K$9)))</f>
        <v/>
      </c>
      <c r="M14" s="56"/>
      <c r="N14" s="60" t="str">
        <f aca="false">IF(M14="","",IF($M$9="","",IF($M$9=0,"",M14/$M$9)))</f>
        <v/>
      </c>
      <c r="O14" s="56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4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19" t="n">
        <v>46327</v>
      </c>
      <c r="C15" s="70" t="n">
        <f aca="false">$B$5</f>
        <v>4.5</v>
      </c>
      <c r="D15" s="52"/>
      <c r="E15" s="5"/>
      <c r="F15" s="5"/>
      <c r="G15" s="71" t="str">
        <f aca="false">IF(D15="","",D15-C15)</f>
        <v/>
      </c>
      <c r="H15" s="13" t="str">
        <f aca="false">IF(D15="","",IF(D15&gt;=C15,"En meta",IF(D15&gt;=C15-0.3,"Riesgo","Atrasado")))</f>
        <v/>
      </c>
      <c r="I15" s="56"/>
      <c r="J15" s="55" t="str">
        <f aca="false">IF(I15="","",IF($I$9="","",IF($I$9=0,"",I15/$I$9)))</f>
        <v/>
      </c>
      <c r="K15" s="54"/>
      <c r="L15" s="55" t="str">
        <f aca="false">IF(K15="","",IF($K$9="","",IF($K$9=0,"",K15/$K$9)))</f>
        <v/>
      </c>
      <c r="M15" s="56"/>
      <c r="N15" s="55" t="str">
        <f aca="false">IF(M15="","",IF($M$9="","",IF($M$9=0,"",M15/$M$9)))</f>
        <v/>
      </c>
      <c r="O15" s="56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4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20" t="n">
        <v>46357</v>
      </c>
      <c r="C16" s="72" t="n">
        <f aca="false">$B$5</f>
        <v>4.5</v>
      </c>
      <c r="D16" s="52"/>
      <c r="E16" s="28"/>
      <c r="F16" s="28"/>
      <c r="G16" s="73" t="str">
        <f aca="false">IF(D16="","",D16-C16)</f>
        <v/>
      </c>
      <c r="H16" s="14" t="str">
        <f aca="false">IF(D16="","",IF(D16&gt;=C16,"En meta",IF(D16&gt;=C16-0.3,"Riesgo","Atrasado")))</f>
        <v/>
      </c>
      <c r="I16" s="56"/>
      <c r="J16" s="60" t="str">
        <f aca="false">IF(I16="","",IF($I$9="","",IF($I$9=0,"",I16/$I$9)))</f>
        <v/>
      </c>
      <c r="K16" s="54"/>
      <c r="L16" s="60" t="str">
        <f aca="false">IF(K16="","",IF($K$9="","",IF($K$9=0,"",K16/$K$9)))</f>
        <v/>
      </c>
      <c r="M16" s="56"/>
      <c r="N16" s="60" t="str">
        <f aca="false">IF(M16="","",IF($M$9="","",IF($M$9=0,"",M16/$M$9)))</f>
        <v/>
      </c>
      <c r="O16" s="56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4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19" t="n">
        <v>46388</v>
      </c>
      <c r="C17" s="70" t="n">
        <f aca="false">$B$5</f>
        <v>4.5</v>
      </c>
      <c r="D17" s="52"/>
      <c r="E17" s="5"/>
      <c r="F17" s="5"/>
      <c r="G17" s="71" t="str">
        <f aca="false">IF(D17="","",D17-C17)</f>
        <v/>
      </c>
      <c r="H17" s="13" t="str">
        <f aca="false">IF(D17="","",IF(D17&gt;=C17,"En meta",IF(D17&gt;=C17-0.3,"Riesgo","Atrasado")))</f>
        <v/>
      </c>
      <c r="I17" s="56"/>
      <c r="J17" s="55" t="str">
        <f aca="false">IF(I17="","",IF($I$9="","",IF($I$9=0,"",I17/$I$9)))</f>
        <v/>
      </c>
      <c r="K17" s="54"/>
      <c r="L17" s="55" t="str">
        <f aca="false">IF(K17="","",IF($K$9="","",IF($K$9=0,"",K17/$K$9)))</f>
        <v/>
      </c>
      <c r="M17" s="56"/>
      <c r="N17" s="55" t="str">
        <f aca="false">IF(M17="","",IF($M$9="","",IF($M$9=0,"",M17/$M$9)))</f>
        <v/>
      </c>
      <c r="O17" s="56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4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20" t="n">
        <v>46419</v>
      </c>
      <c r="C18" s="72" t="n">
        <f aca="false">$B$5</f>
        <v>4.5</v>
      </c>
      <c r="D18" s="52"/>
      <c r="E18" s="28"/>
      <c r="F18" s="28"/>
      <c r="G18" s="73" t="str">
        <f aca="false">IF(D18="","",D18-C18)</f>
        <v/>
      </c>
      <c r="H18" s="14" t="str">
        <f aca="false">IF(D18="","",IF(D18&gt;=C18,"En meta",IF(D18&gt;=C18-0.3,"Riesgo","Atrasado")))</f>
        <v/>
      </c>
      <c r="I18" s="56"/>
      <c r="J18" s="60" t="str">
        <f aca="false">IF(I18="","",IF($I$9="","",IF($I$9=0,"",I18/$I$9)))</f>
        <v/>
      </c>
      <c r="K18" s="54"/>
      <c r="L18" s="60" t="str">
        <f aca="false">IF(K18="","",IF($K$9="","",IF($K$9=0,"",K18/$K$9)))</f>
        <v/>
      </c>
      <c r="M18" s="56"/>
      <c r="N18" s="60" t="str">
        <f aca="false">IF(M18="","",IF($M$9="","",IF($M$9=0,"",M18/$M$9)))</f>
        <v/>
      </c>
      <c r="O18" s="56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4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19" t="n">
        <v>46447</v>
      </c>
      <c r="C19" s="70" t="n">
        <f aca="false">$B$5</f>
        <v>4.5</v>
      </c>
      <c r="D19" s="52"/>
      <c r="E19" s="5"/>
      <c r="F19" s="5"/>
      <c r="G19" s="71" t="str">
        <f aca="false">IF(D19="","",D19-C19)</f>
        <v/>
      </c>
      <c r="H19" s="13" t="str">
        <f aca="false">IF(D19="","",IF(D19&gt;=C19,"En meta",IF(D19&gt;=C19-0.3,"Riesgo","Atrasado")))</f>
        <v/>
      </c>
      <c r="I19" s="56"/>
      <c r="J19" s="55" t="str">
        <f aca="false">IF(I19="","",IF($I$9="","",IF($I$9=0,"",I19/$I$9)))</f>
        <v/>
      </c>
      <c r="K19" s="54"/>
      <c r="L19" s="55" t="str">
        <f aca="false">IF(K19="","",IF($K$9="","",IF($K$9=0,"",K19/$K$9)))</f>
        <v/>
      </c>
      <c r="M19" s="56"/>
      <c r="N19" s="55" t="str">
        <f aca="false">IF(M19="","",IF($M$9="","",IF($M$9=0,"",M19/$M$9)))</f>
        <v/>
      </c>
      <c r="O19" s="56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4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20" t="n">
        <v>46478</v>
      </c>
      <c r="C20" s="72" t="n">
        <f aca="false">$B$5</f>
        <v>4.5</v>
      </c>
      <c r="D20" s="52"/>
      <c r="E20" s="28"/>
      <c r="F20" s="28"/>
      <c r="G20" s="73" t="str">
        <f aca="false">IF(D20="","",D20-C20)</f>
        <v/>
      </c>
      <c r="H20" s="14" t="str">
        <f aca="false">IF(D20="","",IF(D20&gt;=C20,"En meta",IF(D20&gt;=C20-0.3,"Riesgo","Atrasado")))</f>
        <v/>
      </c>
      <c r="I20" s="56"/>
      <c r="J20" s="60" t="str">
        <f aca="false">IF(I20="","",IF($I$9="","",IF($I$9=0,"",I20/$I$9)))</f>
        <v/>
      </c>
      <c r="K20" s="54"/>
      <c r="L20" s="60" t="str">
        <f aca="false">IF(K20="","",IF($K$9="","",IF($K$9=0,"",K20/$K$9)))</f>
        <v/>
      </c>
      <c r="M20" s="56"/>
      <c r="N20" s="60" t="str">
        <f aca="false">IF(M20="","",IF($M$9="","",IF($M$9=0,"",M20/$M$9)))</f>
        <v/>
      </c>
      <c r="O20" s="56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4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19" t="n">
        <v>46508</v>
      </c>
      <c r="C21" s="70" t="n">
        <f aca="false">$B$5</f>
        <v>4.5</v>
      </c>
      <c r="D21" s="52"/>
      <c r="E21" s="5"/>
      <c r="F21" s="5"/>
      <c r="G21" s="71" t="str">
        <f aca="false">IF(D21="","",D21-C21)</f>
        <v/>
      </c>
      <c r="H21" s="13" t="str">
        <f aca="false">IF(D21="","",IF(D21&gt;=C21,"En meta",IF(D21&gt;=C21-0.3,"Riesgo","Atrasado")))</f>
        <v/>
      </c>
      <c r="I21" s="56"/>
      <c r="J21" s="55" t="str">
        <f aca="false">IF(I21="","",IF($I$9="","",IF($I$9=0,"",I21/$I$9)))</f>
        <v/>
      </c>
      <c r="K21" s="54"/>
      <c r="L21" s="55" t="str">
        <f aca="false">IF(K21="","",IF($K$9="","",IF($K$9=0,"",K21/$K$9)))</f>
        <v/>
      </c>
      <c r="M21" s="56"/>
      <c r="N21" s="55" t="str">
        <f aca="false">IF(M21="","",IF($M$9="","",IF($M$9=0,"",M21/$M$9)))</f>
        <v/>
      </c>
      <c r="O21" s="56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4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20" t="n">
        <v>46539</v>
      </c>
      <c r="C22" s="72" t="n">
        <f aca="false">$B$5</f>
        <v>4.5</v>
      </c>
      <c r="D22" s="52"/>
      <c r="E22" s="28"/>
      <c r="F22" s="28"/>
      <c r="G22" s="73" t="str">
        <f aca="false">IF(D22="","",D22-C22)</f>
        <v/>
      </c>
      <c r="H22" s="14" t="str">
        <f aca="false">IF(D22="","",IF(D22&gt;=C22,"En meta",IF(D22&gt;=C22-0.3,"Riesgo","Atrasado")))</f>
        <v/>
      </c>
      <c r="I22" s="56"/>
      <c r="J22" s="60" t="str">
        <f aca="false">IF(I22="","",IF($I$9="","",IF($I$9=0,"",I22/$I$9)))</f>
        <v/>
      </c>
      <c r="K22" s="54"/>
      <c r="L22" s="60" t="str">
        <f aca="false">IF(K22="","",IF($K$9="","",IF($K$9=0,"",K22/$K$9)))</f>
        <v/>
      </c>
      <c r="M22" s="56"/>
      <c r="N22" s="60" t="str">
        <f aca="false">IF(M22="","",IF($M$9="","",IF($M$9=0,"",M22/$M$9)))</f>
        <v/>
      </c>
      <c r="O22" s="56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4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19" t="n">
        <v>46569</v>
      </c>
      <c r="C23" s="70" t="n">
        <f aca="false">$B$5</f>
        <v>4.5</v>
      </c>
      <c r="D23" s="52"/>
      <c r="E23" s="5"/>
      <c r="F23" s="5"/>
      <c r="G23" s="71" t="str">
        <f aca="false">IF(D23="","",D23-C23)</f>
        <v/>
      </c>
      <c r="H23" s="13" t="str">
        <f aca="false">IF(D23="","",IF(D23&gt;=C23,"En meta",IF(D23&gt;=C23-0.3,"Riesgo","Atrasado")))</f>
        <v/>
      </c>
      <c r="I23" s="56"/>
      <c r="J23" s="55" t="str">
        <f aca="false">IF(I23="","",IF($I$9="","",IF($I$9=0,"",I23/$I$9)))</f>
        <v/>
      </c>
      <c r="K23" s="54"/>
      <c r="L23" s="55" t="str">
        <f aca="false">IF(K23="","",IF($K$9="","",IF($K$9=0,"",K23/$K$9)))</f>
        <v/>
      </c>
      <c r="M23" s="56"/>
      <c r="N23" s="55" t="str">
        <f aca="false">IF(M23="","",IF($M$9="","",IF($M$9=0,"",M23/$M$9)))</f>
        <v/>
      </c>
      <c r="O23" s="56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4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20" t="n">
        <v>46600</v>
      </c>
      <c r="C24" s="72" t="n">
        <f aca="false">$B$5</f>
        <v>4.5</v>
      </c>
      <c r="D24" s="52"/>
      <c r="E24" s="28"/>
      <c r="F24" s="28"/>
      <c r="G24" s="73" t="str">
        <f aca="false">IF(D24="","",D24-C24)</f>
        <v/>
      </c>
      <c r="H24" s="14" t="str">
        <f aca="false">IF(D24="","",IF(D24&gt;=C24,"En meta",IF(D24&gt;=C24-0.3,"Riesgo","Atrasado")))</f>
        <v/>
      </c>
      <c r="I24" s="56"/>
      <c r="J24" s="60" t="str">
        <f aca="false">IF(I24="","",IF($I$9="","",IF($I$9=0,"",I24/$I$9)))</f>
        <v/>
      </c>
      <c r="K24" s="54"/>
      <c r="L24" s="60" t="str">
        <f aca="false">IF(K24="","",IF($K$9="","",IF($K$9=0,"",K24/$K$9)))</f>
        <v/>
      </c>
      <c r="M24" s="56"/>
      <c r="N24" s="60" t="str">
        <f aca="false">IF(M24="","",IF($M$9="","",IF($M$9=0,"",M24/$M$9)))</f>
        <v/>
      </c>
      <c r="O24" s="56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4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19" t="n">
        <v>46631</v>
      </c>
      <c r="C25" s="70" t="n">
        <f aca="false">$B$5</f>
        <v>4.5</v>
      </c>
      <c r="D25" s="52"/>
      <c r="E25" s="5"/>
      <c r="F25" s="5"/>
      <c r="G25" s="71" t="str">
        <f aca="false">IF(D25="","",D25-C25)</f>
        <v/>
      </c>
      <c r="H25" s="13" t="str">
        <f aca="false">IF(D25="","",IF(D25&gt;=C25,"En meta",IF(D25&gt;=C25-0.3,"Riesgo","Atrasado")))</f>
        <v/>
      </c>
      <c r="I25" s="56"/>
      <c r="J25" s="55" t="str">
        <f aca="false">IF(I25="","",IF($I$9="","",IF($I$9=0,"",I25/$I$9)))</f>
        <v/>
      </c>
      <c r="K25" s="54"/>
      <c r="L25" s="55" t="str">
        <f aca="false">IF(K25="","",IF($K$9="","",IF($K$9=0,"",K25/$K$9)))</f>
        <v/>
      </c>
      <c r="M25" s="56"/>
      <c r="N25" s="55" t="str">
        <f aca="false">IF(M25="","",IF($M$9="","",IF($M$9=0,"",M25/$M$9)))</f>
        <v/>
      </c>
      <c r="O25" s="56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4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20" t="n">
        <v>46661</v>
      </c>
      <c r="C26" s="72" t="n">
        <f aca="false">$B$5</f>
        <v>4.5</v>
      </c>
      <c r="D26" s="52"/>
      <c r="E26" s="28"/>
      <c r="F26" s="28"/>
      <c r="G26" s="73" t="str">
        <f aca="false">IF(D26="","",D26-C26)</f>
        <v/>
      </c>
      <c r="H26" s="14" t="str">
        <f aca="false">IF(D26="","",IF(D26&gt;=C26,"En meta",IF(D26&gt;=C26-0.3,"Riesgo","Atrasado")))</f>
        <v/>
      </c>
      <c r="I26" s="56"/>
      <c r="J26" s="60" t="str">
        <f aca="false">IF(I26="","",IF($I$9="","",IF($I$9=0,"",I26/$I$9)))</f>
        <v/>
      </c>
      <c r="K26" s="54"/>
      <c r="L26" s="60" t="str">
        <f aca="false">IF(K26="","",IF($K$9="","",IF($K$9=0,"",K26/$K$9)))</f>
        <v/>
      </c>
      <c r="M26" s="56"/>
      <c r="N26" s="60" t="str">
        <f aca="false">IF(M26="","",IF($M$9="","",IF($M$9=0,"",M26/$M$9)))</f>
        <v/>
      </c>
      <c r="O26" s="56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4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19" t="n">
        <v>46692</v>
      </c>
      <c r="C27" s="70" t="n">
        <f aca="false">$B$5</f>
        <v>4.5</v>
      </c>
      <c r="D27" s="52"/>
      <c r="E27" s="5"/>
      <c r="F27" s="5"/>
      <c r="G27" s="71" t="str">
        <f aca="false">IF(D27="","",D27-C27)</f>
        <v/>
      </c>
      <c r="H27" s="13" t="str">
        <f aca="false">IF(D27="","",IF(D27&gt;=C27,"En meta",IF(D27&gt;=C27-0.3,"Riesgo","Atrasado")))</f>
        <v/>
      </c>
      <c r="I27" s="56"/>
      <c r="J27" s="55" t="str">
        <f aca="false">IF(I27="","",IF($I$9="","",IF($I$9=0,"",I27/$I$9)))</f>
        <v/>
      </c>
      <c r="K27" s="54"/>
      <c r="L27" s="55" t="str">
        <f aca="false">IF(K27="","",IF($K$9="","",IF($K$9=0,"",K27/$K$9)))</f>
        <v/>
      </c>
      <c r="M27" s="56"/>
      <c r="N27" s="55" t="str">
        <f aca="false">IF(M27="","",IF($M$9="","",IF($M$9=0,"",M27/$M$9)))</f>
        <v/>
      </c>
      <c r="O27" s="56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4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20" t="n">
        <v>46722</v>
      </c>
      <c r="C28" s="72" t="n">
        <f aca="false">$B$5</f>
        <v>4.5</v>
      </c>
      <c r="D28" s="52"/>
      <c r="E28" s="28"/>
      <c r="F28" s="28"/>
      <c r="G28" s="73" t="str">
        <f aca="false">IF(D28="","",D28-C28)</f>
        <v/>
      </c>
      <c r="H28" s="14" t="str">
        <f aca="false">IF(D28="","",IF(D28&gt;=C28,"En meta",IF(D28&gt;=C28-0.3,"Riesgo","Atrasado")))</f>
        <v/>
      </c>
      <c r="I28" s="56"/>
      <c r="J28" s="60" t="str">
        <f aca="false">IF(I28="","",IF($I$9="","",IF($I$9=0,"",I28/$I$9)))</f>
        <v/>
      </c>
      <c r="K28" s="54"/>
      <c r="L28" s="60" t="str">
        <f aca="false">IF(K28="","",IF($K$9="","",IF($K$9=0,"",K28/$K$9)))</f>
        <v/>
      </c>
      <c r="M28" s="56"/>
      <c r="N28" s="60" t="str">
        <f aca="false">IF(M28="","",IF($M$9="","",IF($M$9=0,"",M28/$M$9)))</f>
        <v/>
      </c>
      <c r="O28" s="56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4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179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180</v>
      </c>
    </row>
    <row r="3" customFormat="false" ht="15" hidden="false" customHeight="false" outlineLevel="0" collapsed="false">
      <c r="A3" s="17" t="s">
        <v>77</v>
      </c>
      <c r="B3" s="40" t="s">
        <v>181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66</v>
      </c>
    </row>
    <row r="5" customFormat="false" ht="15" hidden="false" customHeight="false" outlineLevel="0" collapsed="false">
      <c r="A5" s="17" t="s">
        <v>82</v>
      </c>
      <c r="B5" s="63" t="n">
        <v>0.09</v>
      </c>
      <c r="D5" s="17" t="s">
        <v>83</v>
      </c>
      <c r="E5" s="43" t="n">
        <v>46204</v>
      </c>
      <c r="G5" s="17" t="s">
        <v>84</v>
      </c>
      <c r="H5" s="43" t="n">
        <v>46722</v>
      </c>
    </row>
    <row r="6" customFormat="false" ht="15" hidden="false" customHeight="false" outlineLevel="0" collapsed="false">
      <c r="A6" s="17" t="s">
        <v>85</v>
      </c>
      <c r="B6" s="40" t="s">
        <v>163</v>
      </c>
    </row>
    <row r="8" customFormat="false" ht="42" hidden="false" customHeight="true" outlineLevel="0" collapsed="false">
      <c r="A8" s="17" t="s">
        <v>87</v>
      </c>
      <c r="B8" s="44" t="n">
        <f aca="false">COUNT(A11:A28)</f>
        <v>18</v>
      </c>
      <c r="H8" s="45" t="s">
        <v>88</v>
      </c>
      <c r="I8" s="46" t="s">
        <v>182</v>
      </c>
      <c r="J8" s="46"/>
      <c r="K8" s="46" t="s">
        <v>183</v>
      </c>
      <c r="L8" s="46"/>
      <c r="M8" s="46" t="s">
        <v>184</v>
      </c>
      <c r="N8" s="46"/>
      <c r="O8" s="46" t="s">
        <v>185</v>
      </c>
      <c r="P8" s="46"/>
      <c r="Q8" s="46" t="s">
        <v>186</v>
      </c>
      <c r="R8" s="46"/>
      <c r="S8" s="46" t="s">
        <v>187</v>
      </c>
      <c r="T8" s="46"/>
      <c r="U8" s="46" t="s">
        <v>96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8" t="n">
        <v>1</v>
      </c>
      <c r="J9" s="48"/>
      <c r="K9" s="48" t="n">
        <v>1</v>
      </c>
      <c r="L9" s="48"/>
      <c r="M9" s="47" t="n">
        <v>1</v>
      </c>
      <c r="N9" s="47"/>
      <c r="O9" s="48" t="n">
        <v>1</v>
      </c>
      <c r="P9" s="48"/>
      <c r="Q9" s="47" t="n">
        <v>1</v>
      </c>
      <c r="R9" s="47"/>
      <c r="S9" s="47" t="n">
        <v>1</v>
      </c>
      <c r="T9" s="47"/>
      <c r="U9" s="47"/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26</v>
      </c>
      <c r="C10" s="4" t="s">
        <v>36</v>
      </c>
      <c r="D10" s="4" t="s">
        <v>101</v>
      </c>
      <c r="E10" s="4"/>
      <c r="F10" s="4"/>
      <c r="G10" s="4" t="s">
        <v>132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19" t="n">
        <v>46204</v>
      </c>
      <c r="C11" s="64" t="n">
        <f aca="false">$B$5</f>
        <v>0.09</v>
      </c>
      <c r="D11" s="52"/>
      <c r="E11" s="5"/>
      <c r="F11" s="5"/>
      <c r="G11" s="53" t="str">
        <f aca="false">IF(D11="","",D11-C11)</f>
        <v/>
      </c>
      <c r="H11" s="13" t="str">
        <f aca="false">IF(D11="","",IF(D11&lt;=C11,"En meta",IF(D11&lt;=C11+0.01,"Riesgo","Atrasado")))</f>
        <v/>
      </c>
      <c r="I11" s="56"/>
      <c r="J11" s="55" t="str">
        <f aca="false">IF(I11="","",IF($I$9="","",IF($I$9=0,"",I11/$I$9)))</f>
        <v/>
      </c>
      <c r="K11" s="56"/>
      <c r="L11" s="55" t="str">
        <f aca="false">IF(K11="","",IF($K$9="","",IF($K$9=0,"",K11/$K$9)))</f>
        <v/>
      </c>
      <c r="M11" s="54"/>
      <c r="N11" s="55" t="str">
        <f aca="false">IF(M11="","",IF($M$9="","",IF($M$9=0,"",M11/$M$9)))</f>
        <v/>
      </c>
      <c r="O11" s="56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4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20" t="n">
        <v>46235</v>
      </c>
      <c r="C12" s="65" t="n">
        <f aca="false">$B$5</f>
        <v>0.09</v>
      </c>
      <c r="D12" s="52"/>
      <c r="E12" s="28"/>
      <c r="F12" s="28"/>
      <c r="G12" s="59" t="str">
        <f aca="false">IF(D12="","",D12-C12)</f>
        <v/>
      </c>
      <c r="H12" s="14" t="str">
        <f aca="false">IF(D12="","",IF(D12&lt;=C12,"En meta",IF(D12&lt;=C12+0.01,"Riesgo","Atrasado")))</f>
        <v/>
      </c>
      <c r="I12" s="56"/>
      <c r="J12" s="60" t="str">
        <f aca="false">IF(I12="","",IF($I$9="","",IF($I$9=0,"",I12/$I$9)))</f>
        <v/>
      </c>
      <c r="K12" s="56"/>
      <c r="L12" s="60" t="str">
        <f aca="false">IF(K12="","",IF($K$9="","",IF($K$9=0,"",K12/$K$9)))</f>
        <v/>
      </c>
      <c r="M12" s="54"/>
      <c r="N12" s="60" t="str">
        <f aca="false">IF(M12="","",IF($M$9="","",IF($M$9=0,"",M12/$M$9)))</f>
        <v/>
      </c>
      <c r="O12" s="56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4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19" t="n">
        <v>46266</v>
      </c>
      <c r="C13" s="64" t="n">
        <f aca="false">$B$5</f>
        <v>0.09</v>
      </c>
      <c r="D13" s="52"/>
      <c r="E13" s="5"/>
      <c r="F13" s="5"/>
      <c r="G13" s="53" t="str">
        <f aca="false">IF(D13="","",D13-C13)</f>
        <v/>
      </c>
      <c r="H13" s="13" t="str">
        <f aca="false">IF(D13="","",IF(D13&lt;=C13,"En meta",IF(D13&lt;=C13+0.01,"Riesgo","Atrasado")))</f>
        <v/>
      </c>
      <c r="I13" s="56"/>
      <c r="J13" s="55" t="str">
        <f aca="false">IF(I13="","",IF($I$9="","",IF($I$9=0,"",I13/$I$9)))</f>
        <v/>
      </c>
      <c r="K13" s="56"/>
      <c r="L13" s="55" t="str">
        <f aca="false">IF(K13="","",IF($K$9="","",IF($K$9=0,"",K13/$K$9)))</f>
        <v/>
      </c>
      <c r="M13" s="54"/>
      <c r="N13" s="55" t="str">
        <f aca="false">IF(M13="","",IF($M$9="","",IF($M$9=0,"",M13/$M$9)))</f>
        <v/>
      </c>
      <c r="O13" s="56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4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20" t="n">
        <v>46296</v>
      </c>
      <c r="C14" s="65" t="n">
        <f aca="false">$B$5</f>
        <v>0.09</v>
      </c>
      <c r="D14" s="52"/>
      <c r="E14" s="28"/>
      <c r="F14" s="28"/>
      <c r="G14" s="59" t="str">
        <f aca="false">IF(D14="","",D14-C14)</f>
        <v/>
      </c>
      <c r="H14" s="14" t="str">
        <f aca="false">IF(D14="","",IF(D14&lt;=C14,"En meta",IF(D14&lt;=C14+0.01,"Riesgo","Atrasado")))</f>
        <v/>
      </c>
      <c r="I14" s="56"/>
      <c r="J14" s="60" t="str">
        <f aca="false">IF(I14="","",IF($I$9="","",IF($I$9=0,"",I14/$I$9)))</f>
        <v/>
      </c>
      <c r="K14" s="56"/>
      <c r="L14" s="60" t="str">
        <f aca="false">IF(K14="","",IF($K$9="","",IF($K$9=0,"",K14/$K$9)))</f>
        <v/>
      </c>
      <c r="M14" s="54"/>
      <c r="N14" s="60" t="str">
        <f aca="false">IF(M14="","",IF($M$9="","",IF($M$9=0,"",M14/$M$9)))</f>
        <v/>
      </c>
      <c r="O14" s="56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4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19" t="n">
        <v>46327</v>
      </c>
      <c r="C15" s="64" t="n">
        <f aca="false">$B$5</f>
        <v>0.09</v>
      </c>
      <c r="D15" s="52"/>
      <c r="E15" s="5"/>
      <c r="F15" s="5"/>
      <c r="G15" s="53" t="str">
        <f aca="false">IF(D15="","",D15-C15)</f>
        <v/>
      </c>
      <c r="H15" s="13" t="str">
        <f aca="false">IF(D15="","",IF(D15&lt;=C15,"En meta",IF(D15&lt;=C15+0.01,"Riesgo","Atrasado")))</f>
        <v/>
      </c>
      <c r="I15" s="56"/>
      <c r="J15" s="55" t="str">
        <f aca="false">IF(I15="","",IF($I$9="","",IF($I$9=0,"",I15/$I$9)))</f>
        <v/>
      </c>
      <c r="K15" s="56"/>
      <c r="L15" s="55" t="str">
        <f aca="false">IF(K15="","",IF($K$9="","",IF($K$9=0,"",K15/$K$9)))</f>
        <v/>
      </c>
      <c r="M15" s="54"/>
      <c r="N15" s="55" t="str">
        <f aca="false">IF(M15="","",IF($M$9="","",IF($M$9=0,"",M15/$M$9)))</f>
        <v/>
      </c>
      <c r="O15" s="56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4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20" t="n">
        <v>46357</v>
      </c>
      <c r="C16" s="65" t="n">
        <f aca="false">$B$5</f>
        <v>0.09</v>
      </c>
      <c r="D16" s="52"/>
      <c r="E16" s="28"/>
      <c r="F16" s="28"/>
      <c r="G16" s="59" t="str">
        <f aca="false">IF(D16="","",D16-C16)</f>
        <v/>
      </c>
      <c r="H16" s="14" t="str">
        <f aca="false">IF(D16="","",IF(D16&lt;=C16,"En meta",IF(D16&lt;=C16+0.01,"Riesgo","Atrasado")))</f>
        <v/>
      </c>
      <c r="I16" s="56"/>
      <c r="J16" s="60" t="str">
        <f aca="false">IF(I16="","",IF($I$9="","",IF($I$9=0,"",I16/$I$9)))</f>
        <v/>
      </c>
      <c r="K16" s="56"/>
      <c r="L16" s="60" t="str">
        <f aca="false">IF(K16="","",IF($K$9="","",IF($K$9=0,"",K16/$K$9)))</f>
        <v/>
      </c>
      <c r="M16" s="54"/>
      <c r="N16" s="60" t="str">
        <f aca="false">IF(M16="","",IF($M$9="","",IF($M$9=0,"",M16/$M$9)))</f>
        <v/>
      </c>
      <c r="O16" s="56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4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19" t="n">
        <v>46388</v>
      </c>
      <c r="C17" s="64" t="n">
        <f aca="false">$B$5</f>
        <v>0.09</v>
      </c>
      <c r="D17" s="52"/>
      <c r="E17" s="5"/>
      <c r="F17" s="5"/>
      <c r="G17" s="53" t="str">
        <f aca="false">IF(D17="","",D17-C17)</f>
        <v/>
      </c>
      <c r="H17" s="13" t="str">
        <f aca="false">IF(D17="","",IF(D17&lt;=C17,"En meta",IF(D17&lt;=C17+0.01,"Riesgo","Atrasado")))</f>
        <v/>
      </c>
      <c r="I17" s="56"/>
      <c r="J17" s="55" t="str">
        <f aca="false">IF(I17="","",IF($I$9="","",IF($I$9=0,"",I17/$I$9)))</f>
        <v/>
      </c>
      <c r="K17" s="56"/>
      <c r="L17" s="55" t="str">
        <f aca="false">IF(K17="","",IF($K$9="","",IF($K$9=0,"",K17/$K$9)))</f>
        <v/>
      </c>
      <c r="M17" s="54"/>
      <c r="N17" s="55" t="str">
        <f aca="false">IF(M17="","",IF($M$9="","",IF($M$9=0,"",M17/$M$9)))</f>
        <v/>
      </c>
      <c r="O17" s="56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4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20" t="n">
        <v>46419</v>
      </c>
      <c r="C18" s="65" t="n">
        <f aca="false">$B$5</f>
        <v>0.09</v>
      </c>
      <c r="D18" s="52"/>
      <c r="E18" s="28"/>
      <c r="F18" s="28"/>
      <c r="G18" s="59" t="str">
        <f aca="false">IF(D18="","",D18-C18)</f>
        <v/>
      </c>
      <c r="H18" s="14" t="str">
        <f aca="false">IF(D18="","",IF(D18&lt;=C18,"En meta",IF(D18&lt;=C18+0.01,"Riesgo","Atrasado")))</f>
        <v/>
      </c>
      <c r="I18" s="56"/>
      <c r="J18" s="60" t="str">
        <f aca="false">IF(I18="","",IF($I$9="","",IF($I$9=0,"",I18/$I$9)))</f>
        <v/>
      </c>
      <c r="K18" s="56"/>
      <c r="L18" s="60" t="str">
        <f aca="false">IF(K18="","",IF($K$9="","",IF($K$9=0,"",K18/$K$9)))</f>
        <v/>
      </c>
      <c r="M18" s="54"/>
      <c r="N18" s="60" t="str">
        <f aca="false">IF(M18="","",IF($M$9="","",IF($M$9=0,"",M18/$M$9)))</f>
        <v/>
      </c>
      <c r="O18" s="56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4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19" t="n">
        <v>46447</v>
      </c>
      <c r="C19" s="64" t="n">
        <f aca="false">$B$5</f>
        <v>0.09</v>
      </c>
      <c r="D19" s="52"/>
      <c r="E19" s="5"/>
      <c r="F19" s="5"/>
      <c r="G19" s="53" t="str">
        <f aca="false">IF(D19="","",D19-C19)</f>
        <v/>
      </c>
      <c r="H19" s="13" t="str">
        <f aca="false">IF(D19="","",IF(D19&lt;=C19,"En meta",IF(D19&lt;=C19+0.01,"Riesgo","Atrasado")))</f>
        <v/>
      </c>
      <c r="I19" s="56"/>
      <c r="J19" s="55" t="str">
        <f aca="false">IF(I19="","",IF($I$9="","",IF($I$9=0,"",I19/$I$9)))</f>
        <v/>
      </c>
      <c r="K19" s="56"/>
      <c r="L19" s="55" t="str">
        <f aca="false">IF(K19="","",IF($K$9="","",IF($K$9=0,"",K19/$K$9)))</f>
        <v/>
      </c>
      <c r="M19" s="54"/>
      <c r="N19" s="55" t="str">
        <f aca="false">IF(M19="","",IF($M$9="","",IF($M$9=0,"",M19/$M$9)))</f>
        <v/>
      </c>
      <c r="O19" s="56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4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20" t="n">
        <v>46478</v>
      </c>
      <c r="C20" s="65" t="n">
        <f aca="false">$B$5</f>
        <v>0.09</v>
      </c>
      <c r="D20" s="52"/>
      <c r="E20" s="28"/>
      <c r="F20" s="28"/>
      <c r="G20" s="59" t="str">
        <f aca="false">IF(D20="","",D20-C20)</f>
        <v/>
      </c>
      <c r="H20" s="14" t="str">
        <f aca="false">IF(D20="","",IF(D20&lt;=C20,"En meta",IF(D20&lt;=C20+0.01,"Riesgo","Atrasado")))</f>
        <v/>
      </c>
      <c r="I20" s="56"/>
      <c r="J20" s="60" t="str">
        <f aca="false">IF(I20="","",IF($I$9="","",IF($I$9=0,"",I20/$I$9)))</f>
        <v/>
      </c>
      <c r="K20" s="56"/>
      <c r="L20" s="60" t="str">
        <f aca="false">IF(K20="","",IF($K$9="","",IF($K$9=0,"",K20/$K$9)))</f>
        <v/>
      </c>
      <c r="M20" s="54"/>
      <c r="N20" s="60" t="str">
        <f aca="false">IF(M20="","",IF($M$9="","",IF($M$9=0,"",M20/$M$9)))</f>
        <v/>
      </c>
      <c r="O20" s="56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4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19" t="n">
        <v>46508</v>
      </c>
      <c r="C21" s="64" t="n">
        <f aca="false">$B$5</f>
        <v>0.09</v>
      </c>
      <c r="D21" s="52"/>
      <c r="E21" s="5"/>
      <c r="F21" s="5"/>
      <c r="G21" s="53" t="str">
        <f aca="false">IF(D21="","",D21-C21)</f>
        <v/>
      </c>
      <c r="H21" s="13" t="str">
        <f aca="false">IF(D21="","",IF(D21&lt;=C21,"En meta",IF(D21&lt;=C21+0.01,"Riesgo","Atrasado")))</f>
        <v/>
      </c>
      <c r="I21" s="56"/>
      <c r="J21" s="55" t="str">
        <f aca="false">IF(I21="","",IF($I$9="","",IF($I$9=0,"",I21/$I$9)))</f>
        <v/>
      </c>
      <c r="K21" s="56"/>
      <c r="L21" s="55" t="str">
        <f aca="false">IF(K21="","",IF($K$9="","",IF($K$9=0,"",K21/$K$9)))</f>
        <v/>
      </c>
      <c r="M21" s="54"/>
      <c r="N21" s="55" t="str">
        <f aca="false">IF(M21="","",IF($M$9="","",IF($M$9=0,"",M21/$M$9)))</f>
        <v/>
      </c>
      <c r="O21" s="56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4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20" t="n">
        <v>46539</v>
      </c>
      <c r="C22" s="65" t="n">
        <f aca="false">$B$5</f>
        <v>0.09</v>
      </c>
      <c r="D22" s="52"/>
      <c r="E22" s="28"/>
      <c r="F22" s="28"/>
      <c r="G22" s="59" t="str">
        <f aca="false">IF(D22="","",D22-C22)</f>
        <v/>
      </c>
      <c r="H22" s="14" t="str">
        <f aca="false">IF(D22="","",IF(D22&lt;=C22,"En meta",IF(D22&lt;=C22+0.01,"Riesgo","Atrasado")))</f>
        <v/>
      </c>
      <c r="I22" s="56"/>
      <c r="J22" s="60" t="str">
        <f aca="false">IF(I22="","",IF($I$9="","",IF($I$9=0,"",I22/$I$9)))</f>
        <v/>
      </c>
      <c r="K22" s="56"/>
      <c r="L22" s="60" t="str">
        <f aca="false">IF(K22="","",IF($K$9="","",IF($K$9=0,"",K22/$K$9)))</f>
        <v/>
      </c>
      <c r="M22" s="54"/>
      <c r="N22" s="60" t="str">
        <f aca="false">IF(M22="","",IF($M$9="","",IF($M$9=0,"",M22/$M$9)))</f>
        <v/>
      </c>
      <c r="O22" s="56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4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19" t="n">
        <v>46569</v>
      </c>
      <c r="C23" s="64" t="n">
        <f aca="false">$B$5</f>
        <v>0.09</v>
      </c>
      <c r="D23" s="52"/>
      <c r="E23" s="5"/>
      <c r="F23" s="5"/>
      <c r="G23" s="53" t="str">
        <f aca="false">IF(D23="","",D23-C23)</f>
        <v/>
      </c>
      <c r="H23" s="13" t="str">
        <f aca="false">IF(D23="","",IF(D23&lt;=C23,"En meta",IF(D23&lt;=C23+0.01,"Riesgo","Atrasado")))</f>
        <v/>
      </c>
      <c r="I23" s="56"/>
      <c r="J23" s="55" t="str">
        <f aca="false">IF(I23="","",IF($I$9="","",IF($I$9=0,"",I23/$I$9)))</f>
        <v/>
      </c>
      <c r="K23" s="56"/>
      <c r="L23" s="55" t="str">
        <f aca="false">IF(K23="","",IF($K$9="","",IF($K$9=0,"",K23/$K$9)))</f>
        <v/>
      </c>
      <c r="M23" s="54"/>
      <c r="N23" s="55" t="str">
        <f aca="false">IF(M23="","",IF($M$9="","",IF($M$9=0,"",M23/$M$9)))</f>
        <v/>
      </c>
      <c r="O23" s="56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4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20" t="n">
        <v>46600</v>
      </c>
      <c r="C24" s="65" t="n">
        <f aca="false">$B$5</f>
        <v>0.09</v>
      </c>
      <c r="D24" s="52"/>
      <c r="E24" s="28"/>
      <c r="F24" s="28"/>
      <c r="G24" s="59" t="str">
        <f aca="false">IF(D24="","",D24-C24)</f>
        <v/>
      </c>
      <c r="H24" s="14" t="str">
        <f aca="false">IF(D24="","",IF(D24&lt;=C24,"En meta",IF(D24&lt;=C24+0.01,"Riesgo","Atrasado")))</f>
        <v/>
      </c>
      <c r="I24" s="56"/>
      <c r="J24" s="60" t="str">
        <f aca="false">IF(I24="","",IF($I$9="","",IF($I$9=0,"",I24/$I$9)))</f>
        <v/>
      </c>
      <c r="K24" s="56"/>
      <c r="L24" s="60" t="str">
        <f aca="false">IF(K24="","",IF($K$9="","",IF($K$9=0,"",K24/$K$9)))</f>
        <v/>
      </c>
      <c r="M24" s="54"/>
      <c r="N24" s="60" t="str">
        <f aca="false">IF(M24="","",IF($M$9="","",IF($M$9=0,"",M24/$M$9)))</f>
        <v/>
      </c>
      <c r="O24" s="56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4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19" t="n">
        <v>46631</v>
      </c>
      <c r="C25" s="64" t="n">
        <f aca="false">$B$5</f>
        <v>0.09</v>
      </c>
      <c r="D25" s="52"/>
      <c r="E25" s="5"/>
      <c r="F25" s="5"/>
      <c r="G25" s="53" t="str">
        <f aca="false">IF(D25="","",D25-C25)</f>
        <v/>
      </c>
      <c r="H25" s="13" t="str">
        <f aca="false">IF(D25="","",IF(D25&lt;=C25,"En meta",IF(D25&lt;=C25+0.01,"Riesgo","Atrasado")))</f>
        <v/>
      </c>
      <c r="I25" s="56"/>
      <c r="J25" s="55" t="str">
        <f aca="false">IF(I25="","",IF($I$9="","",IF($I$9=0,"",I25/$I$9)))</f>
        <v/>
      </c>
      <c r="K25" s="56"/>
      <c r="L25" s="55" t="str">
        <f aca="false">IF(K25="","",IF($K$9="","",IF($K$9=0,"",K25/$K$9)))</f>
        <v/>
      </c>
      <c r="M25" s="54"/>
      <c r="N25" s="55" t="str">
        <f aca="false">IF(M25="","",IF($M$9="","",IF($M$9=0,"",M25/$M$9)))</f>
        <v/>
      </c>
      <c r="O25" s="56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4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20" t="n">
        <v>46661</v>
      </c>
      <c r="C26" s="65" t="n">
        <f aca="false">$B$5</f>
        <v>0.09</v>
      </c>
      <c r="D26" s="52"/>
      <c r="E26" s="28"/>
      <c r="F26" s="28"/>
      <c r="G26" s="59" t="str">
        <f aca="false">IF(D26="","",D26-C26)</f>
        <v/>
      </c>
      <c r="H26" s="14" t="str">
        <f aca="false">IF(D26="","",IF(D26&lt;=C26,"En meta",IF(D26&lt;=C26+0.01,"Riesgo","Atrasado")))</f>
        <v/>
      </c>
      <c r="I26" s="56"/>
      <c r="J26" s="60" t="str">
        <f aca="false">IF(I26="","",IF($I$9="","",IF($I$9=0,"",I26/$I$9)))</f>
        <v/>
      </c>
      <c r="K26" s="56"/>
      <c r="L26" s="60" t="str">
        <f aca="false">IF(K26="","",IF($K$9="","",IF($K$9=0,"",K26/$K$9)))</f>
        <v/>
      </c>
      <c r="M26" s="54"/>
      <c r="N26" s="60" t="str">
        <f aca="false">IF(M26="","",IF($M$9="","",IF($M$9=0,"",M26/$M$9)))</f>
        <v/>
      </c>
      <c r="O26" s="56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4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19" t="n">
        <v>46692</v>
      </c>
      <c r="C27" s="64" t="n">
        <f aca="false">$B$5</f>
        <v>0.09</v>
      </c>
      <c r="D27" s="52"/>
      <c r="E27" s="5"/>
      <c r="F27" s="5"/>
      <c r="G27" s="53" t="str">
        <f aca="false">IF(D27="","",D27-C27)</f>
        <v/>
      </c>
      <c r="H27" s="13" t="str">
        <f aca="false">IF(D27="","",IF(D27&lt;=C27,"En meta",IF(D27&lt;=C27+0.01,"Riesgo","Atrasado")))</f>
        <v/>
      </c>
      <c r="I27" s="56"/>
      <c r="J27" s="55" t="str">
        <f aca="false">IF(I27="","",IF($I$9="","",IF($I$9=0,"",I27/$I$9)))</f>
        <v/>
      </c>
      <c r="K27" s="56"/>
      <c r="L27" s="55" t="str">
        <f aca="false">IF(K27="","",IF($K$9="","",IF($K$9=0,"",K27/$K$9)))</f>
        <v/>
      </c>
      <c r="M27" s="54"/>
      <c r="N27" s="55" t="str">
        <f aca="false">IF(M27="","",IF($M$9="","",IF($M$9=0,"",M27/$M$9)))</f>
        <v/>
      </c>
      <c r="O27" s="56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4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20" t="n">
        <v>46722</v>
      </c>
      <c r="C28" s="65" t="n">
        <f aca="false">$B$5</f>
        <v>0.09</v>
      </c>
      <c r="D28" s="52"/>
      <c r="E28" s="28"/>
      <c r="F28" s="28"/>
      <c r="G28" s="59" t="str">
        <f aca="false">IF(D28="","",D28-C28)</f>
        <v/>
      </c>
      <c r="H28" s="14" t="str">
        <f aca="false">IF(D28="","",IF(D28&lt;=C28,"En meta",IF(D28&lt;=C28+0.01,"Riesgo","Atrasado")))</f>
        <v/>
      </c>
      <c r="I28" s="56"/>
      <c r="J28" s="60" t="str">
        <f aca="false">IF(I28="","",IF($I$9="","",IF($I$9=0,"",I28/$I$9)))</f>
        <v/>
      </c>
      <c r="K28" s="56"/>
      <c r="L28" s="60" t="str">
        <f aca="false">IF(K28="","",IF($K$9="","",IF($K$9=0,"",K28/$K$9)))</f>
        <v/>
      </c>
      <c r="M28" s="54"/>
      <c r="N28" s="60" t="str">
        <f aca="false">IF(M28="","",IF($M$9="","",IF($M$9=0,"",M28/$M$9)))</f>
        <v/>
      </c>
      <c r="O28" s="56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4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188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189</v>
      </c>
    </row>
    <row r="3" customFormat="false" ht="15" hidden="false" customHeight="false" outlineLevel="0" collapsed="false">
      <c r="A3" s="17" t="s">
        <v>77</v>
      </c>
      <c r="B3" s="40" t="s">
        <v>190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69</v>
      </c>
    </row>
    <row r="5" customFormat="false" ht="15" hidden="false" customHeight="false" outlineLevel="0" collapsed="false">
      <c r="A5" s="17" t="s">
        <v>82</v>
      </c>
      <c r="B5" s="66" t="n">
        <v>0</v>
      </c>
      <c r="D5" s="17" t="s">
        <v>83</v>
      </c>
      <c r="E5" s="43" t="n">
        <v>46204</v>
      </c>
      <c r="G5" s="17" t="s">
        <v>84</v>
      </c>
      <c r="H5" s="43" t="n">
        <v>46722</v>
      </c>
    </row>
    <row r="6" customFormat="false" ht="15" hidden="false" customHeight="false" outlineLevel="0" collapsed="false">
      <c r="A6" s="17" t="s">
        <v>85</v>
      </c>
      <c r="B6" s="40" t="s">
        <v>163</v>
      </c>
    </row>
    <row r="8" customFormat="false" ht="42" hidden="false" customHeight="true" outlineLevel="0" collapsed="false">
      <c r="A8" s="17" t="s">
        <v>87</v>
      </c>
      <c r="B8" s="44" t="n">
        <f aca="false">COUNT(A11:A28)</f>
        <v>18</v>
      </c>
      <c r="H8" s="45" t="s">
        <v>88</v>
      </c>
      <c r="I8" s="46" t="s">
        <v>191</v>
      </c>
      <c r="J8" s="46"/>
      <c r="K8" s="46" t="s">
        <v>192</v>
      </c>
      <c r="L8" s="46"/>
      <c r="M8" s="46" t="s">
        <v>193</v>
      </c>
      <c r="N8" s="46"/>
      <c r="O8" s="46" t="s">
        <v>194</v>
      </c>
      <c r="P8" s="46"/>
      <c r="Q8" s="46" t="s">
        <v>195</v>
      </c>
      <c r="R8" s="46"/>
      <c r="S8" s="46" t="s">
        <v>196</v>
      </c>
      <c r="T8" s="46"/>
      <c r="U8" s="46" t="s">
        <v>96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8" t="n">
        <v>1</v>
      </c>
      <c r="J9" s="48"/>
      <c r="K9" s="47" t="n">
        <v>1</v>
      </c>
      <c r="L9" s="47"/>
      <c r="M9" s="47" t="n">
        <v>1</v>
      </c>
      <c r="N9" s="47"/>
      <c r="O9" s="48" t="n">
        <v>0.7</v>
      </c>
      <c r="P9" s="48"/>
      <c r="Q9" s="47" t="n">
        <v>1</v>
      </c>
      <c r="R9" s="47"/>
      <c r="S9" s="47" t="n">
        <v>2</v>
      </c>
      <c r="T9" s="47"/>
      <c r="U9" s="47"/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26</v>
      </c>
      <c r="C10" s="4" t="s">
        <v>36</v>
      </c>
      <c r="D10" s="4" t="s">
        <v>101</v>
      </c>
      <c r="E10" s="4"/>
      <c r="F10" s="4"/>
      <c r="G10" s="4" t="s">
        <v>132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19" t="n">
        <v>46204</v>
      </c>
      <c r="C11" s="61" t="n">
        <f aca="false">$B$5</f>
        <v>0</v>
      </c>
      <c r="D11" s="52"/>
      <c r="E11" s="5"/>
      <c r="F11" s="5"/>
      <c r="G11" s="74" t="str">
        <f aca="false">IF(D11="","",D11-C11)</f>
        <v/>
      </c>
      <c r="H11" s="13" t="str">
        <f aca="false">IF(D11="","",IF(D11&gt;=C11,"En meta",IF(D11&gt;=C11-10000,"Riesgo","Atrasado")))</f>
        <v/>
      </c>
      <c r="I11" s="56"/>
      <c r="J11" s="55" t="str">
        <f aca="false">IF(I11="","",IF($I$9="","",IF($I$9=0,"",I11/$I$9)))</f>
        <v/>
      </c>
      <c r="K11" s="54"/>
      <c r="L11" s="55" t="str">
        <f aca="false">IF(K11="","",IF($K$9="","",IF($K$9=0,"",K11/$K$9)))</f>
        <v/>
      </c>
      <c r="M11" s="54"/>
      <c r="N11" s="55" t="str">
        <f aca="false">IF(M11="","",IF($M$9="","",IF($M$9=0,"",M11/$M$9)))</f>
        <v/>
      </c>
      <c r="O11" s="56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4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20" t="n">
        <v>46235</v>
      </c>
      <c r="C12" s="62" t="n">
        <f aca="false">$B$5</f>
        <v>0</v>
      </c>
      <c r="D12" s="52"/>
      <c r="E12" s="28"/>
      <c r="F12" s="28"/>
      <c r="G12" s="75" t="str">
        <f aca="false">IF(D12="","",D12-C12)</f>
        <v/>
      </c>
      <c r="H12" s="14" t="str">
        <f aca="false">IF(D12="","",IF(D12&gt;=C12,"En meta",IF(D12&gt;=C12-10000,"Riesgo","Atrasado")))</f>
        <v/>
      </c>
      <c r="I12" s="56"/>
      <c r="J12" s="60" t="str">
        <f aca="false">IF(I12="","",IF($I$9="","",IF($I$9=0,"",I12/$I$9)))</f>
        <v/>
      </c>
      <c r="K12" s="54"/>
      <c r="L12" s="60" t="str">
        <f aca="false">IF(K12="","",IF($K$9="","",IF($K$9=0,"",K12/$K$9)))</f>
        <v/>
      </c>
      <c r="M12" s="54"/>
      <c r="N12" s="60" t="str">
        <f aca="false">IF(M12="","",IF($M$9="","",IF($M$9=0,"",M12/$M$9)))</f>
        <v/>
      </c>
      <c r="O12" s="56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4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19" t="n">
        <v>46266</v>
      </c>
      <c r="C13" s="61" t="n">
        <f aca="false">$B$5</f>
        <v>0</v>
      </c>
      <c r="D13" s="52"/>
      <c r="E13" s="5"/>
      <c r="F13" s="5"/>
      <c r="G13" s="74" t="str">
        <f aca="false">IF(D13="","",D13-C13)</f>
        <v/>
      </c>
      <c r="H13" s="13" t="str">
        <f aca="false">IF(D13="","",IF(D13&gt;=C13,"En meta",IF(D13&gt;=C13-10000,"Riesgo","Atrasado")))</f>
        <v/>
      </c>
      <c r="I13" s="56"/>
      <c r="J13" s="55" t="str">
        <f aca="false">IF(I13="","",IF($I$9="","",IF($I$9=0,"",I13/$I$9)))</f>
        <v/>
      </c>
      <c r="K13" s="54"/>
      <c r="L13" s="55" t="str">
        <f aca="false">IF(K13="","",IF($K$9="","",IF($K$9=0,"",K13/$K$9)))</f>
        <v/>
      </c>
      <c r="M13" s="54"/>
      <c r="N13" s="55" t="str">
        <f aca="false">IF(M13="","",IF($M$9="","",IF($M$9=0,"",M13/$M$9)))</f>
        <v/>
      </c>
      <c r="O13" s="56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4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20" t="n">
        <v>46296</v>
      </c>
      <c r="C14" s="62" t="n">
        <f aca="false">$B$5</f>
        <v>0</v>
      </c>
      <c r="D14" s="52"/>
      <c r="E14" s="28"/>
      <c r="F14" s="28"/>
      <c r="G14" s="75" t="str">
        <f aca="false">IF(D14="","",D14-C14)</f>
        <v/>
      </c>
      <c r="H14" s="14" t="str">
        <f aca="false">IF(D14="","",IF(D14&gt;=C14,"En meta",IF(D14&gt;=C14-10000,"Riesgo","Atrasado")))</f>
        <v/>
      </c>
      <c r="I14" s="56"/>
      <c r="J14" s="60" t="str">
        <f aca="false">IF(I14="","",IF($I$9="","",IF($I$9=0,"",I14/$I$9)))</f>
        <v/>
      </c>
      <c r="K14" s="54"/>
      <c r="L14" s="60" t="str">
        <f aca="false">IF(K14="","",IF($K$9="","",IF($K$9=0,"",K14/$K$9)))</f>
        <v/>
      </c>
      <c r="M14" s="54"/>
      <c r="N14" s="60" t="str">
        <f aca="false">IF(M14="","",IF($M$9="","",IF($M$9=0,"",M14/$M$9)))</f>
        <v/>
      </c>
      <c r="O14" s="56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4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19" t="n">
        <v>46327</v>
      </c>
      <c r="C15" s="61" t="n">
        <f aca="false">$B$5</f>
        <v>0</v>
      </c>
      <c r="D15" s="52"/>
      <c r="E15" s="5"/>
      <c r="F15" s="5"/>
      <c r="G15" s="74" t="str">
        <f aca="false">IF(D15="","",D15-C15)</f>
        <v/>
      </c>
      <c r="H15" s="13" t="str">
        <f aca="false">IF(D15="","",IF(D15&gt;=C15,"En meta",IF(D15&gt;=C15-10000,"Riesgo","Atrasado")))</f>
        <v/>
      </c>
      <c r="I15" s="56"/>
      <c r="J15" s="55" t="str">
        <f aca="false">IF(I15="","",IF($I$9="","",IF($I$9=0,"",I15/$I$9)))</f>
        <v/>
      </c>
      <c r="K15" s="54"/>
      <c r="L15" s="55" t="str">
        <f aca="false">IF(K15="","",IF($K$9="","",IF($K$9=0,"",K15/$K$9)))</f>
        <v/>
      </c>
      <c r="M15" s="54"/>
      <c r="N15" s="55" t="str">
        <f aca="false">IF(M15="","",IF($M$9="","",IF($M$9=0,"",M15/$M$9)))</f>
        <v/>
      </c>
      <c r="O15" s="56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4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20" t="n">
        <v>46357</v>
      </c>
      <c r="C16" s="62" t="n">
        <f aca="false">$B$5</f>
        <v>0</v>
      </c>
      <c r="D16" s="52"/>
      <c r="E16" s="28"/>
      <c r="F16" s="28"/>
      <c r="G16" s="75" t="str">
        <f aca="false">IF(D16="","",D16-C16)</f>
        <v/>
      </c>
      <c r="H16" s="14" t="str">
        <f aca="false">IF(D16="","",IF(D16&gt;=C16,"En meta",IF(D16&gt;=C16-10000,"Riesgo","Atrasado")))</f>
        <v/>
      </c>
      <c r="I16" s="56"/>
      <c r="J16" s="60" t="str">
        <f aca="false">IF(I16="","",IF($I$9="","",IF($I$9=0,"",I16/$I$9)))</f>
        <v/>
      </c>
      <c r="K16" s="54"/>
      <c r="L16" s="60" t="str">
        <f aca="false">IF(K16="","",IF($K$9="","",IF($K$9=0,"",K16/$K$9)))</f>
        <v/>
      </c>
      <c r="M16" s="54"/>
      <c r="N16" s="60" t="str">
        <f aca="false">IF(M16="","",IF($M$9="","",IF($M$9=0,"",M16/$M$9)))</f>
        <v/>
      </c>
      <c r="O16" s="56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4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19" t="n">
        <v>46388</v>
      </c>
      <c r="C17" s="61" t="n">
        <f aca="false">$B$5</f>
        <v>0</v>
      </c>
      <c r="D17" s="52"/>
      <c r="E17" s="5"/>
      <c r="F17" s="5"/>
      <c r="G17" s="74" t="str">
        <f aca="false">IF(D17="","",D17-C17)</f>
        <v/>
      </c>
      <c r="H17" s="13" t="str">
        <f aca="false">IF(D17="","",IF(D17&gt;=C17,"En meta",IF(D17&gt;=C17-10000,"Riesgo","Atrasado")))</f>
        <v/>
      </c>
      <c r="I17" s="56"/>
      <c r="J17" s="55" t="str">
        <f aca="false">IF(I17="","",IF($I$9="","",IF($I$9=0,"",I17/$I$9)))</f>
        <v/>
      </c>
      <c r="K17" s="54"/>
      <c r="L17" s="55" t="str">
        <f aca="false">IF(K17="","",IF($K$9="","",IF($K$9=0,"",K17/$K$9)))</f>
        <v/>
      </c>
      <c r="M17" s="54"/>
      <c r="N17" s="55" t="str">
        <f aca="false">IF(M17="","",IF($M$9="","",IF($M$9=0,"",M17/$M$9)))</f>
        <v/>
      </c>
      <c r="O17" s="56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4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20" t="n">
        <v>46419</v>
      </c>
      <c r="C18" s="62" t="n">
        <f aca="false">$B$5</f>
        <v>0</v>
      </c>
      <c r="D18" s="52"/>
      <c r="E18" s="28"/>
      <c r="F18" s="28"/>
      <c r="G18" s="75" t="str">
        <f aca="false">IF(D18="","",D18-C18)</f>
        <v/>
      </c>
      <c r="H18" s="14" t="str">
        <f aca="false">IF(D18="","",IF(D18&gt;=C18,"En meta",IF(D18&gt;=C18-10000,"Riesgo","Atrasado")))</f>
        <v/>
      </c>
      <c r="I18" s="56"/>
      <c r="J18" s="60" t="str">
        <f aca="false">IF(I18="","",IF($I$9="","",IF($I$9=0,"",I18/$I$9)))</f>
        <v/>
      </c>
      <c r="K18" s="54"/>
      <c r="L18" s="60" t="str">
        <f aca="false">IF(K18="","",IF($K$9="","",IF($K$9=0,"",K18/$K$9)))</f>
        <v/>
      </c>
      <c r="M18" s="54"/>
      <c r="N18" s="60" t="str">
        <f aca="false">IF(M18="","",IF($M$9="","",IF($M$9=0,"",M18/$M$9)))</f>
        <v/>
      </c>
      <c r="O18" s="56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4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19" t="n">
        <v>46447</v>
      </c>
      <c r="C19" s="61" t="n">
        <f aca="false">$B$5</f>
        <v>0</v>
      </c>
      <c r="D19" s="52"/>
      <c r="E19" s="5"/>
      <c r="F19" s="5"/>
      <c r="G19" s="74" t="str">
        <f aca="false">IF(D19="","",D19-C19)</f>
        <v/>
      </c>
      <c r="H19" s="13" t="str">
        <f aca="false">IF(D19="","",IF(D19&gt;=C19,"En meta",IF(D19&gt;=C19-10000,"Riesgo","Atrasado")))</f>
        <v/>
      </c>
      <c r="I19" s="56"/>
      <c r="J19" s="55" t="str">
        <f aca="false">IF(I19="","",IF($I$9="","",IF($I$9=0,"",I19/$I$9)))</f>
        <v/>
      </c>
      <c r="K19" s="54"/>
      <c r="L19" s="55" t="str">
        <f aca="false">IF(K19="","",IF($K$9="","",IF($K$9=0,"",K19/$K$9)))</f>
        <v/>
      </c>
      <c r="M19" s="54"/>
      <c r="N19" s="55" t="str">
        <f aca="false">IF(M19="","",IF($M$9="","",IF($M$9=0,"",M19/$M$9)))</f>
        <v/>
      </c>
      <c r="O19" s="56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4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20" t="n">
        <v>46478</v>
      </c>
      <c r="C20" s="62" t="n">
        <f aca="false">$B$5</f>
        <v>0</v>
      </c>
      <c r="D20" s="52"/>
      <c r="E20" s="28"/>
      <c r="F20" s="28"/>
      <c r="G20" s="75" t="str">
        <f aca="false">IF(D20="","",D20-C20)</f>
        <v/>
      </c>
      <c r="H20" s="14" t="str">
        <f aca="false">IF(D20="","",IF(D20&gt;=C20,"En meta",IF(D20&gt;=C20-10000,"Riesgo","Atrasado")))</f>
        <v/>
      </c>
      <c r="I20" s="56"/>
      <c r="J20" s="60" t="str">
        <f aca="false">IF(I20="","",IF($I$9="","",IF($I$9=0,"",I20/$I$9)))</f>
        <v/>
      </c>
      <c r="K20" s="54"/>
      <c r="L20" s="60" t="str">
        <f aca="false">IF(K20="","",IF($K$9="","",IF($K$9=0,"",K20/$K$9)))</f>
        <v/>
      </c>
      <c r="M20" s="54"/>
      <c r="N20" s="60" t="str">
        <f aca="false">IF(M20="","",IF($M$9="","",IF($M$9=0,"",M20/$M$9)))</f>
        <v/>
      </c>
      <c r="O20" s="56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4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19" t="n">
        <v>46508</v>
      </c>
      <c r="C21" s="61" t="n">
        <f aca="false">$B$5</f>
        <v>0</v>
      </c>
      <c r="D21" s="52"/>
      <c r="E21" s="5"/>
      <c r="F21" s="5"/>
      <c r="G21" s="74" t="str">
        <f aca="false">IF(D21="","",D21-C21)</f>
        <v/>
      </c>
      <c r="H21" s="13" t="str">
        <f aca="false">IF(D21="","",IF(D21&gt;=C21,"En meta",IF(D21&gt;=C21-10000,"Riesgo","Atrasado")))</f>
        <v/>
      </c>
      <c r="I21" s="56"/>
      <c r="J21" s="55" t="str">
        <f aca="false">IF(I21="","",IF($I$9="","",IF($I$9=0,"",I21/$I$9)))</f>
        <v/>
      </c>
      <c r="K21" s="54"/>
      <c r="L21" s="55" t="str">
        <f aca="false">IF(K21="","",IF($K$9="","",IF($K$9=0,"",K21/$K$9)))</f>
        <v/>
      </c>
      <c r="M21" s="54"/>
      <c r="N21" s="55" t="str">
        <f aca="false">IF(M21="","",IF($M$9="","",IF($M$9=0,"",M21/$M$9)))</f>
        <v/>
      </c>
      <c r="O21" s="56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4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20" t="n">
        <v>46539</v>
      </c>
      <c r="C22" s="62" t="n">
        <f aca="false">$B$5</f>
        <v>0</v>
      </c>
      <c r="D22" s="52"/>
      <c r="E22" s="28"/>
      <c r="F22" s="28"/>
      <c r="G22" s="75" t="str">
        <f aca="false">IF(D22="","",D22-C22)</f>
        <v/>
      </c>
      <c r="H22" s="14" t="str">
        <f aca="false">IF(D22="","",IF(D22&gt;=C22,"En meta",IF(D22&gt;=C22-10000,"Riesgo","Atrasado")))</f>
        <v/>
      </c>
      <c r="I22" s="56"/>
      <c r="J22" s="60" t="str">
        <f aca="false">IF(I22="","",IF($I$9="","",IF($I$9=0,"",I22/$I$9)))</f>
        <v/>
      </c>
      <c r="K22" s="54"/>
      <c r="L22" s="60" t="str">
        <f aca="false">IF(K22="","",IF($K$9="","",IF($K$9=0,"",K22/$K$9)))</f>
        <v/>
      </c>
      <c r="M22" s="54"/>
      <c r="N22" s="60" t="str">
        <f aca="false">IF(M22="","",IF($M$9="","",IF($M$9=0,"",M22/$M$9)))</f>
        <v/>
      </c>
      <c r="O22" s="56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4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19" t="n">
        <v>46569</v>
      </c>
      <c r="C23" s="61" t="n">
        <f aca="false">$B$5</f>
        <v>0</v>
      </c>
      <c r="D23" s="52"/>
      <c r="E23" s="5"/>
      <c r="F23" s="5"/>
      <c r="G23" s="74" t="str">
        <f aca="false">IF(D23="","",D23-C23)</f>
        <v/>
      </c>
      <c r="H23" s="13" t="str">
        <f aca="false">IF(D23="","",IF(D23&gt;=C23,"En meta",IF(D23&gt;=C23-10000,"Riesgo","Atrasado")))</f>
        <v/>
      </c>
      <c r="I23" s="56"/>
      <c r="J23" s="55" t="str">
        <f aca="false">IF(I23="","",IF($I$9="","",IF($I$9=0,"",I23/$I$9)))</f>
        <v/>
      </c>
      <c r="K23" s="54"/>
      <c r="L23" s="55" t="str">
        <f aca="false">IF(K23="","",IF($K$9="","",IF($K$9=0,"",K23/$K$9)))</f>
        <v/>
      </c>
      <c r="M23" s="54"/>
      <c r="N23" s="55" t="str">
        <f aca="false">IF(M23="","",IF($M$9="","",IF($M$9=0,"",M23/$M$9)))</f>
        <v/>
      </c>
      <c r="O23" s="56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4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20" t="n">
        <v>46600</v>
      </c>
      <c r="C24" s="62" t="n">
        <f aca="false">$B$5</f>
        <v>0</v>
      </c>
      <c r="D24" s="52"/>
      <c r="E24" s="28"/>
      <c r="F24" s="28"/>
      <c r="G24" s="75" t="str">
        <f aca="false">IF(D24="","",D24-C24)</f>
        <v/>
      </c>
      <c r="H24" s="14" t="str">
        <f aca="false">IF(D24="","",IF(D24&gt;=C24,"En meta",IF(D24&gt;=C24-10000,"Riesgo","Atrasado")))</f>
        <v/>
      </c>
      <c r="I24" s="56"/>
      <c r="J24" s="60" t="str">
        <f aca="false">IF(I24="","",IF($I$9="","",IF($I$9=0,"",I24/$I$9)))</f>
        <v/>
      </c>
      <c r="K24" s="54"/>
      <c r="L24" s="60" t="str">
        <f aca="false">IF(K24="","",IF($K$9="","",IF($K$9=0,"",K24/$K$9)))</f>
        <v/>
      </c>
      <c r="M24" s="54"/>
      <c r="N24" s="60" t="str">
        <f aca="false">IF(M24="","",IF($M$9="","",IF($M$9=0,"",M24/$M$9)))</f>
        <v/>
      </c>
      <c r="O24" s="56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4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19" t="n">
        <v>46631</v>
      </c>
      <c r="C25" s="61" t="n">
        <f aca="false">$B$5</f>
        <v>0</v>
      </c>
      <c r="D25" s="52"/>
      <c r="E25" s="5"/>
      <c r="F25" s="5"/>
      <c r="G25" s="74" t="str">
        <f aca="false">IF(D25="","",D25-C25)</f>
        <v/>
      </c>
      <c r="H25" s="13" t="str">
        <f aca="false">IF(D25="","",IF(D25&gt;=C25,"En meta",IF(D25&gt;=C25-10000,"Riesgo","Atrasado")))</f>
        <v/>
      </c>
      <c r="I25" s="56"/>
      <c r="J25" s="55" t="str">
        <f aca="false">IF(I25="","",IF($I$9="","",IF($I$9=0,"",I25/$I$9)))</f>
        <v/>
      </c>
      <c r="K25" s="54"/>
      <c r="L25" s="55" t="str">
        <f aca="false">IF(K25="","",IF($K$9="","",IF($K$9=0,"",K25/$K$9)))</f>
        <v/>
      </c>
      <c r="M25" s="54"/>
      <c r="N25" s="55" t="str">
        <f aca="false">IF(M25="","",IF($M$9="","",IF($M$9=0,"",M25/$M$9)))</f>
        <v/>
      </c>
      <c r="O25" s="56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4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20" t="n">
        <v>46661</v>
      </c>
      <c r="C26" s="62" t="n">
        <f aca="false">$B$5</f>
        <v>0</v>
      </c>
      <c r="D26" s="52"/>
      <c r="E26" s="28"/>
      <c r="F26" s="28"/>
      <c r="G26" s="75" t="str">
        <f aca="false">IF(D26="","",D26-C26)</f>
        <v/>
      </c>
      <c r="H26" s="14" t="str">
        <f aca="false">IF(D26="","",IF(D26&gt;=C26,"En meta",IF(D26&gt;=C26-10000,"Riesgo","Atrasado")))</f>
        <v/>
      </c>
      <c r="I26" s="56"/>
      <c r="J26" s="60" t="str">
        <f aca="false">IF(I26="","",IF($I$9="","",IF($I$9=0,"",I26/$I$9)))</f>
        <v/>
      </c>
      <c r="K26" s="54"/>
      <c r="L26" s="60" t="str">
        <f aca="false">IF(K26="","",IF($K$9="","",IF($K$9=0,"",K26/$K$9)))</f>
        <v/>
      </c>
      <c r="M26" s="54"/>
      <c r="N26" s="60" t="str">
        <f aca="false">IF(M26="","",IF($M$9="","",IF($M$9=0,"",M26/$M$9)))</f>
        <v/>
      </c>
      <c r="O26" s="56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4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19" t="n">
        <v>46692</v>
      </c>
      <c r="C27" s="61" t="n">
        <f aca="false">$B$5</f>
        <v>0</v>
      </c>
      <c r="D27" s="52"/>
      <c r="E27" s="5"/>
      <c r="F27" s="5"/>
      <c r="G27" s="74" t="str">
        <f aca="false">IF(D27="","",D27-C27)</f>
        <v/>
      </c>
      <c r="H27" s="13" t="str">
        <f aca="false">IF(D27="","",IF(D27&gt;=C27,"En meta",IF(D27&gt;=C27-10000,"Riesgo","Atrasado")))</f>
        <v/>
      </c>
      <c r="I27" s="56"/>
      <c r="J27" s="55" t="str">
        <f aca="false">IF(I27="","",IF($I$9="","",IF($I$9=0,"",I27/$I$9)))</f>
        <v/>
      </c>
      <c r="K27" s="54"/>
      <c r="L27" s="55" t="str">
        <f aca="false">IF(K27="","",IF($K$9="","",IF($K$9=0,"",K27/$K$9)))</f>
        <v/>
      </c>
      <c r="M27" s="54"/>
      <c r="N27" s="55" t="str">
        <f aca="false">IF(M27="","",IF($M$9="","",IF($M$9=0,"",M27/$M$9)))</f>
        <v/>
      </c>
      <c r="O27" s="56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4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20" t="n">
        <v>46722</v>
      </c>
      <c r="C28" s="62" t="n">
        <f aca="false">$B$5</f>
        <v>0</v>
      </c>
      <c r="D28" s="52"/>
      <c r="E28" s="28"/>
      <c r="F28" s="28"/>
      <c r="G28" s="75" t="str">
        <f aca="false">IF(D28="","",D28-C28)</f>
        <v/>
      </c>
      <c r="H28" s="14" t="str">
        <f aca="false">IF(D28="","",IF(D28&gt;=C28,"En meta",IF(D28&gt;=C28-10000,"Riesgo","Atrasado")))</f>
        <v/>
      </c>
      <c r="I28" s="56"/>
      <c r="J28" s="60" t="str">
        <f aca="false">IF(I28="","",IF($I$9="","",IF($I$9=0,"",I28/$I$9)))</f>
        <v/>
      </c>
      <c r="K28" s="54"/>
      <c r="L28" s="60" t="str">
        <f aca="false">IF(K28="","",IF($K$9="","",IF($K$9=0,"",K28/$K$9)))</f>
        <v/>
      </c>
      <c r="M28" s="54"/>
      <c r="N28" s="60" t="str">
        <f aca="false">IF(M28="","",IF($M$9="","",IF($M$9=0,"",M28/$M$9)))</f>
        <v/>
      </c>
      <c r="O28" s="56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4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7"/>
  </cols>
  <sheetData>
    <row r="1" customFormat="false" ht="17.35" hidden="false" customHeight="false" outlineLevel="0" collapsed="false">
      <c r="A1" s="39" t="s">
        <v>197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customFormat="false" ht="15" hidden="false" customHeight="false" outlineLevel="0" collapsed="false">
      <c r="A2" s="17" t="s">
        <v>75</v>
      </c>
      <c r="B2" s="40" t="s">
        <v>198</v>
      </c>
    </row>
    <row r="3" customFormat="false" ht="15" hidden="false" customHeight="false" outlineLevel="0" collapsed="false">
      <c r="A3" s="17" t="s">
        <v>77</v>
      </c>
      <c r="B3" s="40" t="s">
        <v>199</v>
      </c>
    </row>
    <row r="4" customFormat="false" ht="15" hidden="false" customHeight="false" outlineLevel="0" collapsed="false">
      <c r="A4" s="17" t="s">
        <v>79</v>
      </c>
      <c r="B4" s="41" t="s">
        <v>80</v>
      </c>
      <c r="D4" s="17" t="s">
        <v>81</v>
      </c>
      <c r="E4" s="40" t="s">
        <v>72</v>
      </c>
    </row>
    <row r="5" customFormat="false" ht="15" hidden="false" customHeight="false" outlineLevel="0" collapsed="false">
      <c r="A5" s="17" t="s">
        <v>82</v>
      </c>
      <c r="B5" s="63" t="n">
        <v>0.48</v>
      </c>
      <c r="D5" s="17" t="s">
        <v>83</v>
      </c>
      <c r="E5" s="43" t="n">
        <v>46204</v>
      </c>
      <c r="G5" s="17" t="s">
        <v>84</v>
      </c>
      <c r="H5" s="43" t="n">
        <v>46722</v>
      </c>
    </row>
    <row r="6" customFormat="false" ht="15" hidden="false" customHeight="false" outlineLevel="0" collapsed="false">
      <c r="A6" s="17" t="s">
        <v>85</v>
      </c>
      <c r="B6" s="40" t="s">
        <v>163</v>
      </c>
    </row>
    <row r="8" customFormat="false" ht="42" hidden="false" customHeight="true" outlineLevel="0" collapsed="false">
      <c r="A8" s="17" t="s">
        <v>87</v>
      </c>
      <c r="B8" s="44" t="n">
        <f aca="false">COUNT(A11:A28)</f>
        <v>18</v>
      </c>
      <c r="H8" s="45" t="s">
        <v>88</v>
      </c>
      <c r="I8" s="46" t="s">
        <v>200</v>
      </c>
      <c r="J8" s="46"/>
      <c r="K8" s="46" t="s">
        <v>201</v>
      </c>
      <c r="L8" s="46"/>
      <c r="M8" s="46" t="s">
        <v>202</v>
      </c>
      <c r="N8" s="46"/>
      <c r="O8" s="46" t="s">
        <v>203</v>
      </c>
      <c r="P8" s="46"/>
      <c r="Q8" s="46" t="s">
        <v>204</v>
      </c>
      <c r="R8" s="46"/>
      <c r="S8" s="46" t="s">
        <v>205</v>
      </c>
      <c r="T8" s="46"/>
      <c r="U8" s="46" t="s">
        <v>96</v>
      </c>
      <c r="V8" s="46"/>
      <c r="W8" s="46" t="s">
        <v>96</v>
      </c>
      <c r="X8" s="46"/>
    </row>
    <row r="9" customFormat="false" ht="15" hidden="false" customHeight="false" outlineLevel="0" collapsed="false">
      <c r="A9" s="11" t="s">
        <v>97</v>
      </c>
      <c r="H9" s="45" t="s">
        <v>98</v>
      </c>
      <c r="I9" s="48" t="n">
        <v>1</v>
      </c>
      <c r="J9" s="48"/>
      <c r="K9" s="48" t="n">
        <v>1</v>
      </c>
      <c r="L9" s="48"/>
      <c r="M9" s="47" t="n">
        <v>40</v>
      </c>
      <c r="N9" s="47"/>
      <c r="O9" s="47" t="n">
        <v>1</v>
      </c>
      <c r="P9" s="47"/>
      <c r="Q9" s="47" t="n">
        <v>3</v>
      </c>
      <c r="R9" s="47"/>
      <c r="S9" s="48" t="n">
        <v>1</v>
      </c>
      <c r="T9" s="48"/>
      <c r="U9" s="47"/>
      <c r="V9" s="47"/>
      <c r="W9" s="47"/>
      <c r="X9" s="47"/>
    </row>
    <row r="10" customFormat="false" ht="15" hidden="false" customHeight="false" outlineLevel="0" collapsed="false">
      <c r="A10" s="4" t="s">
        <v>32</v>
      </c>
      <c r="B10" s="4" t="s">
        <v>26</v>
      </c>
      <c r="C10" s="4" t="s">
        <v>36</v>
      </c>
      <c r="D10" s="4" t="s">
        <v>101</v>
      </c>
      <c r="E10" s="4"/>
      <c r="F10" s="4"/>
      <c r="G10" s="4" t="s">
        <v>132</v>
      </c>
      <c r="H10" s="4" t="s">
        <v>9</v>
      </c>
      <c r="I10" s="49" t="s">
        <v>101</v>
      </c>
      <c r="J10" s="49" t="s">
        <v>102</v>
      </c>
      <c r="K10" s="49" t="s">
        <v>101</v>
      </c>
      <c r="L10" s="49" t="s">
        <v>102</v>
      </c>
      <c r="M10" s="49" t="s">
        <v>101</v>
      </c>
      <c r="N10" s="49" t="s">
        <v>102</v>
      </c>
      <c r="O10" s="49" t="s">
        <v>101</v>
      </c>
      <c r="P10" s="49" t="s">
        <v>102</v>
      </c>
      <c r="Q10" s="49" t="s">
        <v>101</v>
      </c>
      <c r="R10" s="49" t="s">
        <v>102</v>
      </c>
      <c r="S10" s="49" t="s">
        <v>101</v>
      </c>
      <c r="T10" s="49" t="s">
        <v>102</v>
      </c>
      <c r="U10" s="49" t="s">
        <v>101</v>
      </c>
      <c r="V10" s="49" t="s">
        <v>102</v>
      </c>
      <c r="W10" s="49" t="s">
        <v>101</v>
      </c>
      <c r="X10" s="49" t="s">
        <v>102</v>
      </c>
    </row>
    <row r="11" customFormat="false" ht="15" hidden="false" customHeight="false" outlineLevel="0" collapsed="false">
      <c r="A11" s="5" t="n">
        <v>1</v>
      </c>
      <c r="B11" s="19" t="n">
        <v>46204</v>
      </c>
      <c r="C11" s="64" t="n">
        <f aca="false">$B$5</f>
        <v>0.48</v>
      </c>
      <c r="D11" s="52"/>
      <c r="E11" s="5"/>
      <c r="F11" s="5"/>
      <c r="G11" s="53" t="str">
        <f aca="false">IF(D11="","",D11-C11)</f>
        <v/>
      </c>
      <c r="H11" s="13" t="str">
        <f aca="false">IF(D11="","",IF(D11&gt;=C11,"En meta",IF(D11&gt;=C11-0.03,"Riesgo","Atrasado")))</f>
        <v/>
      </c>
      <c r="I11" s="56"/>
      <c r="J11" s="55" t="str">
        <f aca="false">IF(I11="","",IF($I$9="","",IF($I$9=0,"",I11/$I$9)))</f>
        <v/>
      </c>
      <c r="K11" s="56"/>
      <c r="L11" s="55" t="str">
        <f aca="false">IF(K11="","",IF($K$9="","",IF($K$9=0,"",K11/$K$9)))</f>
        <v/>
      </c>
      <c r="M11" s="54"/>
      <c r="N11" s="55" t="str">
        <f aca="false">IF(M11="","",IF($M$9="","",IF($M$9=0,"",M11/$M$9)))</f>
        <v/>
      </c>
      <c r="O11" s="54"/>
      <c r="P11" s="55" t="str">
        <f aca="false">IF(O11="","",IF($O$9="","",IF($O$9=0,"",O11/$O$9)))</f>
        <v/>
      </c>
      <c r="Q11" s="54"/>
      <c r="R11" s="55" t="str">
        <f aca="false">IF(Q11="","",IF($Q$9="","",IF($Q$9=0,"",Q11/$Q$9)))</f>
        <v/>
      </c>
      <c r="S11" s="56"/>
      <c r="T11" s="55" t="str">
        <f aca="false">IF(S11="","",IF($S$9="","",IF($S$9=0,"",S11/$S$9)))</f>
        <v/>
      </c>
      <c r="U11" s="54"/>
      <c r="V11" s="55" t="str">
        <f aca="false">IF(U11="","",IF($U$9="","",IF($U$9=0,"",U11/$U$9)))</f>
        <v/>
      </c>
      <c r="W11" s="54"/>
      <c r="X11" s="55" t="str">
        <f aca="false">IF(W11="","",IF($W$9="","",IF($W$9=0,"",W11/$W$9)))</f>
        <v/>
      </c>
    </row>
    <row r="12" customFormat="false" ht="15" hidden="false" customHeight="false" outlineLevel="0" collapsed="false">
      <c r="A12" s="28" t="n">
        <v>2</v>
      </c>
      <c r="B12" s="20" t="n">
        <v>46235</v>
      </c>
      <c r="C12" s="65" t="n">
        <f aca="false">$B$5</f>
        <v>0.48</v>
      </c>
      <c r="D12" s="52"/>
      <c r="E12" s="28"/>
      <c r="F12" s="28"/>
      <c r="G12" s="59" t="str">
        <f aca="false">IF(D12="","",D12-C12)</f>
        <v/>
      </c>
      <c r="H12" s="14" t="str">
        <f aca="false">IF(D12="","",IF(D12&gt;=C12,"En meta",IF(D12&gt;=C12-0.03,"Riesgo","Atrasado")))</f>
        <v/>
      </c>
      <c r="I12" s="56"/>
      <c r="J12" s="60" t="str">
        <f aca="false">IF(I12="","",IF($I$9="","",IF($I$9=0,"",I12/$I$9)))</f>
        <v/>
      </c>
      <c r="K12" s="56"/>
      <c r="L12" s="60" t="str">
        <f aca="false">IF(K12="","",IF($K$9="","",IF($K$9=0,"",K12/$K$9)))</f>
        <v/>
      </c>
      <c r="M12" s="54"/>
      <c r="N12" s="60" t="str">
        <f aca="false">IF(M12="","",IF($M$9="","",IF($M$9=0,"",M12/$M$9)))</f>
        <v/>
      </c>
      <c r="O12" s="54"/>
      <c r="P12" s="60" t="str">
        <f aca="false">IF(O12="","",IF($O$9="","",IF($O$9=0,"",O12/$O$9)))</f>
        <v/>
      </c>
      <c r="Q12" s="54"/>
      <c r="R12" s="60" t="str">
        <f aca="false">IF(Q12="","",IF($Q$9="","",IF($Q$9=0,"",Q12/$Q$9)))</f>
        <v/>
      </c>
      <c r="S12" s="56"/>
      <c r="T12" s="60" t="str">
        <f aca="false">IF(S12="","",IF($S$9="","",IF($S$9=0,"",S12/$S$9)))</f>
        <v/>
      </c>
      <c r="U12" s="54"/>
      <c r="V12" s="60" t="str">
        <f aca="false">IF(U12="","",IF($U$9="","",IF($U$9=0,"",U12/$U$9)))</f>
        <v/>
      </c>
      <c r="W12" s="54"/>
      <c r="X12" s="60" t="str">
        <f aca="false">IF(W12="","",IF($W$9="","",IF($W$9=0,"",W12/$W$9)))</f>
        <v/>
      </c>
    </row>
    <row r="13" customFormat="false" ht="15" hidden="false" customHeight="false" outlineLevel="0" collapsed="false">
      <c r="A13" s="5" t="n">
        <v>3</v>
      </c>
      <c r="B13" s="19" t="n">
        <v>46266</v>
      </c>
      <c r="C13" s="64" t="n">
        <f aca="false">$B$5</f>
        <v>0.48</v>
      </c>
      <c r="D13" s="52"/>
      <c r="E13" s="5"/>
      <c r="F13" s="5"/>
      <c r="G13" s="53" t="str">
        <f aca="false">IF(D13="","",D13-C13)</f>
        <v/>
      </c>
      <c r="H13" s="13" t="str">
        <f aca="false">IF(D13="","",IF(D13&gt;=C13,"En meta",IF(D13&gt;=C13-0.03,"Riesgo","Atrasado")))</f>
        <v/>
      </c>
      <c r="I13" s="56"/>
      <c r="J13" s="55" t="str">
        <f aca="false">IF(I13="","",IF($I$9="","",IF($I$9=0,"",I13/$I$9)))</f>
        <v/>
      </c>
      <c r="K13" s="56"/>
      <c r="L13" s="55" t="str">
        <f aca="false">IF(K13="","",IF($K$9="","",IF($K$9=0,"",K13/$K$9)))</f>
        <v/>
      </c>
      <c r="M13" s="54"/>
      <c r="N13" s="55" t="str">
        <f aca="false">IF(M13="","",IF($M$9="","",IF($M$9=0,"",M13/$M$9)))</f>
        <v/>
      </c>
      <c r="O13" s="54"/>
      <c r="P13" s="55" t="str">
        <f aca="false">IF(O13="","",IF($O$9="","",IF($O$9=0,"",O13/$O$9)))</f>
        <v/>
      </c>
      <c r="Q13" s="54"/>
      <c r="R13" s="55" t="str">
        <f aca="false">IF(Q13="","",IF($Q$9="","",IF($Q$9=0,"",Q13/$Q$9)))</f>
        <v/>
      </c>
      <c r="S13" s="56"/>
      <c r="T13" s="55" t="str">
        <f aca="false">IF(S13="","",IF($S$9="","",IF($S$9=0,"",S13/$S$9)))</f>
        <v/>
      </c>
      <c r="U13" s="54"/>
      <c r="V13" s="55" t="str">
        <f aca="false">IF(U13="","",IF($U$9="","",IF($U$9=0,"",U13/$U$9)))</f>
        <v/>
      </c>
      <c r="W13" s="54"/>
      <c r="X13" s="55" t="str">
        <f aca="false">IF(W13="","",IF($W$9="","",IF($W$9=0,"",W13/$W$9)))</f>
        <v/>
      </c>
    </row>
    <row r="14" customFormat="false" ht="15" hidden="false" customHeight="false" outlineLevel="0" collapsed="false">
      <c r="A14" s="28" t="n">
        <v>4</v>
      </c>
      <c r="B14" s="20" t="n">
        <v>46296</v>
      </c>
      <c r="C14" s="65" t="n">
        <f aca="false">$B$5</f>
        <v>0.48</v>
      </c>
      <c r="D14" s="52"/>
      <c r="E14" s="28"/>
      <c r="F14" s="28"/>
      <c r="G14" s="59" t="str">
        <f aca="false">IF(D14="","",D14-C14)</f>
        <v/>
      </c>
      <c r="H14" s="14" t="str">
        <f aca="false">IF(D14="","",IF(D14&gt;=C14,"En meta",IF(D14&gt;=C14-0.03,"Riesgo","Atrasado")))</f>
        <v/>
      </c>
      <c r="I14" s="56"/>
      <c r="J14" s="60" t="str">
        <f aca="false">IF(I14="","",IF($I$9="","",IF($I$9=0,"",I14/$I$9)))</f>
        <v/>
      </c>
      <c r="K14" s="56"/>
      <c r="L14" s="60" t="str">
        <f aca="false">IF(K14="","",IF($K$9="","",IF($K$9=0,"",K14/$K$9)))</f>
        <v/>
      </c>
      <c r="M14" s="54"/>
      <c r="N14" s="60" t="str">
        <f aca="false">IF(M14="","",IF($M$9="","",IF($M$9=0,"",M14/$M$9)))</f>
        <v/>
      </c>
      <c r="O14" s="54"/>
      <c r="P14" s="60" t="str">
        <f aca="false">IF(O14="","",IF($O$9="","",IF($O$9=0,"",O14/$O$9)))</f>
        <v/>
      </c>
      <c r="Q14" s="54"/>
      <c r="R14" s="60" t="str">
        <f aca="false">IF(Q14="","",IF($Q$9="","",IF($Q$9=0,"",Q14/$Q$9)))</f>
        <v/>
      </c>
      <c r="S14" s="56"/>
      <c r="T14" s="60" t="str">
        <f aca="false">IF(S14="","",IF($S$9="","",IF($S$9=0,"",S14/$S$9)))</f>
        <v/>
      </c>
      <c r="U14" s="54"/>
      <c r="V14" s="60" t="str">
        <f aca="false">IF(U14="","",IF($U$9="","",IF($U$9=0,"",U14/$U$9)))</f>
        <v/>
      </c>
      <c r="W14" s="54"/>
      <c r="X14" s="60" t="str">
        <f aca="false">IF(W14="","",IF($W$9="","",IF($W$9=0,"",W14/$W$9)))</f>
        <v/>
      </c>
    </row>
    <row r="15" customFormat="false" ht="15" hidden="false" customHeight="false" outlineLevel="0" collapsed="false">
      <c r="A15" s="5" t="n">
        <v>5</v>
      </c>
      <c r="B15" s="19" t="n">
        <v>46327</v>
      </c>
      <c r="C15" s="64" t="n">
        <f aca="false">$B$5</f>
        <v>0.48</v>
      </c>
      <c r="D15" s="52"/>
      <c r="E15" s="5"/>
      <c r="F15" s="5"/>
      <c r="G15" s="53" t="str">
        <f aca="false">IF(D15="","",D15-C15)</f>
        <v/>
      </c>
      <c r="H15" s="13" t="str">
        <f aca="false">IF(D15="","",IF(D15&gt;=C15,"En meta",IF(D15&gt;=C15-0.03,"Riesgo","Atrasado")))</f>
        <v/>
      </c>
      <c r="I15" s="56"/>
      <c r="J15" s="55" t="str">
        <f aca="false">IF(I15="","",IF($I$9="","",IF($I$9=0,"",I15/$I$9)))</f>
        <v/>
      </c>
      <c r="K15" s="56"/>
      <c r="L15" s="55" t="str">
        <f aca="false">IF(K15="","",IF($K$9="","",IF($K$9=0,"",K15/$K$9)))</f>
        <v/>
      </c>
      <c r="M15" s="54"/>
      <c r="N15" s="55" t="str">
        <f aca="false">IF(M15="","",IF($M$9="","",IF($M$9=0,"",M15/$M$9)))</f>
        <v/>
      </c>
      <c r="O15" s="54"/>
      <c r="P15" s="55" t="str">
        <f aca="false">IF(O15="","",IF($O$9="","",IF($O$9=0,"",O15/$O$9)))</f>
        <v/>
      </c>
      <c r="Q15" s="54"/>
      <c r="R15" s="55" t="str">
        <f aca="false">IF(Q15="","",IF($Q$9="","",IF($Q$9=0,"",Q15/$Q$9)))</f>
        <v/>
      </c>
      <c r="S15" s="56"/>
      <c r="T15" s="55" t="str">
        <f aca="false">IF(S15="","",IF($S$9="","",IF($S$9=0,"",S15/$S$9)))</f>
        <v/>
      </c>
      <c r="U15" s="54"/>
      <c r="V15" s="55" t="str">
        <f aca="false">IF(U15="","",IF($U$9="","",IF($U$9=0,"",U15/$U$9)))</f>
        <v/>
      </c>
      <c r="W15" s="54"/>
      <c r="X15" s="55" t="str">
        <f aca="false">IF(W15="","",IF($W$9="","",IF($W$9=0,"",W15/$W$9)))</f>
        <v/>
      </c>
    </row>
    <row r="16" customFormat="false" ht="15" hidden="false" customHeight="false" outlineLevel="0" collapsed="false">
      <c r="A16" s="28" t="n">
        <v>6</v>
      </c>
      <c r="B16" s="20" t="n">
        <v>46357</v>
      </c>
      <c r="C16" s="65" t="n">
        <f aca="false">$B$5</f>
        <v>0.48</v>
      </c>
      <c r="D16" s="52"/>
      <c r="E16" s="28"/>
      <c r="F16" s="28"/>
      <c r="G16" s="59" t="str">
        <f aca="false">IF(D16="","",D16-C16)</f>
        <v/>
      </c>
      <c r="H16" s="14" t="str">
        <f aca="false">IF(D16="","",IF(D16&gt;=C16,"En meta",IF(D16&gt;=C16-0.03,"Riesgo","Atrasado")))</f>
        <v/>
      </c>
      <c r="I16" s="56"/>
      <c r="J16" s="60" t="str">
        <f aca="false">IF(I16="","",IF($I$9="","",IF($I$9=0,"",I16/$I$9)))</f>
        <v/>
      </c>
      <c r="K16" s="56"/>
      <c r="L16" s="60" t="str">
        <f aca="false">IF(K16="","",IF($K$9="","",IF($K$9=0,"",K16/$K$9)))</f>
        <v/>
      </c>
      <c r="M16" s="54"/>
      <c r="N16" s="60" t="str">
        <f aca="false">IF(M16="","",IF($M$9="","",IF($M$9=0,"",M16/$M$9)))</f>
        <v/>
      </c>
      <c r="O16" s="54"/>
      <c r="P16" s="60" t="str">
        <f aca="false">IF(O16="","",IF($O$9="","",IF($O$9=0,"",O16/$O$9)))</f>
        <v/>
      </c>
      <c r="Q16" s="54"/>
      <c r="R16" s="60" t="str">
        <f aca="false">IF(Q16="","",IF($Q$9="","",IF($Q$9=0,"",Q16/$Q$9)))</f>
        <v/>
      </c>
      <c r="S16" s="56"/>
      <c r="T16" s="60" t="str">
        <f aca="false">IF(S16="","",IF($S$9="","",IF($S$9=0,"",S16/$S$9)))</f>
        <v/>
      </c>
      <c r="U16" s="54"/>
      <c r="V16" s="60" t="str">
        <f aca="false">IF(U16="","",IF($U$9="","",IF($U$9=0,"",U16/$U$9)))</f>
        <v/>
      </c>
      <c r="W16" s="54"/>
      <c r="X16" s="60" t="str">
        <f aca="false">IF(W16="","",IF($W$9="","",IF($W$9=0,"",W16/$W$9)))</f>
        <v/>
      </c>
    </row>
    <row r="17" customFormat="false" ht="15" hidden="false" customHeight="false" outlineLevel="0" collapsed="false">
      <c r="A17" s="5" t="n">
        <v>7</v>
      </c>
      <c r="B17" s="19" t="n">
        <v>46388</v>
      </c>
      <c r="C17" s="64" t="n">
        <f aca="false">$B$5</f>
        <v>0.48</v>
      </c>
      <c r="D17" s="52"/>
      <c r="E17" s="5"/>
      <c r="F17" s="5"/>
      <c r="G17" s="53" t="str">
        <f aca="false">IF(D17="","",D17-C17)</f>
        <v/>
      </c>
      <c r="H17" s="13" t="str">
        <f aca="false">IF(D17="","",IF(D17&gt;=C17,"En meta",IF(D17&gt;=C17-0.03,"Riesgo","Atrasado")))</f>
        <v/>
      </c>
      <c r="I17" s="56"/>
      <c r="J17" s="55" t="str">
        <f aca="false">IF(I17="","",IF($I$9="","",IF($I$9=0,"",I17/$I$9)))</f>
        <v/>
      </c>
      <c r="K17" s="56"/>
      <c r="L17" s="55" t="str">
        <f aca="false">IF(K17="","",IF($K$9="","",IF($K$9=0,"",K17/$K$9)))</f>
        <v/>
      </c>
      <c r="M17" s="54"/>
      <c r="N17" s="55" t="str">
        <f aca="false">IF(M17="","",IF($M$9="","",IF($M$9=0,"",M17/$M$9)))</f>
        <v/>
      </c>
      <c r="O17" s="54"/>
      <c r="P17" s="55" t="str">
        <f aca="false">IF(O17="","",IF($O$9="","",IF($O$9=0,"",O17/$O$9)))</f>
        <v/>
      </c>
      <c r="Q17" s="54"/>
      <c r="R17" s="55" t="str">
        <f aca="false">IF(Q17="","",IF($Q$9="","",IF($Q$9=0,"",Q17/$Q$9)))</f>
        <v/>
      </c>
      <c r="S17" s="56"/>
      <c r="T17" s="55" t="str">
        <f aca="false">IF(S17="","",IF($S$9="","",IF($S$9=0,"",S17/$S$9)))</f>
        <v/>
      </c>
      <c r="U17" s="54"/>
      <c r="V17" s="55" t="str">
        <f aca="false">IF(U17="","",IF($U$9="","",IF($U$9=0,"",U17/$U$9)))</f>
        <v/>
      </c>
      <c r="W17" s="54"/>
      <c r="X17" s="55" t="str">
        <f aca="false">IF(W17="","",IF($W$9="","",IF($W$9=0,"",W17/$W$9)))</f>
        <v/>
      </c>
    </row>
    <row r="18" customFormat="false" ht="15" hidden="false" customHeight="false" outlineLevel="0" collapsed="false">
      <c r="A18" s="28" t="n">
        <v>8</v>
      </c>
      <c r="B18" s="20" t="n">
        <v>46419</v>
      </c>
      <c r="C18" s="65" t="n">
        <f aca="false">$B$5</f>
        <v>0.48</v>
      </c>
      <c r="D18" s="52"/>
      <c r="E18" s="28"/>
      <c r="F18" s="28"/>
      <c r="G18" s="59" t="str">
        <f aca="false">IF(D18="","",D18-C18)</f>
        <v/>
      </c>
      <c r="H18" s="14" t="str">
        <f aca="false">IF(D18="","",IF(D18&gt;=C18,"En meta",IF(D18&gt;=C18-0.03,"Riesgo","Atrasado")))</f>
        <v/>
      </c>
      <c r="I18" s="56"/>
      <c r="J18" s="60" t="str">
        <f aca="false">IF(I18="","",IF($I$9="","",IF($I$9=0,"",I18/$I$9)))</f>
        <v/>
      </c>
      <c r="K18" s="56"/>
      <c r="L18" s="60" t="str">
        <f aca="false">IF(K18="","",IF($K$9="","",IF($K$9=0,"",K18/$K$9)))</f>
        <v/>
      </c>
      <c r="M18" s="54"/>
      <c r="N18" s="60" t="str">
        <f aca="false">IF(M18="","",IF($M$9="","",IF($M$9=0,"",M18/$M$9)))</f>
        <v/>
      </c>
      <c r="O18" s="54"/>
      <c r="P18" s="60" t="str">
        <f aca="false">IF(O18="","",IF($O$9="","",IF($O$9=0,"",O18/$O$9)))</f>
        <v/>
      </c>
      <c r="Q18" s="54"/>
      <c r="R18" s="60" t="str">
        <f aca="false">IF(Q18="","",IF($Q$9="","",IF($Q$9=0,"",Q18/$Q$9)))</f>
        <v/>
      </c>
      <c r="S18" s="56"/>
      <c r="T18" s="60" t="str">
        <f aca="false">IF(S18="","",IF($S$9="","",IF($S$9=0,"",S18/$S$9)))</f>
        <v/>
      </c>
      <c r="U18" s="54"/>
      <c r="V18" s="60" t="str">
        <f aca="false">IF(U18="","",IF($U$9="","",IF($U$9=0,"",U18/$U$9)))</f>
        <v/>
      </c>
      <c r="W18" s="54"/>
      <c r="X18" s="60" t="str">
        <f aca="false">IF(W18="","",IF($W$9="","",IF($W$9=0,"",W18/$W$9)))</f>
        <v/>
      </c>
    </row>
    <row r="19" customFormat="false" ht="15" hidden="false" customHeight="false" outlineLevel="0" collapsed="false">
      <c r="A19" s="5" t="n">
        <v>9</v>
      </c>
      <c r="B19" s="19" t="n">
        <v>46447</v>
      </c>
      <c r="C19" s="64" t="n">
        <f aca="false">$B$5</f>
        <v>0.48</v>
      </c>
      <c r="D19" s="52"/>
      <c r="E19" s="5"/>
      <c r="F19" s="5"/>
      <c r="G19" s="53" t="str">
        <f aca="false">IF(D19="","",D19-C19)</f>
        <v/>
      </c>
      <c r="H19" s="13" t="str">
        <f aca="false">IF(D19="","",IF(D19&gt;=C19,"En meta",IF(D19&gt;=C19-0.03,"Riesgo","Atrasado")))</f>
        <v/>
      </c>
      <c r="I19" s="56"/>
      <c r="J19" s="55" t="str">
        <f aca="false">IF(I19="","",IF($I$9="","",IF($I$9=0,"",I19/$I$9)))</f>
        <v/>
      </c>
      <c r="K19" s="56"/>
      <c r="L19" s="55" t="str">
        <f aca="false">IF(K19="","",IF($K$9="","",IF($K$9=0,"",K19/$K$9)))</f>
        <v/>
      </c>
      <c r="M19" s="54"/>
      <c r="N19" s="55" t="str">
        <f aca="false">IF(M19="","",IF($M$9="","",IF($M$9=0,"",M19/$M$9)))</f>
        <v/>
      </c>
      <c r="O19" s="54"/>
      <c r="P19" s="55" t="str">
        <f aca="false">IF(O19="","",IF($O$9="","",IF($O$9=0,"",O19/$O$9)))</f>
        <v/>
      </c>
      <c r="Q19" s="54"/>
      <c r="R19" s="55" t="str">
        <f aca="false">IF(Q19="","",IF($Q$9="","",IF($Q$9=0,"",Q19/$Q$9)))</f>
        <v/>
      </c>
      <c r="S19" s="56"/>
      <c r="T19" s="55" t="str">
        <f aca="false">IF(S19="","",IF($S$9="","",IF($S$9=0,"",S19/$S$9)))</f>
        <v/>
      </c>
      <c r="U19" s="54"/>
      <c r="V19" s="55" t="str">
        <f aca="false">IF(U19="","",IF($U$9="","",IF($U$9=0,"",U19/$U$9)))</f>
        <v/>
      </c>
      <c r="W19" s="54"/>
      <c r="X19" s="55" t="str">
        <f aca="false">IF(W19="","",IF($W$9="","",IF($W$9=0,"",W19/$W$9)))</f>
        <v/>
      </c>
    </row>
    <row r="20" customFormat="false" ht="15" hidden="false" customHeight="false" outlineLevel="0" collapsed="false">
      <c r="A20" s="28" t="n">
        <v>10</v>
      </c>
      <c r="B20" s="20" t="n">
        <v>46478</v>
      </c>
      <c r="C20" s="65" t="n">
        <f aca="false">$B$5</f>
        <v>0.48</v>
      </c>
      <c r="D20" s="52"/>
      <c r="E20" s="28"/>
      <c r="F20" s="28"/>
      <c r="G20" s="59" t="str">
        <f aca="false">IF(D20="","",D20-C20)</f>
        <v/>
      </c>
      <c r="H20" s="14" t="str">
        <f aca="false">IF(D20="","",IF(D20&gt;=C20,"En meta",IF(D20&gt;=C20-0.03,"Riesgo","Atrasado")))</f>
        <v/>
      </c>
      <c r="I20" s="56"/>
      <c r="J20" s="60" t="str">
        <f aca="false">IF(I20="","",IF($I$9="","",IF($I$9=0,"",I20/$I$9)))</f>
        <v/>
      </c>
      <c r="K20" s="56"/>
      <c r="L20" s="60" t="str">
        <f aca="false">IF(K20="","",IF($K$9="","",IF($K$9=0,"",K20/$K$9)))</f>
        <v/>
      </c>
      <c r="M20" s="54"/>
      <c r="N20" s="60" t="str">
        <f aca="false">IF(M20="","",IF($M$9="","",IF($M$9=0,"",M20/$M$9)))</f>
        <v/>
      </c>
      <c r="O20" s="54"/>
      <c r="P20" s="60" t="str">
        <f aca="false">IF(O20="","",IF($O$9="","",IF($O$9=0,"",O20/$O$9)))</f>
        <v/>
      </c>
      <c r="Q20" s="54"/>
      <c r="R20" s="60" t="str">
        <f aca="false">IF(Q20="","",IF($Q$9="","",IF($Q$9=0,"",Q20/$Q$9)))</f>
        <v/>
      </c>
      <c r="S20" s="56"/>
      <c r="T20" s="60" t="str">
        <f aca="false">IF(S20="","",IF($S$9="","",IF($S$9=0,"",S20/$S$9)))</f>
        <v/>
      </c>
      <c r="U20" s="54"/>
      <c r="V20" s="60" t="str">
        <f aca="false">IF(U20="","",IF($U$9="","",IF($U$9=0,"",U20/$U$9)))</f>
        <v/>
      </c>
      <c r="W20" s="54"/>
      <c r="X20" s="60" t="str">
        <f aca="false">IF(W20="","",IF($W$9="","",IF($W$9=0,"",W20/$W$9)))</f>
        <v/>
      </c>
    </row>
    <row r="21" customFormat="false" ht="15" hidden="false" customHeight="false" outlineLevel="0" collapsed="false">
      <c r="A21" s="5" t="n">
        <v>11</v>
      </c>
      <c r="B21" s="19" t="n">
        <v>46508</v>
      </c>
      <c r="C21" s="64" t="n">
        <f aca="false">$B$5</f>
        <v>0.48</v>
      </c>
      <c r="D21" s="52"/>
      <c r="E21" s="5"/>
      <c r="F21" s="5"/>
      <c r="G21" s="53" t="str">
        <f aca="false">IF(D21="","",D21-C21)</f>
        <v/>
      </c>
      <c r="H21" s="13" t="str">
        <f aca="false">IF(D21="","",IF(D21&gt;=C21,"En meta",IF(D21&gt;=C21-0.03,"Riesgo","Atrasado")))</f>
        <v/>
      </c>
      <c r="I21" s="56"/>
      <c r="J21" s="55" t="str">
        <f aca="false">IF(I21="","",IF($I$9="","",IF($I$9=0,"",I21/$I$9)))</f>
        <v/>
      </c>
      <c r="K21" s="56"/>
      <c r="L21" s="55" t="str">
        <f aca="false">IF(K21="","",IF($K$9="","",IF($K$9=0,"",K21/$K$9)))</f>
        <v/>
      </c>
      <c r="M21" s="54"/>
      <c r="N21" s="55" t="str">
        <f aca="false">IF(M21="","",IF($M$9="","",IF($M$9=0,"",M21/$M$9)))</f>
        <v/>
      </c>
      <c r="O21" s="54"/>
      <c r="P21" s="55" t="str">
        <f aca="false">IF(O21="","",IF($O$9="","",IF($O$9=0,"",O21/$O$9)))</f>
        <v/>
      </c>
      <c r="Q21" s="54"/>
      <c r="R21" s="55" t="str">
        <f aca="false">IF(Q21="","",IF($Q$9="","",IF($Q$9=0,"",Q21/$Q$9)))</f>
        <v/>
      </c>
      <c r="S21" s="56"/>
      <c r="T21" s="55" t="str">
        <f aca="false">IF(S21="","",IF($S$9="","",IF($S$9=0,"",S21/$S$9)))</f>
        <v/>
      </c>
      <c r="U21" s="54"/>
      <c r="V21" s="55" t="str">
        <f aca="false">IF(U21="","",IF($U$9="","",IF($U$9=0,"",U21/$U$9)))</f>
        <v/>
      </c>
      <c r="W21" s="54"/>
      <c r="X21" s="55" t="str">
        <f aca="false">IF(W21="","",IF($W$9="","",IF($W$9=0,"",W21/$W$9)))</f>
        <v/>
      </c>
    </row>
    <row r="22" customFormat="false" ht="15" hidden="false" customHeight="false" outlineLevel="0" collapsed="false">
      <c r="A22" s="28" t="n">
        <v>12</v>
      </c>
      <c r="B22" s="20" t="n">
        <v>46539</v>
      </c>
      <c r="C22" s="65" t="n">
        <f aca="false">$B$5</f>
        <v>0.48</v>
      </c>
      <c r="D22" s="52"/>
      <c r="E22" s="28"/>
      <c r="F22" s="28"/>
      <c r="G22" s="59" t="str">
        <f aca="false">IF(D22="","",D22-C22)</f>
        <v/>
      </c>
      <c r="H22" s="14" t="str">
        <f aca="false">IF(D22="","",IF(D22&gt;=C22,"En meta",IF(D22&gt;=C22-0.03,"Riesgo","Atrasado")))</f>
        <v/>
      </c>
      <c r="I22" s="56"/>
      <c r="J22" s="60" t="str">
        <f aca="false">IF(I22="","",IF($I$9="","",IF($I$9=0,"",I22/$I$9)))</f>
        <v/>
      </c>
      <c r="K22" s="56"/>
      <c r="L22" s="60" t="str">
        <f aca="false">IF(K22="","",IF($K$9="","",IF($K$9=0,"",K22/$K$9)))</f>
        <v/>
      </c>
      <c r="M22" s="54"/>
      <c r="N22" s="60" t="str">
        <f aca="false">IF(M22="","",IF($M$9="","",IF($M$9=0,"",M22/$M$9)))</f>
        <v/>
      </c>
      <c r="O22" s="54"/>
      <c r="P22" s="60" t="str">
        <f aca="false">IF(O22="","",IF($O$9="","",IF($O$9=0,"",O22/$O$9)))</f>
        <v/>
      </c>
      <c r="Q22" s="54"/>
      <c r="R22" s="60" t="str">
        <f aca="false">IF(Q22="","",IF($Q$9="","",IF($Q$9=0,"",Q22/$Q$9)))</f>
        <v/>
      </c>
      <c r="S22" s="56"/>
      <c r="T22" s="60" t="str">
        <f aca="false">IF(S22="","",IF($S$9="","",IF($S$9=0,"",S22/$S$9)))</f>
        <v/>
      </c>
      <c r="U22" s="54"/>
      <c r="V22" s="60" t="str">
        <f aca="false">IF(U22="","",IF($U$9="","",IF($U$9=0,"",U22/$U$9)))</f>
        <v/>
      </c>
      <c r="W22" s="54"/>
      <c r="X22" s="60" t="str">
        <f aca="false">IF(W22="","",IF($W$9="","",IF($W$9=0,"",W22/$W$9)))</f>
        <v/>
      </c>
    </row>
    <row r="23" customFormat="false" ht="15" hidden="false" customHeight="false" outlineLevel="0" collapsed="false">
      <c r="A23" s="5" t="n">
        <v>13</v>
      </c>
      <c r="B23" s="19" t="n">
        <v>46569</v>
      </c>
      <c r="C23" s="64" t="n">
        <f aca="false">$B$5</f>
        <v>0.48</v>
      </c>
      <c r="D23" s="52"/>
      <c r="E23" s="5"/>
      <c r="F23" s="5"/>
      <c r="G23" s="53" t="str">
        <f aca="false">IF(D23="","",D23-C23)</f>
        <v/>
      </c>
      <c r="H23" s="13" t="str">
        <f aca="false">IF(D23="","",IF(D23&gt;=C23,"En meta",IF(D23&gt;=C23-0.03,"Riesgo","Atrasado")))</f>
        <v/>
      </c>
      <c r="I23" s="56"/>
      <c r="J23" s="55" t="str">
        <f aca="false">IF(I23="","",IF($I$9="","",IF($I$9=0,"",I23/$I$9)))</f>
        <v/>
      </c>
      <c r="K23" s="56"/>
      <c r="L23" s="55" t="str">
        <f aca="false">IF(K23="","",IF($K$9="","",IF($K$9=0,"",K23/$K$9)))</f>
        <v/>
      </c>
      <c r="M23" s="54"/>
      <c r="N23" s="55" t="str">
        <f aca="false">IF(M23="","",IF($M$9="","",IF($M$9=0,"",M23/$M$9)))</f>
        <v/>
      </c>
      <c r="O23" s="54"/>
      <c r="P23" s="55" t="str">
        <f aca="false">IF(O23="","",IF($O$9="","",IF($O$9=0,"",O23/$O$9)))</f>
        <v/>
      </c>
      <c r="Q23" s="54"/>
      <c r="R23" s="55" t="str">
        <f aca="false">IF(Q23="","",IF($Q$9="","",IF($Q$9=0,"",Q23/$Q$9)))</f>
        <v/>
      </c>
      <c r="S23" s="56"/>
      <c r="T23" s="55" t="str">
        <f aca="false">IF(S23="","",IF($S$9="","",IF($S$9=0,"",S23/$S$9)))</f>
        <v/>
      </c>
      <c r="U23" s="54"/>
      <c r="V23" s="55" t="str">
        <f aca="false">IF(U23="","",IF($U$9="","",IF($U$9=0,"",U23/$U$9)))</f>
        <v/>
      </c>
      <c r="W23" s="54"/>
      <c r="X23" s="55" t="str">
        <f aca="false">IF(W23="","",IF($W$9="","",IF($W$9=0,"",W23/$W$9)))</f>
        <v/>
      </c>
    </row>
    <row r="24" customFormat="false" ht="15" hidden="false" customHeight="false" outlineLevel="0" collapsed="false">
      <c r="A24" s="28" t="n">
        <v>14</v>
      </c>
      <c r="B24" s="20" t="n">
        <v>46600</v>
      </c>
      <c r="C24" s="65" t="n">
        <f aca="false">$B$5</f>
        <v>0.48</v>
      </c>
      <c r="D24" s="52"/>
      <c r="E24" s="28"/>
      <c r="F24" s="28"/>
      <c r="G24" s="59" t="str">
        <f aca="false">IF(D24="","",D24-C24)</f>
        <v/>
      </c>
      <c r="H24" s="14" t="str">
        <f aca="false">IF(D24="","",IF(D24&gt;=C24,"En meta",IF(D24&gt;=C24-0.03,"Riesgo","Atrasado")))</f>
        <v/>
      </c>
      <c r="I24" s="56"/>
      <c r="J24" s="60" t="str">
        <f aca="false">IF(I24="","",IF($I$9="","",IF($I$9=0,"",I24/$I$9)))</f>
        <v/>
      </c>
      <c r="K24" s="56"/>
      <c r="L24" s="60" t="str">
        <f aca="false">IF(K24="","",IF($K$9="","",IF($K$9=0,"",K24/$K$9)))</f>
        <v/>
      </c>
      <c r="M24" s="54"/>
      <c r="N24" s="60" t="str">
        <f aca="false">IF(M24="","",IF($M$9="","",IF($M$9=0,"",M24/$M$9)))</f>
        <v/>
      </c>
      <c r="O24" s="54"/>
      <c r="P24" s="60" t="str">
        <f aca="false">IF(O24="","",IF($O$9="","",IF($O$9=0,"",O24/$O$9)))</f>
        <v/>
      </c>
      <c r="Q24" s="54"/>
      <c r="R24" s="60" t="str">
        <f aca="false">IF(Q24="","",IF($Q$9="","",IF($Q$9=0,"",Q24/$Q$9)))</f>
        <v/>
      </c>
      <c r="S24" s="56"/>
      <c r="T24" s="60" t="str">
        <f aca="false">IF(S24="","",IF($S$9="","",IF($S$9=0,"",S24/$S$9)))</f>
        <v/>
      </c>
      <c r="U24" s="54"/>
      <c r="V24" s="60" t="str">
        <f aca="false">IF(U24="","",IF($U$9="","",IF($U$9=0,"",U24/$U$9)))</f>
        <v/>
      </c>
      <c r="W24" s="54"/>
      <c r="X24" s="60" t="str">
        <f aca="false">IF(W24="","",IF($W$9="","",IF($W$9=0,"",W24/$W$9)))</f>
        <v/>
      </c>
    </row>
    <row r="25" customFormat="false" ht="15" hidden="false" customHeight="false" outlineLevel="0" collapsed="false">
      <c r="A25" s="5" t="n">
        <v>15</v>
      </c>
      <c r="B25" s="19" t="n">
        <v>46631</v>
      </c>
      <c r="C25" s="64" t="n">
        <f aca="false">$B$5</f>
        <v>0.48</v>
      </c>
      <c r="D25" s="52"/>
      <c r="E25" s="5"/>
      <c r="F25" s="5"/>
      <c r="G25" s="53" t="str">
        <f aca="false">IF(D25="","",D25-C25)</f>
        <v/>
      </c>
      <c r="H25" s="13" t="str">
        <f aca="false">IF(D25="","",IF(D25&gt;=C25,"En meta",IF(D25&gt;=C25-0.03,"Riesgo","Atrasado")))</f>
        <v/>
      </c>
      <c r="I25" s="56"/>
      <c r="J25" s="55" t="str">
        <f aca="false">IF(I25="","",IF($I$9="","",IF($I$9=0,"",I25/$I$9)))</f>
        <v/>
      </c>
      <c r="K25" s="56"/>
      <c r="L25" s="55" t="str">
        <f aca="false">IF(K25="","",IF($K$9="","",IF($K$9=0,"",K25/$K$9)))</f>
        <v/>
      </c>
      <c r="M25" s="54"/>
      <c r="N25" s="55" t="str">
        <f aca="false">IF(M25="","",IF($M$9="","",IF($M$9=0,"",M25/$M$9)))</f>
        <v/>
      </c>
      <c r="O25" s="54"/>
      <c r="P25" s="55" t="str">
        <f aca="false">IF(O25="","",IF($O$9="","",IF($O$9=0,"",O25/$O$9)))</f>
        <v/>
      </c>
      <c r="Q25" s="54"/>
      <c r="R25" s="55" t="str">
        <f aca="false">IF(Q25="","",IF($Q$9="","",IF($Q$9=0,"",Q25/$Q$9)))</f>
        <v/>
      </c>
      <c r="S25" s="56"/>
      <c r="T25" s="55" t="str">
        <f aca="false">IF(S25="","",IF($S$9="","",IF($S$9=0,"",S25/$S$9)))</f>
        <v/>
      </c>
      <c r="U25" s="54"/>
      <c r="V25" s="55" t="str">
        <f aca="false">IF(U25="","",IF($U$9="","",IF($U$9=0,"",U25/$U$9)))</f>
        <v/>
      </c>
      <c r="W25" s="54"/>
      <c r="X25" s="55" t="str">
        <f aca="false">IF(W25="","",IF($W$9="","",IF($W$9=0,"",W25/$W$9)))</f>
        <v/>
      </c>
    </row>
    <row r="26" customFormat="false" ht="15" hidden="false" customHeight="false" outlineLevel="0" collapsed="false">
      <c r="A26" s="28" t="n">
        <v>16</v>
      </c>
      <c r="B26" s="20" t="n">
        <v>46661</v>
      </c>
      <c r="C26" s="65" t="n">
        <f aca="false">$B$5</f>
        <v>0.48</v>
      </c>
      <c r="D26" s="52"/>
      <c r="E26" s="28"/>
      <c r="F26" s="28"/>
      <c r="G26" s="59" t="str">
        <f aca="false">IF(D26="","",D26-C26)</f>
        <v/>
      </c>
      <c r="H26" s="14" t="str">
        <f aca="false">IF(D26="","",IF(D26&gt;=C26,"En meta",IF(D26&gt;=C26-0.03,"Riesgo","Atrasado")))</f>
        <v/>
      </c>
      <c r="I26" s="56"/>
      <c r="J26" s="60" t="str">
        <f aca="false">IF(I26="","",IF($I$9="","",IF($I$9=0,"",I26/$I$9)))</f>
        <v/>
      </c>
      <c r="K26" s="56"/>
      <c r="L26" s="60" t="str">
        <f aca="false">IF(K26="","",IF($K$9="","",IF($K$9=0,"",K26/$K$9)))</f>
        <v/>
      </c>
      <c r="M26" s="54"/>
      <c r="N26" s="60" t="str">
        <f aca="false">IF(M26="","",IF($M$9="","",IF($M$9=0,"",M26/$M$9)))</f>
        <v/>
      </c>
      <c r="O26" s="54"/>
      <c r="P26" s="60" t="str">
        <f aca="false">IF(O26="","",IF($O$9="","",IF($O$9=0,"",O26/$O$9)))</f>
        <v/>
      </c>
      <c r="Q26" s="54"/>
      <c r="R26" s="60" t="str">
        <f aca="false">IF(Q26="","",IF($Q$9="","",IF($Q$9=0,"",Q26/$Q$9)))</f>
        <v/>
      </c>
      <c r="S26" s="56"/>
      <c r="T26" s="60" t="str">
        <f aca="false">IF(S26="","",IF($S$9="","",IF($S$9=0,"",S26/$S$9)))</f>
        <v/>
      </c>
      <c r="U26" s="54"/>
      <c r="V26" s="60" t="str">
        <f aca="false">IF(U26="","",IF($U$9="","",IF($U$9=0,"",U26/$U$9)))</f>
        <v/>
      </c>
      <c r="W26" s="54"/>
      <c r="X26" s="60" t="str">
        <f aca="false">IF(W26="","",IF($W$9="","",IF($W$9=0,"",W26/$W$9)))</f>
        <v/>
      </c>
    </row>
    <row r="27" customFormat="false" ht="15" hidden="false" customHeight="false" outlineLevel="0" collapsed="false">
      <c r="A27" s="5" t="n">
        <v>17</v>
      </c>
      <c r="B27" s="19" t="n">
        <v>46692</v>
      </c>
      <c r="C27" s="64" t="n">
        <f aca="false">$B$5</f>
        <v>0.48</v>
      </c>
      <c r="D27" s="52"/>
      <c r="E27" s="5"/>
      <c r="F27" s="5"/>
      <c r="G27" s="53" t="str">
        <f aca="false">IF(D27="","",D27-C27)</f>
        <v/>
      </c>
      <c r="H27" s="13" t="str">
        <f aca="false">IF(D27="","",IF(D27&gt;=C27,"En meta",IF(D27&gt;=C27-0.03,"Riesgo","Atrasado")))</f>
        <v/>
      </c>
      <c r="I27" s="56"/>
      <c r="J27" s="55" t="str">
        <f aca="false">IF(I27="","",IF($I$9="","",IF($I$9=0,"",I27/$I$9)))</f>
        <v/>
      </c>
      <c r="K27" s="56"/>
      <c r="L27" s="55" t="str">
        <f aca="false">IF(K27="","",IF($K$9="","",IF($K$9=0,"",K27/$K$9)))</f>
        <v/>
      </c>
      <c r="M27" s="54"/>
      <c r="N27" s="55" t="str">
        <f aca="false">IF(M27="","",IF($M$9="","",IF($M$9=0,"",M27/$M$9)))</f>
        <v/>
      </c>
      <c r="O27" s="54"/>
      <c r="P27" s="55" t="str">
        <f aca="false">IF(O27="","",IF($O$9="","",IF($O$9=0,"",O27/$O$9)))</f>
        <v/>
      </c>
      <c r="Q27" s="54"/>
      <c r="R27" s="55" t="str">
        <f aca="false">IF(Q27="","",IF($Q$9="","",IF($Q$9=0,"",Q27/$Q$9)))</f>
        <v/>
      </c>
      <c r="S27" s="56"/>
      <c r="T27" s="55" t="str">
        <f aca="false">IF(S27="","",IF($S$9="","",IF($S$9=0,"",S27/$S$9)))</f>
        <v/>
      </c>
      <c r="U27" s="54"/>
      <c r="V27" s="55" t="str">
        <f aca="false">IF(U27="","",IF($U$9="","",IF($U$9=0,"",U27/$U$9)))</f>
        <v/>
      </c>
      <c r="W27" s="54"/>
      <c r="X27" s="55" t="str">
        <f aca="false">IF(W27="","",IF($W$9="","",IF($W$9=0,"",W27/$W$9)))</f>
        <v/>
      </c>
    </row>
    <row r="28" customFormat="false" ht="15" hidden="false" customHeight="false" outlineLevel="0" collapsed="false">
      <c r="A28" s="28" t="n">
        <v>18</v>
      </c>
      <c r="B28" s="20" t="n">
        <v>46722</v>
      </c>
      <c r="C28" s="65" t="n">
        <f aca="false">$B$5</f>
        <v>0.48</v>
      </c>
      <c r="D28" s="52"/>
      <c r="E28" s="28"/>
      <c r="F28" s="28"/>
      <c r="G28" s="59" t="str">
        <f aca="false">IF(D28="","",D28-C28)</f>
        <v/>
      </c>
      <c r="H28" s="14" t="str">
        <f aca="false">IF(D28="","",IF(D28&gt;=C28,"En meta",IF(D28&gt;=C28-0.03,"Riesgo","Atrasado")))</f>
        <v/>
      </c>
      <c r="I28" s="56"/>
      <c r="J28" s="60" t="str">
        <f aca="false">IF(I28="","",IF($I$9="","",IF($I$9=0,"",I28/$I$9)))</f>
        <v/>
      </c>
      <c r="K28" s="56"/>
      <c r="L28" s="60" t="str">
        <f aca="false">IF(K28="","",IF($K$9="","",IF($K$9=0,"",K28/$K$9)))</f>
        <v/>
      </c>
      <c r="M28" s="54"/>
      <c r="N28" s="60" t="str">
        <f aca="false">IF(M28="","",IF($M$9="","",IF($M$9=0,"",M28/$M$9)))</f>
        <v/>
      </c>
      <c r="O28" s="54"/>
      <c r="P28" s="60" t="str">
        <f aca="false">IF(O28="","",IF($O$9="","",IF($O$9=0,"",O28/$O$9)))</f>
        <v/>
      </c>
      <c r="Q28" s="54"/>
      <c r="R28" s="60" t="str">
        <f aca="false">IF(Q28="","",IF($Q$9="","",IF($Q$9=0,"",Q28/$Q$9)))</f>
        <v/>
      </c>
      <c r="S28" s="56"/>
      <c r="T28" s="60" t="str">
        <f aca="false">IF(S28="","",IF($S$9="","",IF($S$9=0,"",S28/$S$9)))</f>
        <v/>
      </c>
      <c r="U28" s="54"/>
      <c r="V28" s="60" t="str">
        <f aca="false">IF(U28="","",IF($U$9="","",IF($U$9=0,"",U28/$U$9)))</f>
        <v/>
      </c>
      <c r="W28" s="54"/>
      <c r="X28" s="60" t="str">
        <f aca="false">IF(W28="","",IF($W$9="","",IF($W$9=0,"",W28/$W$9)))</f>
        <v/>
      </c>
    </row>
  </sheetData>
  <mergeCells count="17">
    <mergeCell ref="A1:X1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39" t="s">
        <v>206</v>
      </c>
      <c r="B1" s="39"/>
      <c r="C1" s="39"/>
      <c r="D1" s="39"/>
      <c r="E1" s="39"/>
      <c r="F1" s="39"/>
    </row>
    <row r="2" customFormat="false" ht="35.05" hidden="false" customHeight="true" outlineLevel="0" collapsed="false">
      <c r="A2" s="76" t="s">
        <v>207</v>
      </c>
      <c r="B2" s="76"/>
      <c r="C2" s="76"/>
      <c r="D2" s="76"/>
      <c r="E2" s="76"/>
      <c r="F2" s="76"/>
    </row>
    <row r="4" customFormat="false" ht="15" hidden="false" customHeight="false" outlineLevel="0" collapsed="false">
      <c r="A4" s="17" t="s">
        <v>208</v>
      </c>
      <c r="B4" s="77" t="n">
        <v>21000000</v>
      </c>
      <c r="D4" s="17" t="s">
        <v>209</v>
      </c>
      <c r="E4" s="78" t="n">
        <v>0.16</v>
      </c>
    </row>
    <row r="5" customFormat="false" ht="17.35" hidden="false" customHeight="false" outlineLevel="0" collapsed="false">
      <c r="A5" s="17" t="s">
        <v>210</v>
      </c>
      <c r="B5" s="77" t="n">
        <f aca="false">B4*E4</f>
        <v>3360000</v>
      </c>
      <c r="D5" s="17" t="s">
        <v>211</v>
      </c>
      <c r="E5" s="79" t="n">
        <v>1000000</v>
      </c>
    </row>
    <row r="6" customFormat="false" ht="15" hidden="false" customHeight="false" outlineLevel="0" collapsed="false">
      <c r="A6" s="17" t="s">
        <v>212</v>
      </c>
      <c r="B6" s="77" t="n">
        <f aca="false">IFERROR(LOOKUP(2,1/($B$12:$B$40&lt;&gt;""),$B$12:$B$40),0)</f>
        <v>0</v>
      </c>
      <c r="D6" s="17" t="s">
        <v>213</v>
      </c>
      <c r="E6" s="78" t="n">
        <f aca="false">IFERROR(B6/B5,0)</f>
        <v>0</v>
      </c>
    </row>
    <row r="7" customFormat="false" ht="15" hidden="false" customHeight="false" outlineLevel="0" collapsed="false">
      <c r="A7" s="17" t="s">
        <v>214</v>
      </c>
      <c r="B7" s="77" t="n">
        <f aca="false">B5-B6</f>
        <v>3360000</v>
      </c>
      <c r="D7" s="17" t="s">
        <v>215</v>
      </c>
      <c r="E7" s="78" t="n">
        <v>0.0476190476190476</v>
      </c>
    </row>
    <row r="9" customFormat="false" ht="15" hidden="false" customHeight="false" outlineLevel="0" collapsed="false">
      <c r="A9" s="3" t="s">
        <v>216</v>
      </c>
    </row>
    <row r="11" customFormat="false" ht="23.85" hidden="false" customHeight="false" outlineLevel="0" collapsed="false">
      <c r="A11" s="12" t="s">
        <v>99</v>
      </c>
      <c r="B11" s="12" t="s">
        <v>217</v>
      </c>
      <c r="C11" s="12" t="s">
        <v>20</v>
      </c>
      <c r="D11" s="12" t="s">
        <v>218</v>
      </c>
      <c r="E11" s="12" t="s">
        <v>23</v>
      </c>
    </row>
    <row r="12" customFormat="false" ht="15" hidden="false" customHeight="false" outlineLevel="0" collapsed="false">
      <c r="A12" s="50" t="n">
        <v>46188</v>
      </c>
      <c r="B12" s="8"/>
      <c r="C12" s="80" t="n">
        <f aca="false">$B$5</f>
        <v>3360000</v>
      </c>
      <c r="D12" s="80" t="str">
        <f aca="false">IF(B12="","",C12-B12)</f>
        <v/>
      </c>
      <c r="E12" s="7" t="str">
        <f aca="false">IF(B12="","",B12/C12)</f>
        <v/>
      </c>
    </row>
    <row r="13" customFormat="false" ht="15" hidden="false" customHeight="false" outlineLevel="0" collapsed="false">
      <c r="A13" s="57" t="n">
        <v>46195</v>
      </c>
      <c r="B13" s="8"/>
      <c r="C13" s="81" t="n">
        <f aca="false">$B$5</f>
        <v>3360000</v>
      </c>
      <c r="D13" s="81" t="str">
        <f aca="false">IF(B13="","",C13-B13)</f>
        <v/>
      </c>
      <c r="E13" s="16" t="str">
        <f aca="false">IF(B13="","",B13/C13)</f>
        <v/>
      </c>
    </row>
    <row r="14" customFormat="false" ht="15" hidden="false" customHeight="false" outlineLevel="0" collapsed="false">
      <c r="A14" s="50" t="n">
        <v>46202</v>
      </c>
      <c r="B14" s="8"/>
      <c r="C14" s="80" t="n">
        <f aca="false">$B$5</f>
        <v>3360000</v>
      </c>
      <c r="D14" s="80" t="str">
        <f aca="false">IF(B14="","",C14-B14)</f>
        <v/>
      </c>
      <c r="E14" s="7" t="str">
        <f aca="false">IF(B14="","",B14/C14)</f>
        <v/>
      </c>
    </row>
    <row r="15" customFormat="false" ht="15" hidden="false" customHeight="false" outlineLevel="0" collapsed="false">
      <c r="A15" s="57" t="n">
        <v>46209</v>
      </c>
      <c r="B15" s="8"/>
      <c r="C15" s="81" t="n">
        <f aca="false">$B$5</f>
        <v>3360000</v>
      </c>
      <c r="D15" s="81" t="str">
        <f aca="false">IF(B15="","",C15-B15)</f>
        <v/>
      </c>
      <c r="E15" s="16" t="str">
        <f aca="false">IF(B15="","",B15/C15)</f>
        <v/>
      </c>
    </row>
    <row r="16" customFormat="false" ht="15" hidden="false" customHeight="false" outlineLevel="0" collapsed="false">
      <c r="A16" s="50" t="n">
        <v>46216</v>
      </c>
      <c r="B16" s="8"/>
      <c r="C16" s="80" t="n">
        <f aca="false">$B$5</f>
        <v>3360000</v>
      </c>
      <c r="D16" s="80" t="str">
        <f aca="false">IF(B16="","",C16-B16)</f>
        <v/>
      </c>
      <c r="E16" s="7" t="str">
        <f aca="false">IF(B16="","",B16/C16)</f>
        <v/>
      </c>
    </row>
    <row r="17" customFormat="false" ht="15" hidden="false" customHeight="false" outlineLevel="0" collapsed="false">
      <c r="A17" s="57" t="n">
        <v>46223</v>
      </c>
      <c r="B17" s="8"/>
      <c r="C17" s="81" t="n">
        <f aca="false">$B$5</f>
        <v>3360000</v>
      </c>
      <c r="D17" s="81" t="str">
        <f aca="false">IF(B17="","",C17-B17)</f>
        <v/>
      </c>
      <c r="E17" s="16" t="str">
        <f aca="false">IF(B17="","",B17/C17)</f>
        <v/>
      </c>
    </row>
    <row r="18" customFormat="false" ht="15" hidden="false" customHeight="false" outlineLevel="0" collapsed="false">
      <c r="A18" s="50" t="n">
        <v>46230</v>
      </c>
      <c r="B18" s="8"/>
      <c r="C18" s="80" t="n">
        <f aca="false">$B$5</f>
        <v>3360000</v>
      </c>
      <c r="D18" s="80" t="str">
        <f aca="false">IF(B18="","",C18-B18)</f>
        <v/>
      </c>
      <c r="E18" s="7" t="str">
        <f aca="false">IF(B18="","",B18/C18)</f>
        <v/>
      </c>
    </row>
    <row r="19" customFormat="false" ht="15" hidden="false" customHeight="false" outlineLevel="0" collapsed="false">
      <c r="A19" s="57" t="n">
        <v>46237</v>
      </c>
      <c r="B19" s="8"/>
      <c r="C19" s="81" t="n">
        <f aca="false">$B$5</f>
        <v>3360000</v>
      </c>
      <c r="D19" s="81" t="str">
        <f aca="false">IF(B19="","",C19-B19)</f>
        <v/>
      </c>
      <c r="E19" s="16" t="str">
        <f aca="false">IF(B19="","",B19/C19)</f>
        <v/>
      </c>
    </row>
    <row r="20" customFormat="false" ht="15" hidden="false" customHeight="false" outlineLevel="0" collapsed="false">
      <c r="A20" s="50" t="n">
        <v>46244</v>
      </c>
      <c r="B20" s="8"/>
      <c r="C20" s="80" t="n">
        <f aca="false">$B$5</f>
        <v>3360000</v>
      </c>
      <c r="D20" s="80" t="str">
        <f aca="false">IF(B20="","",C20-B20)</f>
        <v/>
      </c>
      <c r="E20" s="7" t="str">
        <f aca="false">IF(B20="","",B20/C20)</f>
        <v/>
      </c>
    </row>
    <row r="21" customFormat="false" ht="15" hidden="false" customHeight="false" outlineLevel="0" collapsed="false">
      <c r="A21" s="57" t="n">
        <v>46251</v>
      </c>
      <c r="B21" s="8"/>
      <c r="C21" s="81" t="n">
        <f aca="false">$B$5</f>
        <v>3360000</v>
      </c>
      <c r="D21" s="81" t="str">
        <f aca="false">IF(B21="","",C21-B21)</f>
        <v/>
      </c>
      <c r="E21" s="16" t="str">
        <f aca="false">IF(B21="","",B21/C21)</f>
        <v/>
      </c>
    </row>
    <row r="22" customFormat="false" ht="15" hidden="false" customHeight="false" outlineLevel="0" collapsed="false">
      <c r="A22" s="50" t="n">
        <v>46258</v>
      </c>
      <c r="B22" s="8"/>
      <c r="C22" s="80" t="n">
        <f aca="false">$B$5</f>
        <v>3360000</v>
      </c>
      <c r="D22" s="80" t="str">
        <f aca="false">IF(B22="","",C22-B22)</f>
        <v/>
      </c>
      <c r="E22" s="7" t="str">
        <f aca="false">IF(B22="","",B22/C22)</f>
        <v/>
      </c>
    </row>
    <row r="23" customFormat="false" ht="15" hidden="false" customHeight="false" outlineLevel="0" collapsed="false">
      <c r="A23" s="57" t="n">
        <v>46265</v>
      </c>
      <c r="B23" s="8"/>
      <c r="C23" s="81" t="n">
        <f aca="false">$B$5</f>
        <v>3360000</v>
      </c>
      <c r="D23" s="81" t="str">
        <f aca="false">IF(B23="","",C23-B23)</f>
        <v/>
      </c>
      <c r="E23" s="16" t="str">
        <f aca="false">IF(B23="","",B23/C23)</f>
        <v/>
      </c>
    </row>
    <row r="24" customFormat="false" ht="15" hidden="false" customHeight="false" outlineLevel="0" collapsed="false">
      <c r="A24" s="50" t="n">
        <v>46272</v>
      </c>
      <c r="B24" s="8"/>
      <c r="C24" s="80" t="n">
        <f aca="false">$B$5</f>
        <v>3360000</v>
      </c>
      <c r="D24" s="80" t="str">
        <f aca="false">IF(B24="","",C24-B24)</f>
        <v/>
      </c>
      <c r="E24" s="7" t="str">
        <f aca="false">IF(B24="","",B24/C24)</f>
        <v/>
      </c>
    </row>
    <row r="25" customFormat="false" ht="15" hidden="false" customHeight="false" outlineLevel="0" collapsed="false">
      <c r="A25" s="57" t="n">
        <v>46279</v>
      </c>
      <c r="B25" s="8"/>
      <c r="C25" s="81" t="n">
        <f aca="false">$B$5</f>
        <v>3360000</v>
      </c>
      <c r="D25" s="81" t="str">
        <f aca="false">IF(B25="","",C25-B25)</f>
        <v/>
      </c>
      <c r="E25" s="16" t="str">
        <f aca="false">IF(B25="","",B25/C25)</f>
        <v/>
      </c>
    </row>
    <row r="26" customFormat="false" ht="15" hidden="false" customHeight="false" outlineLevel="0" collapsed="false">
      <c r="A26" s="50" t="n">
        <v>46286</v>
      </c>
      <c r="B26" s="8"/>
      <c r="C26" s="80" t="n">
        <f aca="false">$B$5</f>
        <v>3360000</v>
      </c>
      <c r="D26" s="80" t="str">
        <f aca="false">IF(B26="","",C26-B26)</f>
        <v/>
      </c>
      <c r="E26" s="7" t="str">
        <f aca="false">IF(B26="","",B26/C26)</f>
        <v/>
      </c>
    </row>
    <row r="27" customFormat="false" ht="15" hidden="false" customHeight="false" outlineLevel="0" collapsed="false">
      <c r="A27" s="57" t="n">
        <v>46293</v>
      </c>
      <c r="B27" s="8"/>
      <c r="C27" s="81" t="n">
        <f aca="false">$B$5</f>
        <v>3360000</v>
      </c>
      <c r="D27" s="81" t="str">
        <f aca="false">IF(B27="","",C27-B27)</f>
        <v/>
      </c>
      <c r="E27" s="16" t="str">
        <f aca="false">IF(B27="","",B27/C27)</f>
        <v/>
      </c>
    </row>
    <row r="28" customFormat="false" ht="15" hidden="false" customHeight="false" outlineLevel="0" collapsed="false">
      <c r="A28" s="50" t="n">
        <v>46300</v>
      </c>
      <c r="B28" s="8"/>
      <c r="C28" s="80" t="n">
        <f aca="false">$B$5</f>
        <v>3360000</v>
      </c>
      <c r="D28" s="80" t="str">
        <f aca="false">IF(B28="","",C28-B28)</f>
        <v/>
      </c>
      <c r="E28" s="7" t="str">
        <f aca="false">IF(B28="","",B28/C28)</f>
        <v/>
      </c>
    </row>
    <row r="29" customFormat="false" ht="15" hidden="false" customHeight="false" outlineLevel="0" collapsed="false">
      <c r="A29" s="57" t="n">
        <v>46307</v>
      </c>
      <c r="B29" s="8"/>
      <c r="C29" s="81" t="n">
        <f aca="false">$B$5</f>
        <v>3360000</v>
      </c>
      <c r="D29" s="81" t="str">
        <f aca="false">IF(B29="","",C29-B29)</f>
        <v/>
      </c>
      <c r="E29" s="16" t="str">
        <f aca="false">IF(B29="","",B29/C29)</f>
        <v/>
      </c>
    </row>
    <row r="30" customFormat="false" ht="15" hidden="false" customHeight="false" outlineLevel="0" collapsed="false">
      <c r="A30" s="50" t="n">
        <v>46314</v>
      </c>
      <c r="B30" s="8"/>
      <c r="C30" s="80" t="n">
        <f aca="false">$B$5</f>
        <v>3360000</v>
      </c>
      <c r="D30" s="80" t="str">
        <f aca="false">IF(B30="","",C30-B30)</f>
        <v/>
      </c>
      <c r="E30" s="7" t="str">
        <f aca="false">IF(B30="","",B30/C30)</f>
        <v/>
      </c>
    </row>
    <row r="31" customFormat="false" ht="15" hidden="false" customHeight="false" outlineLevel="0" collapsed="false">
      <c r="A31" s="57" t="n">
        <v>46321</v>
      </c>
      <c r="B31" s="8"/>
      <c r="C31" s="81" t="n">
        <f aca="false">$B$5</f>
        <v>3360000</v>
      </c>
      <c r="D31" s="81" t="str">
        <f aca="false">IF(B31="","",C31-B31)</f>
        <v/>
      </c>
      <c r="E31" s="16" t="str">
        <f aca="false">IF(B31="","",B31/C31)</f>
        <v/>
      </c>
    </row>
    <row r="32" customFormat="false" ht="15" hidden="false" customHeight="false" outlineLevel="0" collapsed="false">
      <c r="A32" s="50" t="n">
        <v>46328</v>
      </c>
      <c r="B32" s="8"/>
      <c r="C32" s="80" t="n">
        <f aca="false">$B$5</f>
        <v>3360000</v>
      </c>
      <c r="D32" s="80" t="str">
        <f aca="false">IF(B32="","",C32-B32)</f>
        <v/>
      </c>
      <c r="E32" s="7" t="str">
        <f aca="false">IF(B32="","",B32/C32)</f>
        <v/>
      </c>
    </row>
    <row r="33" customFormat="false" ht="15" hidden="false" customHeight="false" outlineLevel="0" collapsed="false">
      <c r="A33" s="57" t="n">
        <v>46335</v>
      </c>
      <c r="B33" s="8"/>
      <c r="C33" s="81" t="n">
        <f aca="false">$B$5</f>
        <v>3360000</v>
      </c>
      <c r="D33" s="81" t="str">
        <f aca="false">IF(B33="","",C33-B33)</f>
        <v/>
      </c>
      <c r="E33" s="16" t="str">
        <f aca="false">IF(B33="","",B33/C33)</f>
        <v/>
      </c>
    </row>
    <row r="34" customFormat="false" ht="15" hidden="false" customHeight="false" outlineLevel="0" collapsed="false">
      <c r="A34" s="50" t="n">
        <v>46342</v>
      </c>
      <c r="B34" s="8"/>
      <c r="C34" s="80" t="n">
        <f aca="false">$B$5</f>
        <v>3360000</v>
      </c>
      <c r="D34" s="80" t="str">
        <f aca="false">IF(B34="","",C34-B34)</f>
        <v/>
      </c>
      <c r="E34" s="7" t="str">
        <f aca="false">IF(B34="","",B34/C34)</f>
        <v/>
      </c>
    </row>
    <row r="35" customFormat="false" ht="15" hidden="false" customHeight="false" outlineLevel="0" collapsed="false">
      <c r="A35" s="57" t="n">
        <v>46349</v>
      </c>
      <c r="B35" s="8"/>
      <c r="C35" s="81" t="n">
        <f aca="false">$B$5</f>
        <v>3360000</v>
      </c>
      <c r="D35" s="81" t="str">
        <f aca="false">IF(B35="","",C35-B35)</f>
        <v/>
      </c>
      <c r="E35" s="16" t="str">
        <f aca="false">IF(B35="","",B35/C35)</f>
        <v/>
      </c>
    </row>
    <row r="36" customFormat="false" ht="15" hidden="false" customHeight="false" outlineLevel="0" collapsed="false">
      <c r="A36" s="50" t="n">
        <v>46356</v>
      </c>
      <c r="B36" s="8"/>
      <c r="C36" s="80" t="n">
        <f aca="false">$B$5</f>
        <v>3360000</v>
      </c>
      <c r="D36" s="80" t="str">
        <f aca="false">IF(B36="","",C36-B36)</f>
        <v/>
      </c>
      <c r="E36" s="7" t="str">
        <f aca="false">IF(B36="","",B36/C36)</f>
        <v/>
      </c>
    </row>
    <row r="37" customFormat="false" ht="15" hidden="false" customHeight="false" outlineLevel="0" collapsed="false">
      <c r="A37" s="57" t="n">
        <v>46363</v>
      </c>
      <c r="B37" s="8"/>
      <c r="C37" s="81" t="n">
        <f aca="false">$B$5</f>
        <v>3360000</v>
      </c>
      <c r="D37" s="81" t="str">
        <f aca="false">IF(B37="","",C37-B37)</f>
        <v/>
      </c>
      <c r="E37" s="16" t="str">
        <f aca="false">IF(B37="","",B37/C37)</f>
        <v/>
      </c>
    </row>
    <row r="38" customFormat="false" ht="15" hidden="false" customHeight="false" outlineLevel="0" collapsed="false">
      <c r="A38" s="50" t="n">
        <v>46370</v>
      </c>
      <c r="B38" s="8"/>
      <c r="C38" s="80" t="n">
        <f aca="false">$B$5</f>
        <v>3360000</v>
      </c>
      <c r="D38" s="80" t="str">
        <f aca="false">IF(B38="","",C38-B38)</f>
        <v/>
      </c>
      <c r="E38" s="7" t="str">
        <f aca="false">IF(B38="","",B38/C38)</f>
        <v/>
      </c>
    </row>
    <row r="39" customFormat="false" ht="15" hidden="false" customHeight="false" outlineLevel="0" collapsed="false">
      <c r="A39" s="57" t="n">
        <v>46377</v>
      </c>
      <c r="B39" s="8"/>
      <c r="C39" s="81" t="n">
        <f aca="false">$B$5</f>
        <v>3360000</v>
      </c>
      <c r="D39" s="81" t="str">
        <f aca="false">IF(B39="","",C39-B39)</f>
        <v/>
      </c>
      <c r="E39" s="16" t="str">
        <f aca="false">IF(B39="","",B39/C39)</f>
        <v/>
      </c>
    </row>
    <row r="40" customFormat="false" ht="15" hidden="false" customHeight="false" outlineLevel="0" collapsed="false">
      <c r="A40" s="50" t="n">
        <v>46384</v>
      </c>
      <c r="B40" s="8"/>
      <c r="C40" s="80" t="n">
        <f aca="false">$B$5</f>
        <v>3360000</v>
      </c>
      <c r="D40" s="80" t="str">
        <f aca="false">IF(B40="","",C40-B40)</f>
        <v/>
      </c>
      <c r="E40" s="7" t="str">
        <f aca="false">IF(B40="","",B40/C40)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39" t="s">
        <v>219</v>
      </c>
      <c r="B1" s="39"/>
      <c r="C1" s="39"/>
      <c r="D1" s="39"/>
      <c r="E1" s="39"/>
      <c r="F1" s="39"/>
    </row>
    <row r="2" customFormat="false" ht="35.05" hidden="false" customHeight="true" outlineLevel="0" collapsed="false">
      <c r="A2" s="76" t="s">
        <v>220</v>
      </c>
      <c r="B2" s="76"/>
      <c r="C2" s="76"/>
      <c r="D2" s="76"/>
      <c r="E2" s="76"/>
      <c r="F2" s="76"/>
    </row>
    <row r="4" customFormat="false" ht="15" hidden="false" customHeight="false" outlineLevel="0" collapsed="false">
      <c r="A4" s="17" t="s">
        <v>208</v>
      </c>
      <c r="B4" s="77" t="n">
        <v>28571000</v>
      </c>
      <c r="D4" s="17" t="s">
        <v>209</v>
      </c>
      <c r="E4" s="78" t="n">
        <v>0.164</v>
      </c>
    </row>
    <row r="5" customFormat="false" ht="17.35" hidden="false" customHeight="false" outlineLevel="0" collapsed="false">
      <c r="A5" s="17" t="s">
        <v>210</v>
      </c>
      <c r="B5" s="77" t="n">
        <f aca="false">B4*E4</f>
        <v>4685644</v>
      </c>
      <c r="D5" s="17" t="s">
        <v>211</v>
      </c>
      <c r="E5" s="79" t="n">
        <v>2000000</v>
      </c>
    </row>
    <row r="6" customFormat="false" ht="15" hidden="false" customHeight="false" outlineLevel="0" collapsed="false">
      <c r="A6" s="17" t="s">
        <v>212</v>
      </c>
      <c r="B6" s="77" t="n">
        <f aca="false">IFERROR(LOOKUP(2,1/($B$12:$B$40&lt;&gt;""),$B$12:$B$40),0)</f>
        <v>0</v>
      </c>
      <c r="D6" s="17" t="s">
        <v>213</v>
      </c>
      <c r="E6" s="78" t="n">
        <f aca="false">IFERROR(B6/B5,0)</f>
        <v>0</v>
      </c>
    </row>
    <row r="7" customFormat="false" ht="15" hidden="false" customHeight="false" outlineLevel="0" collapsed="false">
      <c r="A7" s="17" t="s">
        <v>214</v>
      </c>
      <c r="B7" s="77" t="n">
        <f aca="false">B5-B6</f>
        <v>4685644</v>
      </c>
      <c r="D7" s="17" t="s">
        <v>215</v>
      </c>
      <c r="E7" s="78" t="n">
        <v>0.0700010500157502</v>
      </c>
    </row>
    <row r="9" customFormat="false" ht="15" hidden="false" customHeight="false" outlineLevel="0" collapsed="false">
      <c r="A9" s="3" t="s">
        <v>221</v>
      </c>
    </row>
    <row r="11" customFormat="false" ht="23.85" hidden="false" customHeight="false" outlineLevel="0" collapsed="false">
      <c r="A11" s="12" t="s">
        <v>99</v>
      </c>
      <c r="B11" s="12" t="s">
        <v>217</v>
      </c>
      <c r="C11" s="12" t="s">
        <v>20</v>
      </c>
      <c r="D11" s="12" t="s">
        <v>218</v>
      </c>
      <c r="E11" s="12" t="s">
        <v>23</v>
      </c>
    </row>
    <row r="12" customFormat="false" ht="15" hidden="false" customHeight="false" outlineLevel="0" collapsed="false">
      <c r="A12" s="50" t="n">
        <v>46188</v>
      </c>
      <c r="B12" s="8"/>
      <c r="C12" s="80" t="n">
        <f aca="false">$B$5</f>
        <v>4685644</v>
      </c>
      <c r="D12" s="80" t="str">
        <f aca="false">IF(B12="","",C12-B12)</f>
        <v/>
      </c>
      <c r="E12" s="7" t="str">
        <f aca="false">IF(B12="","",B12/C12)</f>
        <v/>
      </c>
    </row>
    <row r="13" customFormat="false" ht="15" hidden="false" customHeight="false" outlineLevel="0" collapsed="false">
      <c r="A13" s="57" t="n">
        <v>46195</v>
      </c>
      <c r="B13" s="8"/>
      <c r="C13" s="81" t="n">
        <f aca="false">$B$5</f>
        <v>4685644</v>
      </c>
      <c r="D13" s="81" t="str">
        <f aca="false">IF(B13="","",C13-B13)</f>
        <v/>
      </c>
      <c r="E13" s="16" t="str">
        <f aca="false">IF(B13="","",B13/C13)</f>
        <v/>
      </c>
    </row>
    <row r="14" customFormat="false" ht="15" hidden="false" customHeight="false" outlineLevel="0" collapsed="false">
      <c r="A14" s="50" t="n">
        <v>46202</v>
      </c>
      <c r="B14" s="8"/>
      <c r="C14" s="80" t="n">
        <f aca="false">$B$5</f>
        <v>4685644</v>
      </c>
      <c r="D14" s="80" t="str">
        <f aca="false">IF(B14="","",C14-B14)</f>
        <v/>
      </c>
      <c r="E14" s="7" t="str">
        <f aca="false">IF(B14="","",B14/C14)</f>
        <v/>
      </c>
    </row>
    <row r="15" customFormat="false" ht="15" hidden="false" customHeight="false" outlineLevel="0" collapsed="false">
      <c r="A15" s="57" t="n">
        <v>46209</v>
      </c>
      <c r="B15" s="8"/>
      <c r="C15" s="81" t="n">
        <f aca="false">$B$5</f>
        <v>4685644</v>
      </c>
      <c r="D15" s="81" t="str">
        <f aca="false">IF(B15="","",C15-B15)</f>
        <v/>
      </c>
      <c r="E15" s="16" t="str">
        <f aca="false">IF(B15="","",B15/C15)</f>
        <v/>
      </c>
    </row>
    <row r="16" customFormat="false" ht="15" hidden="false" customHeight="false" outlineLevel="0" collapsed="false">
      <c r="A16" s="50" t="n">
        <v>46216</v>
      </c>
      <c r="B16" s="8"/>
      <c r="C16" s="80" t="n">
        <f aca="false">$B$5</f>
        <v>4685644</v>
      </c>
      <c r="D16" s="80" t="str">
        <f aca="false">IF(B16="","",C16-B16)</f>
        <v/>
      </c>
      <c r="E16" s="7" t="str">
        <f aca="false">IF(B16="","",B16/C16)</f>
        <v/>
      </c>
    </row>
    <row r="17" customFormat="false" ht="15" hidden="false" customHeight="false" outlineLevel="0" collapsed="false">
      <c r="A17" s="57" t="n">
        <v>46223</v>
      </c>
      <c r="B17" s="8"/>
      <c r="C17" s="81" t="n">
        <f aca="false">$B$5</f>
        <v>4685644</v>
      </c>
      <c r="D17" s="81" t="str">
        <f aca="false">IF(B17="","",C17-B17)</f>
        <v/>
      </c>
      <c r="E17" s="16" t="str">
        <f aca="false">IF(B17="","",B17/C17)</f>
        <v/>
      </c>
    </row>
    <row r="18" customFormat="false" ht="15" hidden="false" customHeight="false" outlineLevel="0" collapsed="false">
      <c r="A18" s="50" t="n">
        <v>46230</v>
      </c>
      <c r="B18" s="8"/>
      <c r="C18" s="80" t="n">
        <f aca="false">$B$5</f>
        <v>4685644</v>
      </c>
      <c r="D18" s="80" t="str">
        <f aca="false">IF(B18="","",C18-B18)</f>
        <v/>
      </c>
      <c r="E18" s="7" t="str">
        <f aca="false">IF(B18="","",B18/C18)</f>
        <v/>
      </c>
    </row>
    <row r="19" customFormat="false" ht="15" hidden="false" customHeight="false" outlineLevel="0" collapsed="false">
      <c r="A19" s="57" t="n">
        <v>46237</v>
      </c>
      <c r="B19" s="8"/>
      <c r="C19" s="81" t="n">
        <f aca="false">$B$5</f>
        <v>4685644</v>
      </c>
      <c r="D19" s="81" t="str">
        <f aca="false">IF(B19="","",C19-B19)</f>
        <v/>
      </c>
      <c r="E19" s="16" t="str">
        <f aca="false">IF(B19="","",B19/C19)</f>
        <v/>
      </c>
    </row>
    <row r="20" customFormat="false" ht="15" hidden="false" customHeight="false" outlineLevel="0" collapsed="false">
      <c r="A20" s="50" t="n">
        <v>46244</v>
      </c>
      <c r="B20" s="8"/>
      <c r="C20" s="80" t="n">
        <f aca="false">$B$5</f>
        <v>4685644</v>
      </c>
      <c r="D20" s="80" t="str">
        <f aca="false">IF(B20="","",C20-B20)</f>
        <v/>
      </c>
      <c r="E20" s="7" t="str">
        <f aca="false">IF(B20="","",B20/C20)</f>
        <v/>
      </c>
    </row>
    <row r="21" customFormat="false" ht="15" hidden="false" customHeight="false" outlineLevel="0" collapsed="false">
      <c r="A21" s="57" t="n">
        <v>46251</v>
      </c>
      <c r="B21" s="8"/>
      <c r="C21" s="81" t="n">
        <f aca="false">$B$5</f>
        <v>4685644</v>
      </c>
      <c r="D21" s="81" t="str">
        <f aca="false">IF(B21="","",C21-B21)</f>
        <v/>
      </c>
      <c r="E21" s="16" t="str">
        <f aca="false">IF(B21="","",B21/C21)</f>
        <v/>
      </c>
    </row>
    <row r="22" customFormat="false" ht="15" hidden="false" customHeight="false" outlineLevel="0" collapsed="false">
      <c r="A22" s="50" t="n">
        <v>46258</v>
      </c>
      <c r="B22" s="8"/>
      <c r="C22" s="80" t="n">
        <f aca="false">$B$5</f>
        <v>4685644</v>
      </c>
      <c r="D22" s="80" t="str">
        <f aca="false">IF(B22="","",C22-B22)</f>
        <v/>
      </c>
      <c r="E22" s="7" t="str">
        <f aca="false">IF(B22="","",B22/C22)</f>
        <v/>
      </c>
    </row>
    <row r="23" customFormat="false" ht="15" hidden="false" customHeight="false" outlineLevel="0" collapsed="false">
      <c r="A23" s="57" t="n">
        <v>46265</v>
      </c>
      <c r="B23" s="8"/>
      <c r="C23" s="81" t="n">
        <f aca="false">$B$5</f>
        <v>4685644</v>
      </c>
      <c r="D23" s="81" t="str">
        <f aca="false">IF(B23="","",C23-B23)</f>
        <v/>
      </c>
      <c r="E23" s="16" t="str">
        <f aca="false">IF(B23="","",B23/C23)</f>
        <v/>
      </c>
    </row>
    <row r="24" customFormat="false" ht="15" hidden="false" customHeight="false" outlineLevel="0" collapsed="false">
      <c r="A24" s="50" t="n">
        <v>46272</v>
      </c>
      <c r="B24" s="8"/>
      <c r="C24" s="80" t="n">
        <f aca="false">$B$5</f>
        <v>4685644</v>
      </c>
      <c r="D24" s="80" t="str">
        <f aca="false">IF(B24="","",C24-B24)</f>
        <v/>
      </c>
      <c r="E24" s="7" t="str">
        <f aca="false">IF(B24="","",B24/C24)</f>
        <v/>
      </c>
    </row>
    <row r="25" customFormat="false" ht="15" hidden="false" customHeight="false" outlineLevel="0" collapsed="false">
      <c r="A25" s="57" t="n">
        <v>46279</v>
      </c>
      <c r="B25" s="8"/>
      <c r="C25" s="81" t="n">
        <f aca="false">$B$5</f>
        <v>4685644</v>
      </c>
      <c r="D25" s="81" t="str">
        <f aca="false">IF(B25="","",C25-B25)</f>
        <v/>
      </c>
      <c r="E25" s="16" t="str">
        <f aca="false">IF(B25="","",B25/C25)</f>
        <v/>
      </c>
    </row>
    <row r="26" customFormat="false" ht="15" hidden="false" customHeight="false" outlineLevel="0" collapsed="false">
      <c r="A26" s="50" t="n">
        <v>46286</v>
      </c>
      <c r="B26" s="8"/>
      <c r="C26" s="80" t="n">
        <f aca="false">$B$5</f>
        <v>4685644</v>
      </c>
      <c r="D26" s="80" t="str">
        <f aca="false">IF(B26="","",C26-B26)</f>
        <v/>
      </c>
      <c r="E26" s="7" t="str">
        <f aca="false">IF(B26="","",B26/C26)</f>
        <v/>
      </c>
    </row>
    <row r="27" customFormat="false" ht="15" hidden="false" customHeight="false" outlineLevel="0" collapsed="false">
      <c r="A27" s="57" t="n">
        <v>46293</v>
      </c>
      <c r="B27" s="8"/>
      <c r="C27" s="81" t="n">
        <f aca="false">$B$5</f>
        <v>4685644</v>
      </c>
      <c r="D27" s="81" t="str">
        <f aca="false">IF(B27="","",C27-B27)</f>
        <v/>
      </c>
      <c r="E27" s="16" t="str">
        <f aca="false">IF(B27="","",B27/C27)</f>
        <v/>
      </c>
    </row>
    <row r="28" customFormat="false" ht="15" hidden="false" customHeight="false" outlineLevel="0" collapsed="false">
      <c r="A28" s="50" t="n">
        <v>46300</v>
      </c>
      <c r="B28" s="8"/>
      <c r="C28" s="80" t="n">
        <f aca="false">$B$5</f>
        <v>4685644</v>
      </c>
      <c r="D28" s="80" t="str">
        <f aca="false">IF(B28="","",C28-B28)</f>
        <v/>
      </c>
      <c r="E28" s="7" t="str">
        <f aca="false">IF(B28="","",B28/C28)</f>
        <v/>
      </c>
    </row>
    <row r="29" customFormat="false" ht="15" hidden="false" customHeight="false" outlineLevel="0" collapsed="false">
      <c r="A29" s="57" t="n">
        <v>46307</v>
      </c>
      <c r="B29" s="8"/>
      <c r="C29" s="81" t="n">
        <f aca="false">$B$5</f>
        <v>4685644</v>
      </c>
      <c r="D29" s="81" t="str">
        <f aca="false">IF(B29="","",C29-B29)</f>
        <v/>
      </c>
      <c r="E29" s="16" t="str">
        <f aca="false">IF(B29="","",B29/C29)</f>
        <v/>
      </c>
    </row>
    <row r="30" customFormat="false" ht="15" hidden="false" customHeight="false" outlineLevel="0" collapsed="false">
      <c r="A30" s="50" t="n">
        <v>46314</v>
      </c>
      <c r="B30" s="8"/>
      <c r="C30" s="80" t="n">
        <f aca="false">$B$5</f>
        <v>4685644</v>
      </c>
      <c r="D30" s="80" t="str">
        <f aca="false">IF(B30="","",C30-B30)</f>
        <v/>
      </c>
      <c r="E30" s="7" t="str">
        <f aca="false">IF(B30="","",B30/C30)</f>
        <v/>
      </c>
    </row>
    <row r="31" customFormat="false" ht="15" hidden="false" customHeight="false" outlineLevel="0" collapsed="false">
      <c r="A31" s="57" t="n">
        <v>46321</v>
      </c>
      <c r="B31" s="8"/>
      <c r="C31" s="81" t="n">
        <f aca="false">$B$5</f>
        <v>4685644</v>
      </c>
      <c r="D31" s="81" t="str">
        <f aca="false">IF(B31="","",C31-B31)</f>
        <v/>
      </c>
      <c r="E31" s="16" t="str">
        <f aca="false">IF(B31="","",B31/C31)</f>
        <v/>
      </c>
    </row>
    <row r="32" customFormat="false" ht="15" hidden="false" customHeight="false" outlineLevel="0" collapsed="false">
      <c r="A32" s="50" t="n">
        <v>46328</v>
      </c>
      <c r="B32" s="8"/>
      <c r="C32" s="80" t="n">
        <f aca="false">$B$5</f>
        <v>4685644</v>
      </c>
      <c r="D32" s="80" t="str">
        <f aca="false">IF(B32="","",C32-B32)</f>
        <v/>
      </c>
      <c r="E32" s="7" t="str">
        <f aca="false">IF(B32="","",B32/C32)</f>
        <v/>
      </c>
    </row>
    <row r="33" customFormat="false" ht="15" hidden="false" customHeight="false" outlineLevel="0" collapsed="false">
      <c r="A33" s="57" t="n">
        <v>46335</v>
      </c>
      <c r="B33" s="8"/>
      <c r="C33" s="81" t="n">
        <f aca="false">$B$5</f>
        <v>4685644</v>
      </c>
      <c r="D33" s="81" t="str">
        <f aca="false">IF(B33="","",C33-B33)</f>
        <v/>
      </c>
      <c r="E33" s="16" t="str">
        <f aca="false">IF(B33="","",B33/C33)</f>
        <v/>
      </c>
    </row>
    <row r="34" customFormat="false" ht="15" hidden="false" customHeight="false" outlineLevel="0" collapsed="false">
      <c r="A34" s="50" t="n">
        <v>46342</v>
      </c>
      <c r="B34" s="8"/>
      <c r="C34" s="80" t="n">
        <f aca="false">$B$5</f>
        <v>4685644</v>
      </c>
      <c r="D34" s="80" t="str">
        <f aca="false">IF(B34="","",C34-B34)</f>
        <v/>
      </c>
      <c r="E34" s="7" t="str">
        <f aca="false">IF(B34="","",B34/C34)</f>
        <v/>
      </c>
    </row>
    <row r="35" customFormat="false" ht="15" hidden="false" customHeight="false" outlineLevel="0" collapsed="false">
      <c r="A35" s="57" t="n">
        <v>46349</v>
      </c>
      <c r="B35" s="8"/>
      <c r="C35" s="81" t="n">
        <f aca="false">$B$5</f>
        <v>4685644</v>
      </c>
      <c r="D35" s="81" t="str">
        <f aca="false">IF(B35="","",C35-B35)</f>
        <v/>
      </c>
      <c r="E35" s="16" t="str">
        <f aca="false">IF(B35="","",B35/C35)</f>
        <v/>
      </c>
    </row>
    <row r="36" customFormat="false" ht="15" hidden="false" customHeight="false" outlineLevel="0" collapsed="false">
      <c r="A36" s="50" t="n">
        <v>46356</v>
      </c>
      <c r="B36" s="8"/>
      <c r="C36" s="80" t="n">
        <f aca="false">$B$5</f>
        <v>4685644</v>
      </c>
      <c r="D36" s="80" t="str">
        <f aca="false">IF(B36="","",C36-B36)</f>
        <v/>
      </c>
      <c r="E36" s="7" t="str">
        <f aca="false">IF(B36="","",B36/C36)</f>
        <v/>
      </c>
    </row>
    <row r="37" customFormat="false" ht="15" hidden="false" customHeight="false" outlineLevel="0" collapsed="false">
      <c r="A37" s="57" t="n">
        <v>46363</v>
      </c>
      <c r="B37" s="8"/>
      <c r="C37" s="81" t="n">
        <f aca="false">$B$5</f>
        <v>4685644</v>
      </c>
      <c r="D37" s="81" t="str">
        <f aca="false">IF(B37="","",C37-B37)</f>
        <v/>
      </c>
      <c r="E37" s="16" t="str">
        <f aca="false">IF(B37="","",B37/C37)</f>
        <v/>
      </c>
    </row>
    <row r="38" customFormat="false" ht="15" hidden="false" customHeight="false" outlineLevel="0" collapsed="false">
      <c r="A38" s="50" t="n">
        <v>46370</v>
      </c>
      <c r="B38" s="8"/>
      <c r="C38" s="80" t="n">
        <f aca="false">$B$5</f>
        <v>4685644</v>
      </c>
      <c r="D38" s="80" t="str">
        <f aca="false">IF(B38="","",C38-B38)</f>
        <v/>
      </c>
      <c r="E38" s="7" t="str">
        <f aca="false">IF(B38="","",B38/C38)</f>
        <v/>
      </c>
    </row>
    <row r="39" customFormat="false" ht="15" hidden="false" customHeight="false" outlineLevel="0" collapsed="false">
      <c r="A39" s="57" t="n">
        <v>46377</v>
      </c>
      <c r="B39" s="8"/>
      <c r="C39" s="81" t="n">
        <f aca="false">$B$5</f>
        <v>4685644</v>
      </c>
      <c r="D39" s="81" t="str">
        <f aca="false">IF(B39="","",C39-B39)</f>
        <v/>
      </c>
      <c r="E39" s="16" t="str">
        <f aca="false">IF(B39="","",B39/C39)</f>
        <v/>
      </c>
    </row>
    <row r="40" customFormat="false" ht="15" hidden="false" customHeight="false" outlineLevel="0" collapsed="false">
      <c r="A40" s="50" t="n">
        <v>46384</v>
      </c>
      <c r="B40" s="8"/>
      <c r="C40" s="80" t="n">
        <f aca="false">$B$5</f>
        <v>4685644</v>
      </c>
      <c r="D40" s="80" t="str">
        <f aca="false">IF(B40="","",C40-B40)</f>
        <v/>
      </c>
      <c r="E40" s="7" t="str">
        <f aca="false">IF(B40="","",B40/C40)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39" t="s">
        <v>222</v>
      </c>
      <c r="B1" s="39"/>
      <c r="C1" s="39"/>
      <c r="D1" s="39"/>
      <c r="E1" s="39"/>
      <c r="F1" s="39"/>
    </row>
    <row r="2" customFormat="false" ht="35.05" hidden="false" customHeight="true" outlineLevel="0" collapsed="false">
      <c r="A2" s="76" t="s">
        <v>223</v>
      </c>
      <c r="B2" s="76"/>
      <c r="C2" s="76"/>
      <c r="D2" s="76"/>
      <c r="E2" s="76"/>
      <c r="F2" s="76"/>
    </row>
    <row r="4" customFormat="false" ht="15" hidden="false" customHeight="false" outlineLevel="0" collapsed="false">
      <c r="A4" s="17" t="s">
        <v>208</v>
      </c>
      <c r="B4" s="77" t="n">
        <v>30571000</v>
      </c>
      <c r="D4" s="17" t="s">
        <v>209</v>
      </c>
      <c r="E4" s="82" t="n">
        <v>0.165</v>
      </c>
    </row>
    <row r="5" customFormat="false" ht="17.35" hidden="false" customHeight="false" outlineLevel="0" collapsed="false">
      <c r="A5" s="17" t="s">
        <v>210</v>
      </c>
      <c r="B5" s="77" t="n">
        <f aca="false">B4*E4</f>
        <v>5044215</v>
      </c>
      <c r="D5" s="17" t="s">
        <v>211</v>
      </c>
      <c r="E5" s="79" t="n">
        <v>2445680</v>
      </c>
    </row>
    <row r="6" customFormat="false" ht="15" hidden="false" customHeight="false" outlineLevel="0" collapsed="false">
      <c r="A6" s="17" t="s">
        <v>212</v>
      </c>
      <c r="B6" s="77" t="n">
        <f aca="false">IFERROR(LOOKUP(2,1/($B$12:$B$40&lt;&gt;""),$B$12:$B$40),0)</f>
        <v>0</v>
      </c>
      <c r="D6" s="17" t="s">
        <v>213</v>
      </c>
      <c r="E6" s="78" t="n">
        <f aca="false">IFERROR(B6/B5,0)</f>
        <v>0</v>
      </c>
    </row>
    <row r="7" customFormat="false" ht="15" hidden="false" customHeight="false" outlineLevel="0" collapsed="false">
      <c r="A7" s="17" t="s">
        <v>214</v>
      </c>
      <c r="B7" s="77" t="n">
        <f aca="false">B5-B6</f>
        <v>5044215</v>
      </c>
      <c r="D7" s="17" t="s">
        <v>215</v>
      </c>
      <c r="E7" s="78" t="n">
        <v>0.08</v>
      </c>
    </row>
    <row r="9" customFormat="false" ht="15" hidden="false" customHeight="false" outlineLevel="0" collapsed="false">
      <c r="A9" s="3" t="s">
        <v>224</v>
      </c>
    </row>
    <row r="11" customFormat="false" ht="23.85" hidden="false" customHeight="false" outlineLevel="0" collapsed="false">
      <c r="A11" s="12" t="s">
        <v>99</v>
      </c>
      <c r="B11" s="12" t="s">
        <v>217</v>
      </c>
      <c r="C11" s="12" t="s">
        <v>20</v>
      </c>
      <c r="D11" s="12" t="s">
        <v>218</v>
      </c>
      <c r="E11" s="12" t="s">
        <v>23</v>
      </c>
    </row>
    <row r="12" customFormat="false" ht="15" hidden="false" customHeight="false" outlineLevel="0" collapsed="false">
      <c r="A12" s="50" t="n">
        <v>46188</v>
      </c>
      <c r="B12" s="8"/>
      <c r="C12" s="80" t="n">
        <f aca="false">$B$5</f>
        <v>5044215</v>
      </c>
      <c r="D12" s="80" t="str">
        <f aca="false">IF(B12="","",C12-B12)</f>
        <v/>
      </c>
      <c r="E12" s="7" t="str">
        <f aca="false">IF(B12="","",B12/C12)</f>
        <v/>
      </c>
    </row>
    <row r="13" customFormat="false" ht="15" hidden="false" customHeight="false" outlineLevel="0" collapsed="false">
      <c r="A13" s="57" t="n">
        <v>46195</v>
      </c>
      <c r="B13" s="8"/>
      <c r="C13" s="81" t="n">
        <f aca="false">$B$5</f>
        <v>5044215</v>
      </c>
      <c r="D13" s="81" t="str">
        <f aca="false">IF(B13="","",C13-B13)</f>
        <v/>
      </c>
      <c r="E13" s="16" t="str">
        <f aca="false">IF(B13="","",B13/C13)</f>
        <v/>
      </c>
    </row>
    <row r="14" customFormat="false" ht="15" hidden="false" customHeight="false" outlineLevel="0" collapsed="false">
      <c r="A14" s="50" t="n">
        <v>46202</v>
      </c>
      <c r="B14" s="8"/>
      <c r="C14" s="80" t="n">
        <f aca="false">$B$5</f>
        <v>5044215</v>
      </c>
      <c r="D14" s="80" t="str">
        <f aca="false">IF(B14="","",C14-B14)</f>
        <v/>
      </c>
      <c r="E14" s="7" t="str">
        <f aca="false">IF(B14="","",B14/C14)</f>
        <v/>
      </c>
    </row>
    <row r="15" customFormat="false" ht="15" hidden="false" customHeight="false" outlineLevel="0" collapsed="false">
      <c r="A15" s="57" t="n">
        <v>46209</v>
      </c>
      <c r="B15" s="8"/>
      <c r="C15" s="81" t="n">
        <f aca="false">$B$5</f>
        <v>5044215</v>
      </c>
      <c r="D15" s="81" t="str">
        <f aca="false">IF(B15="","",C15-B15)</f>
        <v/>
      </c>
      <c r="E15" s="16" t="str">
        <f aca="false">IF(B15="","",B15/C15)</f>
        <v/>
      </c>
    </row>
    <row r="16" customFormat="false" ht="15" hidden="false" customHeight="false" outlineLevel="0" collapsed="false">
      <c r="A16" s="50" t="n">
        <v>46216</v>
      </c>
      <c r="B16" s="8"/>
      <c r="C16" s="80" t="n">
        <f aca="false">$B$5</f>
        <v>5044215</v>
      </c>
      <c r="D16" s="80" t="str">
        <f aca="false">IF(B16="","",C16-B16)</f>
        <v/>
      </c>
      <c r="E16" s="7" t="str">
        <f aca="false">IF(B16="","",B16/C16)</f>
        <v/>
      </c>
    </row>
    <row r="17" customFormat="false" ht="15" hidden="false" customHeight="false" outlineLevel="0" collapsed="false">
      <c r="A17" s="57" t="n">
        <v>46223</v>
      </c>
      <c r="B17" s="8"/>
      <c r="C17" s="81" t="n">
        <f aca="false">$B$5</f>
        <v>5044215</v>
      </c>
      <c r="D17" s="81" t="str">
        <f aca="false">IF(B17="","",C17-B17)</f>
        <v/>
      </c>
      <c r="E17" s="16" t="str">
        <f aca="false">IF(B17="","",B17/C17)</f>
        <v/>
      </c>
    </row>
    <row r="18" customFormat="false" ht="15" hidden="false" customHeight="false" outlineLevel="0" collapsed="false">
      <c r="A18" s="50" t="n">
        <v>46230</v>
      </c>
      <c r="B18" s="8"/>
      <c r="C18" s="80" t="n">
        <f aca="false">$B$5</f>
        <v>5044215</v>
      </c>
      <c r="D18" s="80" t="str">
        <f aca="false">IF(B18="","",C18-B18)</f>
        <v/>
      </c>
      <c r="E18" s="7" t="str">
        <f aca="false">IF(B18="","",B18/C18)</f>
        <v/>
      </c>
    </row>
    <row r="19" customFormat="false" ht="15" hidden="false" customHeight="false" outlineLevel="0" collapsed="false">
      <c r="A19" s="57" t="n">
        <v>46237</v>
      </c>
      <c r="B19" s="8"/>
      <c r="C19" s="81" t="n">
        <f aca="false">$B$5</f>
        <v>5044215</v>
      </c>
      <c r="D19" s="81" t="str">
        <f aca="false">IF(B19="","",C19-B19)</f>
        <v/>
      </c>
      <c r="E19" s="16" t="str">
        <f aca="false">IF(B19="","",B19/C19)</f>
        <v/>
      </c>
    </row>
    <row r="20" customFormat="false" ht="15" hidden="false" customHeight="false" outlineLevel="0" collapsed="false">
      <c r="A20" s="50" t="n">
        <v>46244</v>
      </c>
      <c r="B20" s="8"/>
      <c r="C20" s="80" t="n">
        <f aca="false">$B$5</f>
        <v>5044215</v>
      </c>
      <c r="D20" s="80" t="str">
        <f aca="false">IF(B20="","",C20-B20)</f>
        <v/>
      </c>
      <c r="E20" s="7" t="str">
        <f aca="false">IF(B20="","",B20/C20)</f>
        <v/>
      </c>
    </row>
    <row r="21" customFormat="false" ht="15" hidden="false" customHeight="false" outlineLevel="0" collapsed="false">
      <c r="A21" s="57" t="n">
        <v>46251</v>
      </c>
      <c r="B21" s="8"/>
      <c r="C21" s="81" t="n">
        <f aca="false">$B$5</f>
        <v>5044215</v>
      </c>
      <c r="D21" s="81" t="str">
        <f aca="false">IF(B21="","",C21-B21)</f>
        <v/>
      </c>
      <c r="E21" s="16" t="str">
        <f aca="false">IF(B21="","",B21/C21)</f>
        <v/>
      </c>
    </row>
    <row r="22" customFormat="false" ht="15" hidden="false" customHeight="false" outlineLevel="0" collapsed="false">
      <c r="A22" s="50" t="n">
        <v>46258</v>
      </c>
      <c r="B22" s="8"/>
      <c r="C22" s="80" t="n">
        <f aca="false">$B$5</f>
        <v>5044215</v>
      </c>
      <c r="D22" s="80" t="str">
        <f aca="false">IF(B22="","",C22-B22)</f>
        <v/>
      </c>
      <c r="E22" s="7" t="str">
        <f aca="false">IF(B22="","",B22/C22)</f>
        <v/>
      </c>
    </row>
    <row r="23" customFormat="false" ht="15" hidden="false" customHeight="false" outlineLevel="0" collapsed="false">
      <c r="A23" s="57" t="n">
        <v>46265</v>
      </c>
      <c r="B23" s="8"/>
      <c r="C23" s="81" t="n">
        <f aca="false">$B$5</f>
        <v>5044215</v>
      </c>
      <c r="D23" s="81" t="str">
        <f aca="false">IF(B23="","",C23-B23)</f>
        <v/>
      </c>
      <c r="E23" s="16" t="str">
        <f aca="false">IF(B23="","",B23/C23)</f>
        <v/>
      </c>
    </row>
    <row r="24" customFormat="false" ht="15" hidden="false" customHeight="false" outlineLevel="0" collapsed="false">
      <c r="A24" s="50" t="n">
        <v>46272</v>
      </c>
      <c r="B24" s="8"/>
      <c r="C24" s="80" t="n">
        <f aca="false">$B$5</f>
        <v>5044215</v>
      </c>
      <c r="D24" s="80" t="str">
        <f aca="false">IF(B24="","",C24-B24)</f>
        <v/>
      </c>
      <c r="E24" s="7" t="str">
        <f aca="false">IF(B24="","",B24/C24)</f>
        <v/>
      </c>
    </row>
    <row r="25" customFormat="false" ht="15" hidden="false" customHeight="false" outlineLevel="0" collapsed="false">
      <c r="A25" s="57" t="n">
        <v>46279</v>
      </c>
      <c r="B25" s="8"/>
      <c r="C25" s="81" t="n">
        <f aca="false">$B$5</f>
        <v>5044215</v>
      </c>
      <c r="D25" s="81" t="str">
        <f aca="false">IF(B25="","",C25-B25)</f>
        <v/>
      </c>
      <c r="E25" s="16" t="str">
        <f aca="false">IF(B25="","",B25/C25)</f>
        <v/>
      </c>
    </row>
    <row r="26" customFormat="false" ht="15" hidden="false" customHeight="false" outlineLevel="0" collapsed="false">
      <c r="A26" s="50" t="n">
        <v>46286</v>
      </c>
      <c r="B26" s="8"/>
      <c r="C26" s="80" t="n">
        <f aca="false">$B$5</f>
        <v>5044215</v>
      </c>
      <c r="D26" s="80" t="str">
        <f aca="false">IF(B26="","",C26-B26)</f>
        <v/>
      </c>
      <c r="E26" s="7" t="str">
        <f aca="false">IF(B26="","",B26/C26)</f>
        <v/>
      </c>
    </row>
    <row r="27" customFormat="false" ht="15" hidden="false" customHeight="false" outlineLevel="0" collapsed="false">
      <c r="A27" s="57" t="n">
        <v>46293</v>
      </c>
      <c r="B27" s="8"/>
      <c r="C27" s="81" t="n">
        <f aca="false">$B$5</f>
        <v>5044215</v>
      </c>
      <c r="D27" s="81" t="str">
        <f aca="false">IF(B27="","",C27-B27)</f>
        <v/>
      </c>
      <c r="E27" s="16" t="str">
        <f aca="false">IF(B27="","",B27/C27)</f>
        <v/>
      </c>
    </row>
    <row r="28" customFormat="false" ht="15" hidden="false" customHeight="false" outlineLevel="0" collapsed="false">
      <c r="A28" s="50" t="n">
        <v>46300</v>
      </c>
      <c r="B28" s="8"/>
      <c r="C28" s="80" t="n">
        <f aca="false">$B$5</f>
        <v>5044215</v>
      </c>
      <c r="D28" s="80" t="str">
        <f aca="false">IF(B28="","",C28-B28)</f>
        <v/>
      </c>
      <c r="E28" s="7" t="str">
        <f aca="false">IF(B28="","",B28/C28)</f>
        <v/>
      </c>
    </row>
    <row r="29" customFormat="false" ht="15" hidden="false" customHeight="false" outlineLevel="0" collapsed="false">
      <c r="A29" s="57" t="n">
        <v>46307</v>
      </c>
      <c r="B29" s="8"/>
      <c r="C29" s="81" t="n">
        <f aca="false">$B$5</f>
        <v>5044215</v>
      </c>
      <c r="D29" s="81" t="str">
        <f aca="false">IF(B29="","",C29-B29)</f>
        <v/>
      </c>
      <c r="E29" s="16" t="str">
        <f aca="false">IF(B29="","",B29/C29)</f>
        <v/>
      </c>
    </row>
    <row r="30" customFormat="false" ht="15" hidden="false" customHeight="false" outlineLevel="0" collapsed="false">
      <c r="A30" s="50" t="n">
        <v>46314</v>
      </c>
      <c r="B30" s="8"/>
      <c r="C30" s="80" t="n">
        <f aca="false">$B$5</f>
        <v>5044215</v>
      </c>
      <c r="D30" s="80" t="str">
        <f aca="false">IF(B30="","",C30-B30)</f>
        <v/>
      </c>
      <c r="E30" s="7" t="str">
        <f aca="false">IF(B30="","",B30/C30)</f>
        <v/>
      </c>
    </row>
    <row r="31" customFormat="false" ht="15" hidden="false" customHeight="false" outlineLevel="0" collapsed="false">
      <c r="A31" s="57" t="n">
        <v>46321</v>
      </c>
      <c r="B31" s="8"/>
      <c r="C31" s="81" t="n">
        <f aca="false">$B$5</f>
        <v>5044215</v>
      </c>
      <c r="D31" s="81" t="str">
        <f aca="false">IF(B31="","",C31-B31)</f>
        <v/>
      </c>
      <c r="E31" s="16" t="str">
        <f aca="false">IF(B31="","",B31/C31)</f>
        <v/>
      </c>
    </row>
    <row r="32" customFormat="false" ht="15" hidden="false" customHeight="false" outlineLevel="0" collapsed="false">
      <c r="A32" s="50" t="n">
        <v>46328</v>
      </c>
      <c r="B32" s="8"/>
      <c r="C32" s="80" t="n">
        <f aca="false">$B$5</f>
        <v>5044215</v>
      </c>
      <c r="D32" s="80" t="str">
        <f aca="false">IF(B32="","",C32-B32)</f>
        <v/>
      </c>
      <c r="E32" s="7" t="str">
        <f aca="false">IF(B32="","",B32/C32)</f>
        <v/>
      </c>
    </row>
    <row r="33" customFormat="false" ht="15" hidden="false" customHeight="false" outlineLevel="0" collapsed="false">
      <c r="A33" s="57" t="n">
        <v>46335</v>
      </c>
      <c r="B33" s="8"/>
      <c r="C33" s="81" t="n">
        <f aca="false">$B$5</f>
        <v>5044215</v>
      </c>
      <c r="D33" s="81" t="str">
        <f aca="false">IF(B33="","",C33-B33)</f>
        <v/>
      </c>
      <c r="E33" s="16" t="str">
        <f aca="false">IF(B33="","",B33/C33)</f>
        <v/>
      </c>
    </row>
    <row r="34" customFormat="false" ht="15" hidden="false" customHeight="false" outlineLevel="0" collapsed="false">
      <c r="A34" s="50" t="n">
        <v>46342</v>
      </c>
      <c r="B34" s="8"/>
      <c r="C34" s="80" t="n">
        <f aca="false">$B$5</f>
        <v>5044215</v>
      </c>
      <c r="D34" s="80" t="str">
        <f aca="false">IF(B34="","",C34-B34)</f>
        <v/>
      </c>
      <c r="E34" s="7" t="str">
        <f aca="false">IF(B34="","",B34/C34)</f>
        <v/>
      </c>
    </row>
    <row r="35" customFormat="false" ht="15" hidden="false" customHeight="false" outlineLevel="0" collapsed="false">
      <c r="A35" s="57" t="n">
        <v>46349</v>
      </c>
      <c r="B35" s="8"/>
      <c r="C35" s="81" t="n">
        <f aca="false">$B$5</f>
        <v>5044215</v>
      </c>
      <c r="D35" s="81" t="str">
        <f aca="false">IF(B35="","",C35-B35)</f>
        <v/>
      </c>
      <c r="E35" s="16" t="str">
        <f aca="false">IF(B35="","",B35/C35)</f>
        <v/>
      </c>
    </row>
    <row r="36" customFormat="false" ht="15" hidden="false" customHeight="false" outlineLevel="0" collapsed="false">
      <c r="A36" s="50" t="n">
        <v>46356</v>
      </c>
      <c r="B36" s="8"/>
      <c r="C36" s="80" t="n">
        <f aca="false">$B$5</f>
        <v>5044215</v>
      </c>
      <c r="D36" s="80" t="str">
        <f aca="false">IF(B36="","",C36-B36)</f>
        <v/>
      </c>
      <c r="E36" s="7" t="str">
        <f aca="false">IF(B36="","",B36/C36)</f>
        <v/>
      </c>
    </row>
    <row r="37" customFormat="false" ht="15" hidden="false" customHeight="false" outlineLevel="0" collapsed="false">
      <c r="A37" s="57" t="n">
        <v>46363</v>
      </c>
      <c r="B37" s="8"/>
      <c r="C37" s="81" t="n">
        <f aca="false">$B$5</f>
        <v>5044215</v>
      </c>
      <c r="D37" s="81" t="str">
        <f aca="false">IF(B37="","",C37-B37)</f>
        <v/>
      </c>
      <c r="E37" s="16" t="str">
        <f aca="false">IF(B37="","",B37/C37)</f>
        <v/>
      </c>
    </row>
    <row r="38" customFormat="false" ht="15" hidden="false" customHeight="false" outlineLevel="0" collapsed="false">
      <c r="A38" s="50" t="n">
        <v>46370</v>
      </c>
      <c r="B38" s="8"/>
      <c r="C38" s="80" t="n">
        <f aca="false">$B$5</f>
        <v>5044215</v>
      </c>
      <c r="D38" s="80" t="str">
        <f aca="false">IF(B38="","",C38-B38)</f>
        <v/>
      </c>
      <c r="E38" s="7" t="str">
        <f aca="false">IF(B38="","",B38/C38)</f>
        <v/>
      </c>
    </row>
    <row r="39" customFormat="false" ht="15" hidden="false" customHeight="false" outlineLevel="0" collapsed="false">
      <c r="A39" s="57" t="n">
        <v>46377</v>
      </c>
      <c r="B39" s="8"/>
      <c r="C39" s="81" t="n">
        <f aca="false">$B$5</f>
        <v>5044215</v>
      </c>
      <c r="D39" s="81" t="str">
        <f aca="false">IF(B39="","",C39-B39)</f>
        <v/>
      </c>
      <c r="E39" s="16" t="str">
        <f aca="false">IF(B39="","",B39/C39)</f>
        <v/>
      </c>
    </row>
    <row r="40" customFormat="false" ht="15" hidden="false" customHeight="false" outlineLevel="0" collapsed="false">
      <c r="A40" s="50" t="n">
        <v>46384</v>
      </c>
      <c r="B40" s="8"/>
      <c r="C40" s="80" t="n">
        <f aca="false">$B$5</f>
        <v>5044215</v>
      </c>
      <c r="D40" s="80" t="str">
        <f aca="false">IF(B40="","",C40-B40)</f>
        <v/>
      </c>
      <c r="E40" s="7" t="str">
        <f aca="false">IF(B40="","",B40/C40)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72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262.65" hidden="false" customHeight="false" outlineLevel="0" collapsed="false">
      <c r="A1" s="4" t="s">
        <v>225</v>
      </c>
      <c r="B1" s="4" t="s">
        <v>226</v>
      </c>
      <c r="C1" s="4" t="s">
        <v>227</v>
      </c>
      <c r="D1" s="4" t="s">
        <v>228</v>
      </c>
      <c r="E1" s="4" t="s">
        <v>9</v>
      </c>
      <c r="G1" s="83" t="s">
        <v>229</v>
      </c>
    </row>
    <row r="2" customFormat="false" ht="15" hidden="false" customHeight="false" outlineLevel="0" collapsed="false">
      <c r="A2" s="84" t="n">
        <v>1</v>
      </c>
      <c r="B2" s="84" t="n">
        <v>3</v>
      </c>
      <c r="C2" s="85" t="s">
        <v>230</v>
      </c>
      <c r="D2" s="85" t="s">
        <v>231</v>
      </c>
      <c r="E2" s="84" t="s">
        <v>232</v>
      </c>
    </row>
    <row r="3" customFormat="false" ht="23.85" hidden="false" customHeight="false" outlineLevel="0" collapsed="false">
      <c r="A3" s="84" t="n">
        <v>1</v>
      </c>
      <c r="B3" s="84" t="n">
        <v>1</v>
      </c>
      <c r="C3" s="85" t="s">
        <v>233</v>
      </c>
      <c r="D3" s="85" t="s">
        <v>234</v>
      </c>
      <c r="E3" s="84" t="s">
        <v>235</v>
      </c>
    </row>
    <row r="4" customFormat="false" ht="15" hidden="false" customHeight="false" outlineLevel="0" collapsed="false">
      <c r="A4" s="84" t="n">
        <v>1</v>
      </c>
      <c r="B4" s="84" t="n">
        <v>5</v>
      </c>
      <c r="C4" s="85" t="s">
        <v>236</v>
      </c>
      <c r="D4" s="85" t="s">
        <v>234</v>
      </c>
      <c r="E4" s="84" t="s">
        <v>232</v>
      </c>
    </row>
    <row r="5" customFormat="false" ht="15" hidden="false" customHeight="false" outlineLevel="0" collapsed="false">
      <c r="A5" s="86"/>
      <c r="B5" s="86"/>
      <c r="C5" s="87"/>
      <c r="D5" s="87"/>
      <c r="E5" s="86"/>
    </row>
    <row r="6" customFormat="false" ht="15" hidden="false" customHeight="false" outlineLevel="0" collapsed="false">
      <c r="A6" s="84"/>
      <c r="B6" s="84"/>
      <c r="C6" s="85"/>
      <c r="D6" s="85"/>
      <c r="E6" s="84"/>
    </row>
    <row r="7" customFormat="false" ht="15" hidden="false" customHeight="false" outlineLevel="0" collapsed="false">
      <c r="A7" s="86"/>
      <c r="B7" s="86"/>
      <c r="C7" s="87"/>
      <c r="D7" s="87"/>
      <c r="E7" s="86"/>
    </row>
    <row r="8" customFormat="false" ht="15" hidden="false" customHeight="false" outlineLevel="0" collapsed="false">
      <c r="A8" s="84"/>
      <c r="B8" s="84"/>
      <c r="C8" s="85"/>
      <c r="D8" s="85"/>
      <c r="E8" s="84"/>
    </row>
    <row r="9" customFormat="false" ht="15" hidden="false" customHeight="false" outlineLevel="0" collapsed="false">
      <c r="A9" s="86"/>
      <c r="B9" s="86"/>
      <c r="C9" s="87"/>
      <c r="D9" s="87"/>
      <c r="E9" s="86"/>
    </row>
    <row r="10" customFormat="false" ht="15" hidden="false" customHeight="false" outlineLevel="0" collapsed="false">
      <c r="A10" s="84"/>
      <c r="B10" s="84"/>
      <c r="C10" s="85"/>
      <c r="D10" s="85"/>
      <c r="E10" s="84"/>
    </row>
    <row r="11" customFormat="false" ht="15" hidden="false" customHeight="false" outlineLevel="0" collapsed="false">
      <c r="A11" s="86"/>
      <c r="B11" s="86"/>
      <c r="C11" s="87"/>
      <c r="D11" s="87"/>
      <c r="E11" s="86"/>
    </row>
    <row r="12" customFormat="false" ht="15" hidden="false" customHeight="false" outlineLevel="0" collapsed="false">
      <c r="A12" s="84"/>
      <c r="B12" s="84"/>
      <c r="C12" s="85"/>
      <c r="D12" s="85"/>
      <c r="E12" s="84"/>
    </row>
    <row r="13" customFormat="false" ht="15" hidden="false" customHeight="false" outlineLevel="0" collapsed="false">
      <c r="A13" s="86"/>
      <c r="B13" s="86"/>
      <c r="C13" s="87"/>
      <c r="D13" s="87"/>
      <c r="E13" s="86"/>
    </row>
    <row r="14" customFormat="false" ht="15" hidden="false" customHeight="false" outlineLevel="0" collapsed="false">
      <c r="A14" s="84"/>
      <c r="B14" s="84"/>
      <c r="C14" s="85"/>
      <c r="D14" s="85"/>
      <c r="E14" s="84"/>
    </row>
    <row r="15" customFormat="false" ht="15" hidden="false" customHeight="false" outlineLevel="0" collapsed="false">
      <c r="A15" s="86"/>
      <c r="B15" s="86"/>
      <c r="C15" s="87"/>
      <c r="D15" s="87"/>
      <c r="E15" s="86"/>
    </row>
    <row r="16" customFormat="false" ht="15" hidden="false" customHeight="false" outlineLevel="0" collapsed="false">
      <c r="A16" s="84"/>
      <c r="B16" s="84"/>
      <c r="C16" s="85"/>
      <c r="D16" s="85"/>
      <c r="E16" s="84"/>
    </row>
    <row r="17" customFormat="false" ht="15" hidden="false" customHeight="false" outlineLevel="0" collapsed="false">
      <c r="A17" s="86"/>
      <c r="B17" s="86"/>
      <c r="C17" s="87"/>
      <c r="D17" s="87"/>
      <c r="E17" s="86"/>
    </row>
    <row r="18" customFormat="false" ht="15" hidden="false" customHeight="false" outlineLevel="0" collapsed="false">
      <c r="A18" s="84"/>
      <c r="B18" s="84"/>
      <c r="C18" s="85"/>
      <c r="D18" s="85"/>
      <c r="E18" s="84"/>
    </row>
    <row r="19" customFormat="false" ht="15" hidden="false" customHeight="false" outlineLevel="0" collapsed="false">
      <c r="A19" s="86"/>
      <c r="B19" s="86"/>
      <c r="C19" s="87"/>
      <c r="D19" s="87"/>
      <c r="E19" s="86"/>
    </row>
    <row r="20" customFormat="false" ht="15" hidden="false" customHeight="false" outlineLevel="0" collapsed="false">
      <c r="A20" s="84"/>
      <c r="B20" s="84"/>
      <c r="C20" s="85"/>
      <c r="D20" s="85"/>
      <c r="E20" s="84"/>
    </row>
    <row r="21" customFormat="false" ht="15" hidden="false" customHeight="false" outlineLevel="0" collapsed="false">
      <c r="A21" s="86"/>
      <c r="B21" s="86"/>
      <c r="C21" s="87"/>
      <c r="D21" s="87"/>
      <c r="E21" s="86"/>
    </row>
    <row r="22" customFormat="false" ht="15" hidden="false" customHeight="false" outlineLevel="0" collapsed="false">
      <c r="A22" s="84"/>
      <c r="B22" s="84"/>
      <c r="C22" s="85"/>
      <c r="D22" s="85"/>
      <c r="E22" s="84"/>
    </row>
    <row r="23" customFormat="false" ht="15" hidden="false" customHeight="false" outlineLevel="0" collapsed="false">
      <c r="A23" s="86"/>
      <c r="B23" s="86"/>
      <c r="C23" s="87"/>
      <c r="D23" s="87"/>
      <c r="E23" s="86"/>
    </row>
    <row r="24" customFormat="false" ht="15" hidden="false" customHeight="false" outlineLevel="0" collapsed="false">
      <c r="A24" s="84"/>
      <c r="B24" s="84"/>
      <c r="C24" s="85"/>
      <c r="D24" s="85"/>
      <c r="E24" s="84"/>
    </row>
    <row r="25" customFormat="false" ht="15" hidden="false" customHeight="false" outlineLevel="0" collapsed="false">
      <c r="A25" s="86"/>
      <c r="B25" s="86"/>
      <c r="C25" s="87"/>
      <c r="D25" s="87"/>
      <c r="E25" s="86"/>
    </row>
    <row r="26" customFormat="false" ht="15" hidden="false" customHeight="false" outlineLevel="0" collapsed="false">
      <c r="A26" s="84"/>
      <c r="B26" s="84"/>
      <c r="C26" s="85"/>
      <c r="D26" s="85"/>
      <c r="E26" s="84"/>
    </row>
    <row r="27" customFormat="false" ht="15" hidden="false" customHeight="false" outlineLevel="0" collapsed="false">
      <c r="A27" s="86"/>
      <c r="B27" s="86"/>
      <c r="C27" s="87"/>
      <c r="D27" s="87"/>
      <c r="E27" s="86"/>
    </row>
    <row r="28" customFormat="false" ht="15" hidden="false" customHeight="false" outlineLevel="0" collapsed="false">
      <c r="A28" s="84"/>
      <c r="B28" s="84"/>
      <c r="C28" s="85"/>
      <c r="D28" s="85"/>
      <c r="E28" s="84"/>
    </row>
    <row r="29" customFormat="false" ht="15" hidden="false" customHeight="false" outlineLevel="0" collapsed="false">
      <c r="A29" s="86"/>
      <c r="B29" s="86"/>
      <c r="C29" s="87"/>
      <c r="D29" s="87"/>
      <c r="E29" s="86"/>
    </row>
    <row r="30" customFormat="false" ht="15" hidden="false" customHeight="false" outlineLevel="0" collapsed="false">
      <c r="A30" s="84"/>
      <c r="B30" s="84"/>
      <c r="C30" s="85"/>
      <c r="D30" s="85"/>
      <c r="E30" s="84"/>
    </row>
    <row r="31" customFormat="false" ht="15" hidden="false" customHeight="false" outlineLevel="0" collapsed="false">
      <c r="A31" s="86"/>
      <c r="B31" s="86"/>
      <c r="C31" s="87"/>
      <c r="D31" s="87"/>
      <c r="E31" s="86"/>
    </row>
    <row r="32" customFormat="false" ht="15" hidden="false" customHeight="false" outlineLevel="0" collapsed="false">
      <c r="A32" s="84"/>
      <c r="B32" s="84"/>
      <c r="C32" s="85"/>
      <c r="D32" s="85"/>
      <c r="E32" s="84"/>
    </row>
    <row r="33" customFormat="false" ht="15" hidden="false" customHeight="false" outlineLevel="0" collapsed="false">
      <c r="A33" s="86"/>
      <c r="B33" s="86"/>
      <c r="C33" s="87"/>
      <c r="D33" s="87"/>
      <c r="E33" s="86"/>
    </row>
    <row r="34" customFormat="false" ht="15" hidden="false" customHeight="false" outlineLevel="0" collapsed="false">
      <c r="A34" s="84"/>
      <c r="B34" s="84"/>
      <c r="C34" s="85"/>
      <c r="D34" s="85"/>
      <c r="E34" s="84"/>
    </row>
    <row r="35" customFormat="false" ht="15" hidden="false" customHeight="false" outlineLevel="0" collapsed="false">
      <c r="A35" s="86"/>
      <c r="B35" s="86"/>
      <c r="C35" s="87"/>
      <c r="D35" s="87"/>
      <c r="E35" s="86"/>
    </row>
    <row r="36" customFormat="false" ht="15" hidden="false" customHeight="false" outlineLevel="0" collapsed="false">
      <c r="A36" s="84"/>
      <c r="B36" s="84"/>
      <c r="C36" s="85"/>
      <c r="D36" s="85"/>
      <c r="E36" s="84"/>
    </row>
    <row r="37" customFormat="false" ht="15" hidden="false" customHeight="false" outlineLevel="0" collapsed="false">
      <c r="A37" s="86"/>
      <c r="B37" s="86"/>
      <c r="C37" s="87"/>
      <c r="D37" s="87"/>
      <c r="E37" s="86"/>
    </row>
    <row r="38" customFormat="false" ht="15" hidden="false" customHeight="false" outlineLevel="0" collapsed="false">
      <c r="A38" s="84"/>
      <c r="B38" s="84"/>
      <c r="C38" s="85"/>
      <c r="D38" s="85"/>
      <c r="E38" s="84"/>
    </row>
    <row r="39" customFormat="false" ht="15" hidden="false" customHeight="false" outlineLevel="0" collapsed="false">
      <c r="A39" s="86"/>
      <c r="B39" s="86"/>
      <c r="C39" s="87"/>
      <c r="D39" s="87"/>
      <c r="E39" s="86"/>
    </row>
    <row r="40" customFormat="false" ht="15" hidden="false" customHeight="false" outlineLevel="0" collapsed="false">
      <c r="A40" s="84"/>
      <c r="B40" s="84"/>
      <c r="C40" s="85"/>
      <c r="D40" s="85"/>
      <c r="E40" s="84"/>
    </row>
    <row r="41" customFormat="false" ht="15" hidden="false" customHeight="false" outlineLevel="0" collapsed="false">
      <c r="A41" s="86"/>
      <c r="B41" s="86"/>
      <c r="C41" s="87"/>
      <c r="D41" s="87"/>
      <c r="E41" s="86"/>
    </row>
    <row r="42" customFormat="false" ht="15" hidden="false" customHeight="false" outlineLevel="0" collapsed="false">
      <c r="A42" s="84"/>
      <c r="B42" s="84"/>
      <c r="C42" s="85"/>
      <c r="D42" s="85"/>
      <c r="E42" s="84"/>
    </row>
    <row r="43" customFormat="false" ht="15" hidden="false" customHeight="false" outlineLevel="0" collapsed="false">
      <c r="A43" s="86"/>
      <c r="B43" s="86"/>
      <c r="C43" s="87"/>
      <c r="D43" s="87"/>
      <c r="E43" s="86"/>
    </row>
    <row r="44" customFormat="false" ht="15" hidden="false" customHeight="false" outlineLevel="0" collapsed="false">
      <c r="A44" s="84"/>
      <c r="B44" s="84"/>
      <c r="C44" s="85"/>
      <c r="D44" s="85"/>
      <c r="E44" s="84"/>
    </row>
    <row r="45" customFormat="false" ht="15" hidden="false" customHeight="false" outlineLevel="0" collapsed="false">
      <c r="A45" s="86"/>
      <c r="B45" s="86"/>
      <c r="C45" s="87"/>
      <c r="D45" s="87"/>
      <c r="E45" s="86"/>
    </row>
    <row r="46" customFormat="false" ht="15" hidden="false" customHeight="false" outlineLevel="0" collapsed="false">
      <c r="A46" s="84"/>
      <c r="B46" s="84"/>
      <c r="C46" s="85"/>
      <c r="D46" s="85"/>
      <c r="E46" s="84"/>
    </row>
    <row r="47" customFormat="false" ht="15" hidden="false" customHeight="false" outlineLevel="0" collapsed="false">
      <c r="A47" s="86"/>
      <c r="B47" s="86"/>
      <c r="C47" s="87"/>
      <c r="D47" s="87"/>
      <c r="E47" s="86"/>
    </row>
    <row r="48" customFormat="false" ht="15" hidden="false" customHeight="false" outlineLevel="0" collapsed="false">
      <c r="A48" s="84"/>
      <c r="B48" s="84"/>
      <c r="C48" s="85"/>
      <c r="D48" s="85"/>
      <c r="E48" s="84"/>
    </row>
    <row r="49" customFormat="false" ht="15" hidden="false" customHeight="false" outlineLevel="0" collapsed="false">
      <c r="A49" s="86"/>
      <c r="B49" s="86"/>
      <c r="C49" s="87"/>
      <c r="D49" s="87"/>
      <c r="E49" s="86"/>
    </row>
    <row r="50" customFormat="false" ht="15" hidden="false" customHeight="false" outlineLevel="0" collapsed="false">
      <c r="A50" s="84"/>
      <c r="B50" s="84"/>
      <c r="C50" s="85"/>
      <c r="D50" s="85"/>
      <c r="E50" s="84"/>
    </row>
    <row r="51" customFormat="false" ht="15" hidden="false" customHeight="false" outlineLevel="0" collapsed="false">
      <c r="A51" s="86"/>
      <c r="B51" s="86"/>
      <c r="C51" s="87"/>
      <c r="D51" s="87"/>
      <c r="E51" s="86"/>
    </row>
    <row r="52" customFormat="false" ht="15" hidden="false" customHeight="false" outlineLevel="0" collapsed="false">
      <c r="A52" s="84"/>
      <c r="B52" s="84"/>
      <c r="C52" s="85"/>
      <c r="D52" s="85"/>
      <c r="E52" s="84"/>
    </row>
    <row r="53" customFormat="false" ht="15" hidden="false" customHeight="false" outlineLevel="0" collapsed="false">
      <c r="A53" s="86"/>
      <c r="B53" s="86"/>
      <c r="C53" s="87"/>
      <c r="D53" s="87"/>
      <c r="E53" s="86"/>
    </row>
    <row r="54" customFormat="false" ht="15" hidden="false" customHeight="false" outlineLevel="0" collapsed="false">
      <c r="A54" s="84"/>
      <c r="B54" s="84"/>
      <c r="C54" s="85"/>
      <c r="D54" s="85"/>
      <c r="E54" s="84"/>
    </row>
    <row r="55" customFormat="false" ht="15" hidden="false" customHeight="false" outlineLevel="0" collapsed="false">
      <c r="A55" s="86"/>
      <c r="B55" s="86"/>
      <c r="C55" s="87"/>
      <c r="D55" s="87"/>
      <c r="E55" s="86"/>
    </row>
    <row r="56" customFormat="false" ht="15" hidden="false" customHeight="false" outlineLevel="0" collapsed="false">
      <c r="A56" s="84"/>
      <c r="B56" s="84"/>
      <c r="C56" s="85"/>
      <c r="D56" s="85"/>
      <c r="E56" s="84"/>
    </row>
    <row r="57" customFormat="false" ht="15" hidden="false" customHeight="false" outlineLevel="0" collapsed="false">
      <c r="A57" s="86"/>
      <c r="B57" s="86"/>
      <c r="C57" s="87"/>
      <c r="D57" s="87"/>
      <c r="E57" s="86"/>
    </row>
    <row r="58" customFormat="false" ht="15" hidden="false" customHeight="false" outlineLevel="0" collapsed="false">
      <c r="A58" s="84"/>
      <c r="B58" s="84"/>
      <c r="C58" s="85"/>
      <c r="D58" s="85"/>
      <c r="E58" s="84"/>
    </row>
    <row r="59" customFormat="false" ht="15" hidden="false" customHeight="false" outlineLevel="0" collapsed="false">
      <c r="A59" s="86"/>
      <c r="B59" s="86"/>
      <c r="C59" s="87"/>
      <c r="D59" s="87"/>
      <c r="E59" s="86"/>
    </row>
    <row r="60" customFormat="false" ht="15" hidden="false" customHeight="false" outlineLevel="0" collapsed="false">
      <c r="A60" s="84"/>
      <c r="B60" s="84"/>
      <c r="C60" s="85"/>
      <c r="D60" s="85"/>
      <c r="E60" s="84"/>
    </row>
    <row r="61" customFormat="false" ht="15" hidden="false" customHeight="false" outlineLevel="0" collapsed="false">
      <c r="A61" s="86"/>
      <c r="B61" s="86"/>
      <c r="C61" s="87"/>
      <c r="D61" s="87"/>
      <c r="E61" s="86"/>
    </row>
    <row r="62" customFormat="false" ht="15" hidden="false" customHeight="false" outlineLevel="0" collapsed="false">
      <c r="A62" s="84"/>
      <c r="B62" s="84"/>
      <c r="C62" s="85"/>
      <c r="D62" s="85"/>
      <c r="E62" s="84"/>
    </row>
    <row r="63" customFormat="false" ht="15" hidden="false" customHeight="false" outlineLevel="0" collapsed="false">
      <c r="A63" s="86"/>
      <c r="B63" s="86"/>
      <c r="C63" s="87"/>
      <c r="D63" s="87"/>
      <c r="E63" s="86"/>
    </row>
    <row r="64" customFormat="false" ht="15" hidden="false" customHeight="false" outlineLevel="0" collapsed="false">
      <c r="A64" s="84"/>
      <c r="B64" s="84"/>
      <c r="C64" s="85"/>
      <c r="D64" s="85"/>
      <c r="E64" s="84"/>
    </row>
    <row r="65" customFormat="false" ht="15" hidden="false" customHeight="false" outlineLevel="0" collapsed="false">
      <c r="A65" s="86"/>
      <c r="B65" s="86"/>
      <c r="C65" s="87"/>
      <c r="D65" s="87"/>
      <c r="E65" s="86"/>
    </row>
    <row r="66" customFormat="false" ht="15" hidden="false" customHeight="false" outlineLevel="0" collapsed="false">
      <c r="A66" s="84"/>
      <c r="B66" s="84"/>
      <c r="C66" s="85"/>
      <c r="D66" s="85"/>
      <c r="E66" s="84"/>
    </row>
    <row r="67" customFormat="false" ht="15" hidden="false" customHeight="false" outlineLevel="0" collapsed="false">
      <c r="A67" s="86"/>
      <c r="B67" s="86"/>
      <c r="C67" s="87"/>
      <c r="D67" s="87"/>
      <c r="E67" s="86"/>
    </row>
    <row r="68" customFormat="false" ht="15" hidden="false" customHeight="false" outlineLevel="0" collapsed="false">
      <c r="A68" s="84"/>
      <c r="B68" s="84"/>
      <c r="C68" s="85"/>
      <c r="D68" s="85"/>
      <c r="E68" s="84"/>
    </row>
    <row r="69" customFormat="false" ht="15" hidden="false" customHeight="false" outlineLevel="0" collapsed="false">
      <c r="A69" s="86"/>
      <c r="B69" s="86"/>
      <c r="C69" s="87"/>
      <c r="D69" s="87"/>
      <c r="E69" s="86"/>
    </row>
    <row r="70" customFormat="false" ht="15" hidden="false" customHeight="false" outlineLevel="0" collapsed="false">
      <c r="A70" s="84"/>
      <c r="B70" s="84"/>
      <c r="C70" s="85"/>
      <c r="D70" s="85"/>
      <c r="E70" s="84"/>
    </row>
    <row r="71" customFormat="false" ht="15" hidden="false" customHeight="false" outlineLevel="0" collapsed="false">
      <c r="A71" s="86"/>
      <c r="B71" s="86"/>
      <c r="C71" s="87"/>
      <c r="D71" s="87"/>
      <c r="E71" s="86"/>
    </row>
    <row r="72" customFormat="false" ht="15" hidden="false" customHeight="false" outlineLevel="0" collapsed="false">
      <c r="A72" s="84"/>
      <c r="B72" s="84"/>
      <c r="C72" s="85"/>
      <c r="D72" s="85"/>
      <c r="E72" s="84"/>
    </row>
    <row r="73" customFormat="false" ht="15" hidden="false" customHeight="false" outlineLevel="0" collapsed="false">
      <c r="A73" s="86"/>
      <c r="B73" s="86"/>
      <c r="C73" s="87"/>
      <c r="D73" s="87"/>
      <c r="E73" s="86"/>
    </row>
    <row r="74" customFormat="false" ht="15" hidden="false" customHeight="false" outlineLevel="0" collapsed="false">
      <c r="A74" s="84"/>
      <c r="B74" s="84"/>
      <c r="C74" s="85"/>
      <c r="D74" s="85"/>
      <c r="E74" s="84"/>
    </row>
    <row r="75" customFormat="false" ht="15" hidden="false" customHeight="false" outlineLevel="0" collapsed="false">
      <c r="A75" s="86"/>
      <c r="B75" s="86"/>
      <c r="C75" s="87"/>
      <c r="D75" s="87"/>
      <c r="E75" s="86"/>
    </row>
    <row r="76" customFormat="false" ht="15" hidden="false" customHeight="false" outlineLevel="0" collapsed="false">
      <c r="A76" s="84"/>
      <c r="B76" s="84"/>
      <c r="C76" s="85"/>
      <c r="D76" s="85"/>
      <c r="E76" s="84"/>
    </row>
    <row r="77" customFormat="false" ht="15" hidden="false" customHeight="false" outlineLevel="0" collapsed="false">
      <c r="A77" s="86"/>
      <c r="B77" s="86"/>
      <c r="C77" s="87"/>
      <c r="D77" s="87"/>
      <c r="E77" s="86"/>
    </row>
    <row r="78" customFormat="false" ht="15" hidden="false" customHeight="false" outlineLevel="0" collapsed="false">
      <c r="A78" s="84"/>
      <c r="B78" s="84"/>
      <c r="C78" s="85"/>
      <c r="D78" s="85"/>
      <c r="E78" s="84"/>
    </row>
    <row r="79" customFormat="false" ht="15" hidden="false" customHeight="false" outlineLevel="0" collapsed="false">
      <c r="A79" s="86"/>
      <c r="B79" s="86"/>
      <c r="C79" s="87"/>
      <c r="D79" s="87"/>
      <c r="E79" s="86"/>
    </row>
    <row r="80" customFormat="false" ht="15" hidden="false" customHeight="false" outlineLevel="0" collapsed="false">
      <c r="A80" s="84"/>
      <c r="B80" s="84"/>
      <c r="C80" s="85"/>
      <c r="D80" s="85"/>
      <c r="E80" s="84"/>
    </row>
    <row r="81" customFormat="false" ht="15" hidden="false" customHeight="false" outlineLevel="0" collapsed="false">
      <c r="A81" s="86"/>
      <c r="B81" s="86"/>
      <c r="C81" s="87"/>
      <c r="D81" s="87"/>
      <c r="E81" s="86"/>
    </row>
    <row r="82" customFormat="false" ht="15" hidden="false" customHeight="false" outlineLevel="0" collapsed="false">
      <c r="A82" s="84"/>
      <c r="B82" s="84"/>
      <c r="C82" s="85"/>
      <c r="D82" s="85"/>
      <c r="E82" s="84"/>
    </row>
    <row r="83" customFormat="false" ht="15" hidden="false" customHeight="false" outlineLevel="0" collapsed="false">
      <c r="A83" s="86"/>
      <c r="B83" s="86"/>
      <c r="C83" s="87"/>
      <c r="D83" s="87"/>
      <c r="E83" s="86"/>
    </row>
    <row r="84" customFormat="false" ht="15" hidden="false" customHeight="false" outlineLevel="0" collapsed="false">
      <c r="A84" s="84"/>
      <c r="B84" s="84"/>
      <c r="C84" s="85"/>
      <c r="D84" s="85"/>
      <c r="E84" s="84"/>
    </row>
    <row r="85" customFormat="false" ht="15" hidden="false" customHeight="false" outlineLevel="0" collapsed="false">
      <c r="A85" s="86"/>
      <c r="B85" s="86"/>
      <c r="C85" s="87"/>
      <c r="D85" s="87"/>
      <c r="E85" s="86"/>
    </row>
    <row r="86" customFormat="false" ht="15" hidden="false" customHeight="false" outlineLevel="0" collapsed="false">
      <c r="A86" s="84"/>
      <c r="B86" s="84"/>
      <c r="C86" s="85"/>
      <c r="D86" s="85"/>
      <c r="E86" s="84"/>
    </row>
    <row r="87" customFormat="false" ht="15" hidden="false" customHeight="false" outlineLevel="0" collapsed="false">
      <c r="A87" s="86"/>
      <c r="B87" s="86"/>
      <c r="C87" s="87"/>
      <c r="D87" s="87"/>
      <c r="E87" s="86"/>
    </row>
    <row r="88" customFormat="false" ht="15" hidden="false" customHeight="false" outlineLevel="0" collapsed="false">
      <c r="A88" s="84"/>
      <c r="B88" s="84"/>
      <c r="C88" s="85"/>
      <c r="D88" s="85"/>
      <c r="E88" s="84"/>
    </row>
    <row r="89" customFormat="false" ht="15" hidden="false" customHeight="false" outlineLevel="0" collapsed="false">
      <c r="A89" s="86"/>
      <c r="B89" s="86"/>
      <c r="C89" s="87"/>
      <c r="D89" s="87"/>
      <c r="E89" s="86"/>
    </row>
    <row r="90" customFormat="false" ht="15" hidden="false" customHeight="false" outlineLevel="0" collapsed="false">
      <c r="A90" s="84"/>
      <c r="B90" s="84"/>
      <c r="C90" s="85"/>
      <c r="D90" s="85"/>
      <c r="E90" s="84"/>
    </row>
    <row r="91" customFormat="false" ht="15" hidden="false" customHeight="false" outlineLevel="0" collapsed="false">
      <c r="A91" s="86"/>
      <c r="B91" s="86"/>
      <c r="C91" s="87"/>
      <c r="D91" s="87"/>
      <c r="E91" s="86"/>
    </row>
    <row r="92" customFormat="false" ht="15" hidden="false" customHeight="false" outlineLevel="0" collapsed="false">
      <c r="A92" s="84"/>
      <c r="B92" s="84"/>
      <c r="C92" s="85"/>
      <c r="D92" s="85"/>
      <c r="E92" s="84"/>
    </row>
    <row r="93" customFormat="false" ht="15" hidden="false" customHeight="false" outlineLevel="0" collapsed="false">
      <c r="A93" s="86"/>
      <c r="B93" s="86"/>
      <c r="C93" s="87"/>
      <c r="D93" s="87"/>
      <c r="E93" s="86"/>
    </row>
    <row r="94" customFormat="false" ht="15" hidden="false" customHeight="false" outlineLevel="0" collapsed="false">
      <c r="A94" s="84"/>
      <c r="B94" s="84"/>
      <c r="C94" s="85"/>
      <c r="D94" s="85"/>
      <c r="E94" s="84"/>
    </row>
    <row r="95" customFormat="false" ht="15" hidden="false" customHeight="false" outlineLevel="0" collapsed="false">
      <c r="A95" s="86"/>
      <c r="B95" s="86"/>
      <c r="C95" s="87"/>
      <c r="D95" s="87"/>
      <c r="E95" s="86"/>
    </row>
    <row r="96" customFormat="false" ht="15" hidden="false" customHeight="false" outlineLevel="0" collapsed="false">
      <c r="A96" s="84"/>
      <c r="B96" s="84"/>
      <c r="C96" s="85"/>
      <c r="D96" s="85"/>
      <c r="E96" s="84"/>
    </row>
    <row r="97" customFormat="false" ht="15" hidden="false" customHeight="false" outlineLevel="0" collapsed="false">
      <c r="A97" s="86"/>
      <c r="B97" s="86"/>
      <c r="C97" s="87"/>
      <c r="D97" s="87"/>
      <c r="E97" s="86"/>
    </row>
    <row r="98" customFormat="false" ht="15" hidden="false" customHeight="false" outlineLevel="0" collapsed="false">
      <c r="A98" s="84"/>
      <c r="B98" s="84"/>
      <c r="C98" s="85"/>
      <c r="D98" s="85"/>
      <c r="E98" s="84"/>
    </row>
    <row r="99" customFormat="false" ht="15" hidden="false" customHeight="false" outlineLevel="0" collapsed="false">
      <c r="A99" s="86"/>
      <c r="B99" s="86"/>
      <c r="C99" s="87"/>
      <c r="D99" s="87"/>
      <c r="E99" s="86"/>
    </row>
    <row r="100" customFormat="false" ht="15" hidden="false" customHeight="false" outlineLevel="0" collapsed="false">
      <c r="A100" s="84"/>
      <c r="B100" s="84"/>
      <c r="C100" s="85"/>
      <c r="D100" s="85"/>
      <c r="E100" s="84"/>
    </row>
    <row r="101" customFormat="false" ht="15" hidden="false" customHeight="false" outlineLevel="0" collapsed="false">
      <c r="A101" s="86"/>
      <c r="B101" s="86"/>
      <c r="C101" s="87"/>
      <c r="D101" s="87"/>
      <c r="E101" s="86"/>
    </row>
    <row r="102" customFormat="false" ht="15" hidden="false" customHeight="false" outlineLevel="0" collapsed="false">
      <c r="A102" s="84"/>
      <c r="B102" s="84"/>
      <c r="C102" s="85"/>
      <c r="D102" s="85"/>
      <c r="E102" s="84"/>
    </row>
    <row r="103" customFormat="false" ht="15" hidden="false" customHeight="false" outlineLevel="0" collapsed="false">
      <c r="A103" s="86"/>
      <c r="B103" s="86"/>
      <c r="C103" s="87"/>
      <c r="D103" s="87"/>
      <c r="E103" s="86"/>
    </row>
    <row r="104" customFormat="false" ht="15" hidden="false" customHeight="false" outlineLevel="0" collapsed="false">
      <c r="A104" s="84"/>
      <c r="B104" s="84"/>
      <c r="C104" s="85"/>
      <c r="D104" s="85"/>
      <c r="E104" s="84"/>
    </row>
    <row r="105" customFormat="false" ht="15" hidden="false" customHeight="false" outlineLevel="0" collapsed="false">
      <c r="A105" s="86"/>
      <c r="B105" s="86"/>
      <c r="C105" s="87"/>
      <c r="D105" s="87"/>
      <c r="E105" s="86"/>
    </row>
    <row r="106" customFormat="false" ht="15" hidden="false" customHeight="false" outlineLevel="0" collapsed="false">
      <c r="A106" s="84"/>
      <c r="B106" s="84"/>
      <c r="C106" s="85"/>
      <c r="D106" s="85"/>
      <c r="E106" s="84"/>
    </row>
    <row r="107" customFormat="false" ht="15" hidden="false" customHeight="false" outlineLevel="0" collapsed="false">
      <c r="A107" s="86"/>
      <c r="B107" s="86"/>
      <c r="C107" s="87"/>
      <c r="D107" s="87"/>
      <c r="E107" s="86"/>
    </row>
    <row r="108" customFormat="false" ht="15" hidden="false" customHeight="false" outlineLevel="0" collapsed="false">
      <c r="A108" s="84"/>
      <c r="B108" s="84"/>
      <c r="C108" s="85"/>
      <c r="D108" s="85"/>
      <c r="E108" s="84"/>
    </row>
    <row r="109" customFormat="false" ht="15" hidden="false" customHeight="false" outlineLevel="0" collapsed="false">
      <c r="A109" s="86"/>
      <c r="B109" s="86"/>
      <c r="C109" s="87"/>
      <c r="D109" s="87"/>
      <c r="E109" s="86"/>
    </row>
    <row r="110" customFormat="false" ht="15" hidden="false" customHeight="false" outlineLevel="0" collapsed="false">
      <c r="A110" s="84"/>
      <c r="B110" s="84"/>
      <c r="C110" s="85"/>
      <c r="D110" s="85"/>
      <c r="E110" s="84"/>
    </row>
    <row r="111" customFormat="false" ht="15" hidden="false" customHeight="false" outlineLevel="0" collapsed="false">
      <c r="A111" s="86"/>
      <c r="B111" s="86"/>
      <c r="C111" s="87"/>
      <c r="D111" s="87"/>
      <c r="E111" s="86"/>
    </row>
    <row r="112" customFormat="false" ht="15" hidden="false" customHeight="false" outlineLevel="0" collapsed="false">
      <c r="A112" s="84"/>
      <c r="B112" s="84"/>
      <c r="C112" s="85"/>
      <c r="D112" s="85"/>
      <c r="E112" s="84"/>
    </row>
    <row r="113" customFormat="false" ht="15" hidden="false" customHeight="false" outlineLevel="0" collapsed="false">
      <c r="A113" s="86"/>
      <c r="B113" s="86"/>
      <c r="C113" s="87"/>
      <c r="D113" s="87"/>
      <c r="E113" s="86"/>
    </row>
    <row r="114" customFormat="false" ht="15" hidden="false" customHeight="false" outlineLevel="0" collapsed="false">
      <c r="A114" s="84"/>
      <c r="B114" s="84"/>
      <c r="C114" s="85"/>
      <c r="D114" s="85"/>
      <c r="E114" s="84"/>
    </row>
    <row r="115" customFormat="false" ht="15" hidden="false" customHeight="false" outlineLevel="0" collapsed="false">
      <c r="A115" s="86"/>
      <c r="B115" s="86"/>
      <c r="C115" s="87"/>
      <c r="D115" s="87"/>
      <c r="E115" s="86"/>
    </row>
    <row r="116" customFormat="false" ht="15" hidden="false" customHeight="false" outlineLevel="0" collapsed="false">
      <c r="A116" s="84"/>
      <c r="B116" s="84"/>
      <c r="C116" s="85"/>
      <c r="D116" s="85"/>
      <c r="E116" s="84"/>
    </row>
    <row r="117" customFormat="false" ht="15" hidden="false" customHeight="false" outlineLevel="0" collapsed="false">
      <c r="A117" s="86"/>
      <c r="B117" s="86"/>
      <c r="C117" s="87"/>
      <c r="D117" s="87"/>
      <c r="E117" s="86"/>
    </row>
    <row r="118" customFormat="false" ht="15" hidden="false" customHeight="false" outlineLevel="0" collapsed="false">
      <c r="A118" s="84"/>
      <c r="B118" s="84"/>
      <c r="C118" s="85"/>
      <c r="D118" s="85"/>
      <c r="E118" s="84"/>
    </row>
    <row r="119" customFormat="false" ht="15" hidden="false" customHeight="false" outlineLevel="0" collapsed="false">
      <c r="A119" s="86"/>
      <c r="B119" s="86"/>
      <c r="C119" s="87"/>
      <c r="D119" s="87"/>
      <c r="E119" s="86"/>
    </row>
    <row r="120" customFormat="false" ht="15" hidden="false" customHeight="false" outlineLevel="0" collapsed="false">
      <c r="A120" s="84"/>
      <c r="B120" s="84"/>
      <c r="C120" s="85"/>
      <c r="D120" s="85"/>
      <c r="E120" s="84"/>
    </row>
    <row r="121" customFormat="false" ht="15" hidden="false" customHeight="false" outlineLevel="0" collapsed="false">
      <c r="A121" s="86"/>
      <c r="B121" s="86"/>
      <c r="C121" s="87"/>
      <c r="D121" s="87"/>
      <c r="E121" s="86"/>
    </row>
  </sheetData>
  <conditionalFormatting sqref="E2:E121">
    <cfRule type="containsText" priority="2" operator="containsText" aboveAverage="0" equalAverage="0" bottom="0" percent="0" rank="0" text="Hecho" dxfId="0">
      <formula>NOT(ISERROR(SEARCH("Hecho",E2)))</formula>
    </cfRule>
    <cfRule type="containsText" priority="3" operator="containsText" aboveAverage="0" equalAverage="0" bottom="0" percent="0" rank="0" text="En curso" dxfId="1">
      <formula>NOT(ISERROR(SEARCH("En curso",E2)))</formula>
    </cfRule>
    <cfRule type="containsText" priority="4" operator="containsText" aboveAverage="0" equalAverage="0" bottom="0" percent="0" rank="0" text="Pendiente" dxfId="2">
      <formula>NOT(ISERROR(SEARCH("Pendiente",E2)))</formula>
    </cfRule>
  </conditionalFormatting>
  <dataValidations count="3">
    <dataValidation allowBlank="true" errorStyle="stop" operator="between" showDropDown="false" showErrorMessage="false" showInputMessage="false" sqref="A2:A121" type="list">
      <formula1>"1,2,3,4,5,6,7,8,9,10,11,12"</formula1>
      <formula2>0</formula2>
    </dataValidation>
    <dataValidation allowBlank="true" errorStyle="stop" operator="between" showDropDown="false" showErrorMessage="false" showInputMessage="false" sqref="B2:B121" type="list">
      <formula1>"1,2,3,4,5,6,7,8"</formula1>
      <formula2>0</formula2>
    </dataValidation>
    <dataValidation allowBlank="true" errorStyle="stop" operator="between" showDropDown="false" showErrorMessage="false" showInputMessage="false" sqref="E2:E121" type="list">
      <formula1>"Pendiente,En curso,Hecho"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88" t="s">
        <v>237</v>
      </c>
    </row>
    <row r="3" customFormat="false" ht="15" hidden="false" customHeight="false" outlineLevel="0" collapsed="false">
      <c r="A3" s="89" t="s">
        <v>238</v>
      </c>
    </row>
    <row r="4" customFormat="false" ht="23.85" hidden="false" customHeight="false" outlineLevel="0" collapsed="false">
      <c r="A4" s="90" t="s">
        <v>239</v>
      </c>
    </row>
    <row r="5" customFormat="false" ht="15" hidden="false" customHeight="false" outlineLevel="0" collapsed="false">
      <c r="A5" s="90" t="s">
        <v>240</v>
      </c>
    </row>
    <row r="6" customFormat="false" ht="15" hidden="false" customHeight="false" outlineLevel="0" collapsed="false">
      <c r="A6" s="90" t="s">
        <v>241</v>
      </c>
    </row>
    <row r="7" customFormat="false" ht="15" hidden="false" customHeight="false" outlineLevel="0" collapsed="false">
      <c r="A7" s="90" t="s">
        <v>242</v>
      </c>
    </row>
    <row r="9" customFormat="false" ht="15" hidden="false" customHeight="false" outlineLevel="0" collapsed="false">
      <c r="A9" s="89" t="s">
        <v>243</v>
      </c>
    </row>
    <row r="10" customFormat="false" ht="23.85" hidden="false" customHeight="false" outlineLevel="0" collapsed="false">
      <c r="A10" s="90" t="s">
        <v>244</v>
      </c>
    </row>
    <row r="11" customFormat="false" ht="23.85" hidden="false" customHeight="false" outlineLevel="0" collapsed="false">
      <c r="A11" s="90" t="s">
        <v>245</v>
      </c>
    </row>
    <row r="12" customFormat="false" ht="15" hidden="false" customHeight="false" outlineLevel="0" collapsed="false">
      <c r="A12" s="90" t="s">
        <v>246</v>
      </c>
    </row>
    <row r="13" customFormat="false" ht="15" hidden="false" customHeight="false" outlineLevel="0" collapsed="false">
      <c r="A13" s="90" t="s">
        <v>247</v>
      </c>
    </row>
    <row r="15" customFormat="false" ht="15" hidden="false" customHeight="false" outlineLevel="0" collapsed="false">
      <c r="A15" s="89" t="s">
        <v>248</v>
      </c>
    </row>
    <row r="16" customFormat="false" ht="15" hidden="false" customHeight="false" outlineLevel="0" collapsed="false">
      <c r="A16" s="90" t="s">
        <v>249</v>
      </c>
    </row>
    <row r="17" customFormat="false" ht="15" hidden="false" customHeight="false" outlineLevel="0" collapsed="false">
      <c r="A17" s="90" t="s">
        <v>250</v>
      </c>
    </row>
    <row r="18" customFormat="false" ht="15" hidden="false" customHeight="false" outlineLevel="0" collapsed="false">
      <c r="A18" s="90" t="s">
        <v>251</v>
      </c>
    </row>
    <row r="20" customFormat="false" ht="15" hidden="false" customHeight="false" outlineLevel="0" collapsed="false">
      <c r="A20" s="89" t="s">
        <v>252</v>
      </c>
    </row>
    <row r="21" customFormat="false" ht="15" hidden="false" customHeight="false" outlineLevel="0" collapsed="false">
      <c r="A21" s="90" t="s">
        <v>253</v>
      </c>
    </row>
    <row r="22" customFormat="false" ht="15" hidden="false" customHeight="false" outlineLevel="0" collapsed="false">
      <c r="A22" s="90" t="s">
        <v>254</v>
      </c>
    </row>
    <row r="23" customFormat="false" ht="15" hidden="false" customHeight="false" outlineLevel="0" collapsed="false">
      <c r="A23" s="90" t="s">
        <v>255</v>
      </c>
    </row>
    <row r="25" customFormat="false" ht="15" hidden="false" customHeight="false" outlineLevel="0" collapsed="false">
      <c r="A25" s="89" t="s">
        <v>256</v>
      </c>
    </row>
    <row r="26" customFormat="false" ht="23.85" hidden="false" customHeight="false" outlineLevel="0" collapsed="false">
      <c r="A26" s="90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2026-06-22T21:02:24Z</dcterms:created>
  <dc:creator>openpyxl</dc:creator>
  <dc:description/>
  <dc:language>en-US</dc:language>
  <cp:lastModifiedBy/>
  <dcterms:modified xsi:type="dcterms:W3CDTF">2026-06-22T15:02:27Z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