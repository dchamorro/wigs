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vidaurre\Downloads\"/>
    </mc:Choice>
  </mc:AlternateContent>
  <xr:revisionPtr revIDLastSave="0" documentId="13_ncr:1_{B7551E00-3085-4C25-9270-DF1CCDEF301E}" xr6:coauthVersionLast="47" xr6:coauthVersionMax="47" xr10:uidLastSave="{00000000-0000-0000-0000-000000000000}"/>
  <bookViews>
    <workbookView xWindow="-120" yWindow="-120" windowWidth="51840" windowHeight="21120" tabRatio="500" activeTab="3" xr2:uid="{00000000-000D-0000-FFFF-FFFF00000000}"/>
  </bookViews>
  <sheets>
    <sheet name="Dashboard" sheetId="1" r:id="rId1"/>
    <sheet name="1. Smart User 500" sheetId="2" r:id="rId2"/>
    <sheet name="2. MV Advisory" sheetId="3" r:id="rId3"/>
    <sheet name="3. Negocios +30K GP" sheetId="4" r:id="rId4"/>
    <sheet name="4. Entregas 100%" sheetId="5" r:id="rId5"/>
    <sheet name="5. MV Datacenter" sheetId="6" r:id="rId6"/>
    <sheet name="6. Cero Expired" sheetId="7" r:id="rId7"/>
    <sheet name="7. MV Digital Sol" sheetId="8" r:id="rId8"/>
    <sheet name="8. GP 16%" sheetId="9" r:id="rId9"/>
    <sheet name="9. CSAT" sheetId="10" r:id="rId10"/>
    <sheet name="Instruccion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4" l="1"/>
  <c r="D18" i="4"/>
  <c r="D17" i="4"/>
  <c r="D16" i="4"/>
  <c r="D15" i="4"/>
  <c r="D14" i="4"/>
  <c r="D13" i="4"/>
  <c r="D12" i="4"/>
  <c r="D11" i="4"/>
  <c r="N12" i="2"/>
  <c r="D11" i="2"/>
  <c r="D12" i="2"/>
  <c r="X28" i="10"/>
  <c r="V28" i="10"/>
  <c r="T28" i="10"/>
  <c r="R28" i="10"/>
  <c r="P28" i="10"/>
  <c r="N28" i="10"/>
  <c r="L28" i="10"/>
  <c r="J28" i="10"/>
  <c r="H28" i="10"/>
  <c r="G28" i="10"/>
  <c r="C28" i="10"/>
  <c r="X27" i="10"/>
  <c r="V27" i="10"/>
  <c r="T27" i="10"/>
  <c r="R27" i="10"/>
  <c r="P27" i="10"/>
  <c r="N27" i="10"/>
  <c r="L27" i="10"/>
  <c r="J27" i="10"/>
  <c r="H27" i="10"/>
  <c r="G27" i="10"/>
  <c r="C27" i="10"/>
  <c r="X26" i="10"/>
  <c r="V26" i="10"/>
  <c r="T26" i="10"/>
  <c r="R26" i="10"/>
  <c r="P26" i="10"/>
  <c r="N26" i="10"/>
  <c r="L26" i="10"/>
  <c r="J26" i="10"/>
  <c r="H26" i="10"/>
  <c r="G26" i="10"/>
  <c r="C26" i="10"/>
  <c r="X25" i="10"/>
  <c r="V25" i="10"/>
  <c r="T25" i="10"/>
  <c r="R25" i="10"/>
  <c r="P25" i="10"/>
  <c r="N25" i="10"/>
  <c r="L25" i="10"/>
  <c r="J25" i="10"/>
  <c r="H25" i="10"/>
  <c r="G25" i="10"/>
  <c r="C25" i="10"/>
  <c r="X24" i="10"/>
  <c r="V24" i="10"/>
  <c r="T24" i="10"/>
  <c r="R24" i="10"/>
  <c r="P24" i="10"/>
  <c r="N24" i="10"/>
  <c r="L24" i="10"/>
  <c r="J24" i="10"/>
  <c r="H24" i="10"/>
  <c r="G24" i="10"/>
  <c r="C24" i="10"/>
  <c r="X23" i="10"/>
  <c r="V23" i="10"/>
  <c r="T23" i="10"/>
  <c r="R23" i="10"/>
  <c r="P23" i="10"/>
  <c r="N23" i="10"/>
  <c r="L23" i="10"/>
  <c r="J23" i="10"/>
  <c r="H23" i="10"/>
  <c r="G23" i="10"/>
  <c r="C23" i="10"/>
  <c r="X22" i="10"/>
  <c r="V22" i="10"/>
  <c r="T22" i="10"/>
  <c r="R22" i="10"/>
  <c r="P22" i="10"/>
  <c r="N22" i="10"/>
  <c r="L22" i="10"/>
  <c r="J22" i="10"/>
  <c r="H22" i="10"/>
  <c r="G22" i="10"/>
  <c r="C22" i="10"/>
  <c r="X21" i="10"/>
  <c r="V21" i="10"/>
  <c r="T21" i="10"/>
  <c r="R21" i="10"/>
  <c r="P21" i="10"/>
  <c r="N21" i="10"/>
  <c r="L21" i="10"/>
  <c r="J21" i="10"/>
  <c r="H21" i="10"/>
  <c r="G21" i="10"/>
  <c r="C21" i="10"/>
  <c r="X20" i="10"/>
  <c r="V20" i="10"/>
  <c r="T20" i="10"/>
  <c r="R20" i="10"/>
  <c r="P20" i="10"/>
  <c r="N20" i="10"/>
  <c r="L20" i="10"/>
  <c r="J20" i="10"/>
  <c r="H20" i="10"/>
  <c r="G20" i="10"/>
  <c r="C20" i="10"/>
  <c r="X19" i="10"/>
  <c r="V19" i="10"/>
  <c r="T19" i="10"/>
  <c r="R19" i="10"/>
  <c r="P19" i="10"/>
  <c r="N19" i="10"/>
  <c r="L19" i="10"/>
  <c r="J19" i="10"/>
  <c r="H19" i="10"/>
  <c r="G19" i="10"/>
  <c r="C19" i="10"/>
  <c r="X18" i="10"/>
  <c r="V18" i="10"/>
  <c r="T18" i="10"/>
  <c r="R18" i="10"/>
  <c r="P18" i="10"/>
  <c r="N18" i="10"/>
  <c r="L18" i="10"/>
  <c r="J18" i="10"/>
  <c r="H18" i="10"/>
  <c r="G18" i="10"/>
  <c r="C18" i="10"/>
  <c r="X17" i="10"/>
  <c r="V17" i="10"/>
  <c r="T17" i="10"/>
  <c r="R17" i="10"/>
  <c r="P17" i="10"/>
  <c r="N17" i="10"/>
  <c r="L17" i="10"/>
  <c r="J17" i="10"/>
  <c r="H17" i="10"/>
  <c r="G17" i="10"/>
  <c r="C17" i="10"/>
  <c r="X16" i="10"/>
  <c r="V16" i="10"/>
  <c r="T16" i="10"/>
  <c r="R16" i="10"/>
  <c r="P16" i="10"/>
  <c r="N16" i="10"/>
  <c r="L16" i="10"/>
  <c r="J16" i="10"/>
  <c r="H16" i="10"/>
  <c r="G16" i="10"/>
  <c r="C16" i="10"/>
  <c r="X15" i="10"/>
  <c r="V15" i="10"/>
  <c r="T15" i="10"/>
  <c r="R15" i="10"/>
  <c r="P15" i="10"/>
  <c r="N15" i="10"/>
  <c r="L15" i="10"/>
  <c r="J15" i="10"/>
  <c r="H15" i="10"/>
  <c r="G15" i="10"/>
  <c r="C15" i="10"/>
  <c r="X14" i="10"/>
  <c r="V14" i="10"/>
  <c r="T14" i="10"/>
  <c r="R14" i="10"/>
  <c r="P14" i="10"/>
  <c r="N14" i="10"/>
  <c r="L14" i="10"/>
  <c r="J14" i="10"/>
  <c r="H14" i="10"/>
  <c r="G14" i="10"/>
  <c r="C14" i="10"/>
  <c r="X13" i="10"/>
  <c r="V13" i="10"/>
  <c r="T13" i="10"/>
  <c r="R13" i="10"/>
  <c r="P13" i="10"/>
  <c r="N13" i="10"/>
  <c r="L13" i="10"/>
  <c r="J13" i="10"/>
  <c r="H13" i="10"/>
  <c r="G13" i="10"/>
  <c r="C13" i="10"/>
  <c r="X12" i="10"/>
  <c r="V12" i="10"/>
  <c r="T12" i="10"/>
  <c r="R12" i="10"/>
  <c r="P12" i="10"/>
  <c r="N12" i="10"/>
  <c r="L12" i="10"/>
  <c r="J12" i="10"/>
  <c r="H12" i="10"/>
  <c r="G12" i="10"/>
  <c r="C12" i="10"/>
  <c r="X11" i="10"/>
  <c r="V11" i="10"/>
  <c r="T11" i="10"/>
  <c r="R11" i="10"/>
  <c r="P11" i="10"/>
  <c r="N11" i="10"/>
  <c r="L11" i="10"/>
  <c r="J11" i="10"/>
  <c r="H11" i="10"/>
  <c r="G11" i="10"/>
  <c r="C11" i="10"/>
  <c r="B8" i="10"/>
  <c r="X28" i="9"/>
  <c r="V28" i="9"/>
  <c r="T28" i="9"/>
  <c r="R28" i="9"/>
  <c r="P28" i="9"/>
  <c r="N28" i="9"/>
  <c r="L28" i="9"/>
  <c r="J28" i="9"/>
  <c r="H28" i="9"/>
  <c r="G28" i="9"/>
  <c r="C28" i="9"/>
  <c r="X27" i="9"/>
  <c r="V27" i="9"/>
  <c r="T27" i="9"/>
  <c r="R27" i="9"/>
  <c r="P27" i="9"/>
  <c r="N27" i="9"/>
  <c r="L27" i="9"/>
  <c r="J27" i="9"/>
  <c r="H27" i="9"/>
  <c r="G27" i="9"/>
  <c r="C27" i="9"/>
  <c r="X26" i="9"/>
  <c r="V26" i="9"/>
  <c r="T26" i="9"/>
  <c r="R26" i="9"/>
  <c r="P26" i="9"/>
  <c r="N26" i="9"/>
  <c r="L26" i="9"/>
  <c r="J26" i="9"/>
  <c r="H26" i="9"/>
  <c r="G26" i="9"/>
  <c r="C26" i="9"/>
  <c r="X25" i="9"/>
  <c r="V25" i="9"/>
  <c r="T25" i="9"/>
  <c r="R25" i="9"/>
  <c r="P25" i="9"/>
  <c r="N25" i="9"/>
  <c r="L25" i="9"/>
  <c r="J25" i="9"/>
  <c r="H25" i="9"/>
  <c r="G25" i="9"/>
  <c r="C25" i="9"/>
  <c r="X24" i="9"/>
  <c r="V24" i="9"/>
  <c r="T24" i="9"/>
  <c r="R24" i="9"/>
  <c r="P24" i="9"/>
  <c r="N24" i="9"/>
  <c r="L24" i="9"/>
  <c r="J24" i="9"/>
  <c r="H24" i="9"/>
  <c r="G24" i="9"/>
  <c r="C24" i="9"/>
  <c r="X23" i="9"/>
  <c r="V23" i="9"/>
  <c r="T23" i="9"/>
  <c r="R23" i="9"/>
  <c r="P23" i="9"/>
  <c r="N23" i="9"/>
  <c r="L23" i="9"/>
  <c r="J23" i="9"/>
  <c r="H23" i="9"/>
  <c r="G23" i="9"/>
  <c r="C23" i="9"/>
  <c r="X22" i="9"/>
  <c r="V22" i="9"/>
  <c r="T22" i="9"/>
  <c r="R22" i="9"/>
  <c r="P22" i="9"/>
  <c r="N22" i="9"/>
  <c r="L22" i="9"/>
  <c r="J22" i="9"/>
  <c r="H22" i="9"/>
  <c r="G22" i="9"/>
  <c r="C22" i="9"/>
  <c r="X21" i="9"/>
  <c r="V21" i="9"/>
  <c r="T21" i="9"/>
  <c r="R21" i="9"/>
  <c r="P21" i="9"/>
  <c r="N21" i="9"/>
  <c r="L21" i="9"/>
  <c r="J21" i="9"/>
  <c r="H21" i="9"/>
  <c r="G21" i="9"/>
  <c r="C21" i="9"/>
  <c r="X20" i="9"/>
  <c r="V20" i="9"/>
  <c r="T20" i="9"/>
  <c r="R20" i="9"/>
  <c r="P20" i="9"/>
  <c r="N20" i="9"/>
  <c r="L20" i="9"/>
  <c r="J20" i="9"/>
  <c r="H20" i="9"/>
  <c r="G20" i="9"/>
  <c r="C20" i="9"/>
  <c r="X19" i="9"/>
  <c r="V19" i="9"/>
  <c r="T19" i="9"/>
  <c r="R19" i="9"/>
  <c r="P19" i="9"/>
  <c r="N19" i="9"/>
  <c r="L19" i="9"/>
  <c r="J19" i="9"/>
  <c r="H19" i="9"/>
  <c r="G19" i="9"/>
  <c r="C19" i="9"/>
  <c r="X18" i="9"/>
  <c r="V18" i="9"/>
  <c r="T18" i="9"/>
  <c r="R18" i="9"/>
  <c r="P18" i="9"/>
  <c r="N18" i="9"/>
  <c r="L18" i="9"/>
  <c r="J18" i="9"/>
  <c r="H18" i="9"/>
  <c r="G18" i="9"/>
  <c r="C18" i="9"/>
  <c r="X17" i="9"/>
  <c r="V17" i="9"/>
  <c r="T17" i="9"/>
  <c r="R17" i="9"/>
  <c r="P17" i="9"/>
  <c r="N17" i="9"/>
  <c r="L17" i="9"/>
  <c r="J17" i="9"/>
  <c r="H17" i="9"/>
  <c r="G17" i="9"/>
  <c r="C17" i="9"/>
  <c r="X16" i="9"/>
  <c r="V16" i="9"/>
  <c r="T16" i="9"/>
  <c r="R16" i="9"/>
  <c r="P16" i="9"/>
  <c r="N16" i="9"/>
  <c r="L16" i="9"/>
  <c r="J16" i="9"/>
  <c r="H16" i="9"/>
  <c r="G16" i="9"/>
  <c r="C16" i="9"/>
  <c r="X15" i="9"/>
  <c r="V15" i="9"/>
  <c r="T15" i="9"/>
  <c r="R15" i="9"/>
  <c r="P15" i="9"/>
  <c r="N15" i="9"/>
  <c r="L15" i="9"/>
  <c r="J15" i="9"/>
  <c r="H15" i="9"/>
  <c r="G15" i="9"/>
  <c r="C15" i="9"/>
  <c r="X14" i="9"/>
  <c r="V14" i="9"/>
  <c r="T14" i="9"/>
  <c r="R14" i="9"/>
  <c r="P14" i="9"/>
  <c r="N14" i="9"/>
  <c r="L14" i="9"/>
  <c r="J14" i="9"/>
  <c r="H14" i="9"/>
  <c r="G14" i="9"/>
  <c r="C14" i="9"/>
  <c r="X13" i="9"/>
  <c r="V13" i="9"/>
  <c r="T13" i="9"/>
  <c r="R13" i="9"/>
  <c r="P13" i="9"/>
  <c r="N13" i="9"/>
  <c r="L13" i="9"/>
  <c r="J13" i="9"/>
  <c r="H13" i="9"/>
  <c r="G13" i="9"/>
  <c r="C13" i="9"/>
  <c r="X12" i="9"/>
  <c r="V12" i="9"/>
  <c r="T12" i="9"/>
  <c r="R12" i="9"/>
  <c r="P12" i="9"/>
  <c r="N12" i="9"/>
  <c r="L12" i="9"/>
  <c r="J12" i="9"/>
  <c r="H12" i="9"/>
  <c r="G12" i="9"/>
  <c r="C12" i="9"/>
  <c r="X11" i="9"/>
  <c r="V11" i="9"/>
  <c r="T11" i="9"/>
  <c r="R11" i="9"/>
  <c r="P11" i="9"/>
  <c r="N11" i="9"/>
  <c r="L11" i="9"/>
  <c r="J11" i="9"/>
  <c r="H11" i="9"/>
  <c r="G11" i="9"/>
  <c r="C11" i="9"/>
  <c r="B8" i="9"/>
  <c r="X56" i="8"/>
  <c r="V56" i="8"/>
  <c r="T56" i="8"/>
  <c r="R56" i="8"/>
  <c r="P56" i="8"/>
  <c r="N56" i="8"/>
  <c r="L56" i="8"/>
  <c r="J56" i="8"/>
  <c r="G56" i="8"/>
  <c r="H56" i="8" s="1"/>
  <c r="F56" i="8"/>
  <c r="C56" i="8"/>
  <c r="X55" i="8"/>
  <c r="V55" i="8"/>
  <c r="T55" i="8"/>
  <c r="R55" i="8"/>
  <c r="P55" i="8"/>
  <c r="N55" i="8"/>
  <c r="L55" i="8"/>
  <c r="J55" i="8"/>
  <c r="G55" i="8"/>
  <c r="H55" i="8" s="1"/>
  <c r="F55" i="8"/>
  <c r="C55" i="8"/>
  <c r="X54" i="8"/>
  <c r="V54" i="8"/>
  <c r="T54" i="8"/>
  <c r="R54" i="8"/>
  <c r="P54" i="8"/>
  <c r="N54" i="8"/>
  <c r="L54" i="8"/>
  <c r="J54" i="8"/>
  <c r="G54" i="8"/>
  <c r="H54" i="8" s="1"/>
  <c r="F54" i="8"/>
  <c r="C54" i="8"/>
  <c r="X53" i="8"/>
  <c r="V53" i="8"/>
  <c r="T53" i="8"/>
  <c r="R53" i="8"/>
  <c r="P53" i="8"/>
  <c r="N53" i="8"/>
  <c r="L53" i="8"/>
  <c r="J53" i="8"/>
  <c r="G53" i="8"/>
  <c r="H53" i="8" s="1"/>
  <c r="F53" i="8"/>
  <c r="C53" i="8"/>
  <c r="X52" i="8"/>
  <c r="V52" i="8"/>
  <c r="T52" i="8"/>
  <c r="R52" i="8"/>
  <c r="P52" i="8"/>
  <c r="N52" i="8"/>
  <c r="L52" i="8"/>
  <c r="J52" i="8"/>
  <c r="G52" i="8"/>
  <c r="H52" i="8" s="1"/>
  <c r="F52" i="8"/>
  <c r="C52" i="8"/>
  <c r="X51" i="8"/>
  <c r="V51" i="8"/>
  <c r="T51" i="8"/>
  <c r="R51" i="8"/>
  <c r="P51" i="8"/>
  <c r="N51" i="8"/>
  <c r="L51" i="8"/>
  <c r="J51" i="8"/>
  <c r="G51" i="8"/>
  <c r="H51" i="8" s="1"/>
  <c r="F51" i="8"/>
  <c r="C51" i="8"/>
  <c r="X50" i="8"/>
  <c r="V50" i="8"/>
  <c r="T50" i="8"/>
  <c r="R50" i="8"/>
  <c r="P50" i="8"/>
  <c r="N50" i="8"/>
  <c r="L50" i="8"/>
  <c r="J50" i="8"/>
  <c r="G50" i="8"/>
  <c r="H50" i="8" s="1"/>
  <c r="F50" i="8"/>
  <c r="C50" i="8"/>
  <c r="X49" i="8"/>
  <c r="V49" i="8"/>
  <c r="T49" i="8"/>
  <c r="R49" i="8"/>
  <c r="P49" i="8"/>
  <c r="N49" i="8"/>
  <c r="L49" i="8"/>
  <c r="J49" i="8"/>
  <c r="G49" i="8"/>
  <c r="H49" i="8" s="1"/>
  <c r="F49" i="8"/>
  <c r="C49" i="8"/>
  <c r="X48" i="8"/>
  <c r="V48" i="8"/>
  <c r="T48" i="8"/>
  <c r="R48" i="8"/>
  <c r="P48" i="8"/>
  <c r="N48" i="8"/>
  <c r="L48" i="8"/>
  <c r="J48" i="8"/>
  <c r="G48" i="8"/>
  <c r="H48" i="8" s="1"/>
  <c r="F48" i="8"/>
  <c r="C48" i="8"/>
  <c r="X47" i="8"/>
  <c r="V47" i="8"/>
  <c r="T47" i="8"/>
  <c r="R47" i="8"/>
  <c r="P47" i="8"/>
  <c r="N47" i="8"/>
  <c r="L47" i="8"/>
  <c r="J47" i="8"/>
  <c r="G47" i="8"/>
  <c r="H47" i="8" s="1"/>
  <c r="F47" i="8"/>
  <c r="C47" i="8"/>
  <c r="X46" i="8"/>
  <c r="V46" i="8"/>
  <c r="T46" i="8"/>
  <c r="R46" i="8"/>
  <c r="P46" i="8"/>
  <c r="N46" i="8"/>
  <c r="L46" i="8"/>
  <c r="J46" i="8"/>
  <c r="G46" i="8"/>
  <c r="H46" i="8" s="1"/>
  <c r="F46" i="8"/>
  <c r="C46" i="8"/>
  <c r="X45" i="8"/>
  <c r="V45" i="8"/>
  <c r="T45" i="8"/>
  <c r="R45" i="8"/>
  <c r="P45" i="8"/>
  <c r="N45" i="8"/>
  <c r="L45" i="8"/>
  <c r="J45" i="8"/>
  <c r="G45" i="8"/>
  <c r="H45" i="8" s="1"/>
  <c r="F45" i="8"/>
  <c r="C45" i="8"/>
  <c r="X44" i="8"/>
  <c r="V44" i="8"/>
  <c r="T44" i="8"/>
  <c r="R44" i="8"/>
  <c r="P44" i="8"/>
  <c r="N44" i="8"/>
  <c r="L44" i="8"/>
  <c r="J44" i="8"/>
  <c r="G44" i="8"/>
  <c r="H44" i="8" s="1"/>
  <c r="F44" i="8"/>
  <c r="C44" i="8"/>
  <c r="X43" i="8"/>
  <c r="V43" i="8"/>
  <c r="T43" i="8"/>
  <c r="R43" i="8"/>
  <c r="P43" i="8"/>
  <c r="N43" i="8"/>
  <c r="L43" i="8"/>
  <c r="J43" i="8"/>
  <c r="G43" i="8"/>
  <c r="H43" i="8" s="1"/>
  <c r="F43" i="8"/>
  <c r="C43" i="8"/>
  <c r="X42" i="8"/>
  <c r="V42" i="8"/>
  <c r="T42" i="8"/>
  <c r="R42" i="8"/>
  <c r="P42" i="8"/>
  <c r="N42" i="8"/>
  <c r="L42" i="8"/>
  <c r="J42" i="8"/>
  <c r="G42" i="8"/>
  <c r="H42" i="8" s="1"/>
  <c r="F42" i="8"/>
  <c r="C42" i="8"/>
  <c r="X41" i="8"/>
  <c r="V41" i="8"/>
  <c r="T41" i="8"/>
  <c r="R41" i="8"/>
  <c r="P41" i="8"/>
  <c r="N41" i="8"/>
  <c r="L41" i="8"/>
  <c r="J41" i="8"/>
  <c r="G41" i="8"/>
  <c r="H41" i="8" s="1"/>
  <c r="F41" i="8"/>
  <c r="C41" i="8"/>
  <c r="X40" i="8"/>
  <c r="V40" i="8"/>
  <c r="T40" i="8"/>
  <c r="R40" i="8"/>
  <c r="P40" i="8"/>
  <c r="N40" i="8"/>
  <c r="L40" i="8"/>
  <c r="J40" i="8"/>
  <c r="G40" i="8"/>
  <c r="H40" i="8" s="1"/>
  <c r="F40" i="8"/>
  <c r="C40" i="8"/>
  <c r="X39" i="8"/>
  <c r="V39" i="8"/>
  <c r="T39" i="8"/>
  <c r="R39" i="8"/>
  <c r="P39" i="8"/>
  <c r="N39" i="8"/>
  <c r="L39" i="8"/>
  <c r="J39" i="8"/>
  <c r="G39" i="8"/>
  <c r="H39" i="8" s="1"/>
  <c r="F39" i="8"/>
  <c r="C39" i="8"/>
  <c r="X38" i="8"/>
  <c r="V38" i="8"/>
  <c r="T38" i="8"/>
  <c r="R38" i="8"/>
  <c r="P38" i="8"/>
  <c r="N38" i="8"/>
  <c r="L38" i="8"/>
  <c r="J38" i="8"/>
  <c r="G38" i="8"/>
  <c r="H38" i="8" s="1"/>
  <c r="F38" i="8"/>
  <c r="C38" i="8"/>
  <c r="X37" i="8"/>
  <c r="V37" i="8"/>
  <c r="T37" i="8"/>
  <c r="R37" i="8"/>
  <c r="P37" i="8"/>
  <c r="N37" i="8"/>
  <c r="L37" i="8"/>
  <c r="J37" i="8"/>
  <c r="G37" i="8"/>
  <c r="H37" i="8" s="1"/>
  <c r="F37" i="8"/>
  <c r="C37" i="8"/>
  <c r="X36" i="8"/>
  <c r="V36" i="8"/>
  <c r="T36" i="8"/>
  <c r="R36" i="8"/>
  <c r="P36" i="8"/>
  <c r="N36" i="8"/>
  <c r="L36" i="8"/>
  <c r="J36" i="8"/>
  <c r="G36" i="8"/>
  <c r="H36" i="8" s="1"/>
  <c r="F36" i="8"/>
  <c r="C36" i="8"/>
  <c r="X35" i="8"/>
  <c r="V35" i="8"/>
  <c r="T35" i="8"/>
  <c r="R35" i="8"/>
  <c r="P35" i="8"/>
  <c r="N35" i="8"/>
  <c r="L35" i="8"/>
  <c r="J35" i="8"/>
  <c r="G35" i="8"/>
  <c r="H35" i="8" s="1"/>
  <c r="F35" i="8"/>
  <c r="C35" i="8"/>
  <c r="X34" i="8"/>
  <c r="V34" i="8"/>
  <c r="T34" i="8"/>
  <c r="R34" i="8"/>
  <c r="P34" i="8"/>
  <c r="N34" i="8"/>
  <c r="L34" i="8"/>
  <c r="J34" i="8"/>
  <c r="G34" i="8"/>
  <c r="H34" i="8" s="1"/>
  <c r="F34" i="8"/>
  <c r="C34" i="8"/>
  <c r="X33" i="8"/>
  <c r="V33" i="8"/>
  <c r="T33" i="8"/>
  <c r="R33" i="8"/>
  <c r="P33" i="8"/>
  <c r="N33" i="8"/>
  <c r="L33" i="8"/>
  <c r="J33" i="8"/>
  <c r="G33" i="8"/>
  <c r="H33" i="8" s="1"/>
  <c r="F33" i="8"/>
  <c r="C33" i="8"/>
  <c r="X32" i="8"/>
  <c r="V32" i="8"/>
  <c r="T32" i="8"/>
  <c r="R32" i="8"/>
  <c r="P32" i="8"/>
  <c r="N32" i="8"/>
  <c r="L32" i="8"/>
  <c r="J32" i="8"/>
  <c r="G32" i="8"/>
  <c r="H32" i="8" s="1"/>
  <c r="F32" i="8"/>
  <c r="C32" i="8"/>
  <c r="X31" i="8"/>
  <c r="V31" i="8"/>
  <c r="T31" i="8"/>
  <c r="R31" i="8"/>
  <c r="P31" i="8"/>
  <c r="N31" i="8"/>
  <c r="L31" i="8"/>
  <c r="J31" i="8"/>
  <c r="G31" i="8"/>
  <c r="H31" i="8" s="1"/>
  <c r="F31" i="8"/>
  <c r="C31" i="8"/>
  <c r="X30" i="8"/>
  <c r="V30" i="8"/>
  <c r="T30" i="8"/>
  <c r="R30" i="8"/>
  <c r="P30" i="8"/>
  <c r="N30" i="8"/>
  <c r="L30" i="8"/>
  <c r="J30" i="8"/>
  <c r="G30" i="8"/>
  <c r="H30" i="8" s="1"/>
  <c r="F30" i="8"/>
  <c r="C30" i="8"/>
  <c r="X29" i="8"/>
  <c r="V29" i="8"/>
  <c r="T29" i="8"/>
  <c r="R29" i="8"/>
  <c r="P29" i="8"/>
  <c r="N29" i="8"/>
  <c r="L29" i="8"/>
  <c r="J29" i="8"/>
  <c r="H29" i="8"/>
  <c r="G29" i="8"/>
  <c r="F29" i="8"/>
  <c r="X28" i="8"/>
  <c r="V28" i="8"/>
  <c r="T28" i="8"/>
  <c r="R28" i="8"/>
  <c r="P28" i="8"/>
  <c r="N28" i="8"/>
  <c r="L28" i="8"/>
  <c r="J28" i="8"/>
  <c r="G28" i="8"/>
  <c r="H28" i="8" s="1"/>
  <c r="F28" i="8"/>
  <c r="X27" i="8"/>
  <c r="V27" i="8"/>
  <c r="T27" i="8"/>
  <c r="R27" i="8"/>
  <c r="P27" i="8"/>
  <c r="N27" i="8"/>
  <c r="L27" i="8"/>
  <c r="J27" i="8"/>
  <c r="G27" i="8"/>
  <c r="H27" i="8" s="1"/>
  <c r="F27" i="8"/>
  <c r="X26" i="8"/>
  <c r="V26" i="8"/>
  <c r="T26" i="8"/>
  <c r="R26" i="8"/>
  <c r="P26" i="8"/>
  <c r="N26" i="8"/>
  <c r="L26" i="8"/>
  <c r="J26" i="8"/>
  <c r="G26" i="8"/>
  <c r="H26" i="8" s="1"/>
  <c r="F26" i="8"/>
  <c r="X25" i="8"/>
  <c r="V25" i="8"/>
  <c r="T25" i="8"/>
  <c r="R25" i="8"/>
  <c r="P25" i="8"/>
  <c r="N25" i="8"/>
  <c r="L25" i="8"/>
  <c r="J25" i="8"/>
  <c r="G25" i="8"/>
  <c r="H25" i="8" s="1"/>
  <c r="F25" i="8"/>
  <c r="X24" i="8"/>
  <c r="V24" i="8"/>
  <c r="T24" i="8"/>
  <c r="R24" i="8"/>
  <c r="P24" i="8"/>
  <c r="N24" i="8"/>
  <c r="L24" i="8"/>
  <c r="J24" i="8"/>
  <c r="G24" i="8"/>
  <c r="H24" i="8" s="1"/>
  <c r="F24" i="8"/>
  <c r="X23" i="8"/>
  <c r="V23" i="8"/>
  <c r="T23" i="8"/>
  <c r="R23" i="8"/>
  <c r="P23" i="8"/>
  <c r="N23" i="8"/>
  <c r="L23" i="8"/>
  <c r="J23" i="8"/>
  <c r="G23" i="8"/>
  <c r="H23" i="8" s="1"/>
  <c r="F23" i="8"/>
  <c r="X22" i="8"/>
  <c r="V22" i="8"/>
  <c r="T22" i="8"/>
  <c r="R22" i="8"/>
  <c r="P22" i="8"/>
  <c r="N22" i="8"/>
  <c r="L22" i="8"/>
  <c r="J22" i="8"/>
  <c r="G22" i="8"/>
  <c r="H22" i="8" s="1"/>
  <c r="F22" i="8"/>
  <c r="X21" i="8"/>
  <c r="V21" i="8"/>
  <c r="T21" i="8"/>
  <c r="R21" i="8"/>
  <c r="P21" i="8"/>
  <c r="N21" i="8"/>
  <c r="L21" i="8"/>
  <c r="J21" i="8"/>
  <c r="G21" i="8"/>
  <c r="H21" i="8" s="1"/>
  <c r="F21" i="8"/>
  <c r="X20" i="8"/>
  <c r="V20" i="8"/>
  <c r="T20" i="8"/>
  <c r="R20" i="8"/>
  <c r="P20" i="8"/>
  <c r="N20" i="8"/>
  <c r="L20" i="8"/>
  <c r="J20" i="8"/>
  <c r="G20" i="8"/>
  <c r="H20" i="8" s="1"/>
  <c r="F20" i="8"/>
  <c r="X19" i="8"/>
  <c r="V19" i="8"/>
  <c r="T19" i="8"/>
  <c r="R19" i="8"/>
  <c r="P19" i="8"/>
  <c r="N19" i="8"/>
  <c r="L19" i="8"/>
  <c r="J19" i="8"/>
  <c r="G19" i="8"/>
  <c r="H19" i="8" s="1"/>
  <c r="F19" i="8"/>
  <c r="X18" i="8"/>
  <c r="V18" i="8"/>
  <c r="T18" i="8"/>
  <c r="R18" i="8"/>
  <c r="P18" i="8"/>
  <c r="N18" i="8"/>
  <c r="L18" i="8"/>
  <c r="J18" i="8"/>
  <c r="G18" i="8"/>
  <c r="H18" i="8" s="1"/>
  <c r="F18" i="8"/>
  <c r="X17" i="8"/>
  <c r="V17" i="8"/>
  <c r="T17" i="8"/>
  <c r="R17" i="8"/>
  <c r="P17" i="8"/>
  <c r="N17" i="8"/>
  <c r="L17" i="8"/>
  <c r="J17" i="8"/>
  <c r="G17" i="8"/>
  <c r="H17" i="8" s="1"/>
  <c r="F17" i="8"/>
  <c r="X16" i="8"/>
  <c r="V16" i="8"/>
  <c r="T16" i="8"/>
  <c r="R16" i="8"/>
  <c r="P16" i="8"/>
  <c r="N16" i="8"/>
  <c r="L16" i="8"/>
  <c r="J16" i="8"/>
  <c r="G16" i="8"/>
  <c r="H16" i="8" s="1"/>
  <c r="F16" i="8"/>
  <c r="X15" i="8"/>
  <c r="V15" i="8"/>
  <c r="T15" i="8"/>
  <c r="R15" i="8"/>
  <c r="P15" i="8"/>
  <c r="N15" i="8"/>
  <c r="L15" i="8"/>
  <c r="J15" i="8"/>
  <c r="G15" i="8"/>
  <c r="H15" i="8" s="1"/>
  <c r="F15" i="8"/>
  <c r="X14" i="8"/>
  <c r="V14" i="8"/>
  <c r="T14" i="8"/>
  <c r="R14" i="8"/>
  <c r="P14" i="8"/>
  <c r="N14" i="8"/>
  <c r="L14" i="8"/>
  <c r="J14" i="8"/>
  <c r="G14" i="8"/>
  <c r="H14" i="8" s="1"/>
  <c r="F14" i="8"/>
  <c r="X13" i="8"/>
  <c r="V13" i="8"/>
  <c r="T13" i="8"/>
  <c r="R13" i="8"/>
  <c r="P13" i="8"/>
  <c r="N13" i="8"/>
  <c r="L13" i="8"/>
  <c r="J13" i="8"/>
  <c r="G13" i="8"/>
  <c r="H13" i="8" s="1"/>
  <c r="F13" i="8"/>
  <c r="X12" i="8"/>
  <c r="V12" i="8"/>
  <c r="T12" i="8"/>
  <c r="R12" i="8"/>
  <c r="P12" i="8"/>
  <c r="N12" i="8"/>
  <c r="L12" i="8"/>
  <c r="J12" i="8"/>
  <c r="G12" i="8"/>
  <c r="H12" i="8" s="1"/>
  <c r="F12" i="8"/>
  <c r="X11" i="8"/>
  <c r="V11" i="8"/>
  <c r="T11" i="8"/>
  <c r="R11" i="8"/>
  <c r="P11" i="8"/>
  <c r="N11" i="8"/>
  <c r="L11" i="8"/>
  <c r="J11" i="8"/>
  <c r="G11" i="8"/>
  <c r="H11" i="8" s="1"/>
  <c r="F11" i="8"/>
  <c r="B8" i="8"/>
  <c r="X91" i="7"/>
  <c r="V91" i="7"/>
  <c r="T91" i="7"/>
  <c r="R91" i="7"/>
  <c r="P91" i="7"/>
  <c r="N91" i="7"/>
  <c r="L91" i="7"/>
  <c r="J91" i="7"/>
  <c r="H91" i="7"/>
  <c r="G91" i="7"/>
  <c r="C91" i="7"/>
  <c r="X90" i="7"/>
  <c r="V90" i="7"/>
  <c r="T90" i="7"/>
  <c r="R90" i="7"/>
  <c r="P90" i="7"/>
  <c r="N90" i="7"/>
  <c r="L90" i="7"/>
  <c r="J90" i="7"/>
  <c r="H90" i="7"/>
  <c r="G90" i="7"/>
  <c r="C90" i="7"/>
  <c r="X89" i="7"/>
  <c r="V89" i="7"/>
  <c r="T89" i="7"/>
  <c r="R89" i="7"/>
  <c r="P89" i="7"/>
  <c r="N89" i="7"/>
  <c r="L89" i="7"/>
  <c r="J89" i="7"/>
  <c r="H89" i="7"/>
  <c r="G89" i="7"/>
  <c r="C89" i="7"/>
  <c r="X88" i="7"/>
  <c r="V88" i="7"/>
  <c r="T88" i="7"/>
  <c r="R88" i="7"/>
  <c r="P88" i="7"/>
  <c r="N88" i="7"/>
  <c r="L88" i="7"/>
  <c r="J88" i="7"/>
  <c r="H88" i="7"/>
  <c r="G88" i="7"/>
  <c r="C88" i="7"/>
  <c r="X87" i="7"/>
  <c r="V87" i="7"/>
  <c r="T87" i="7"/>
  <c r="R87" i="7"/>
  <c r="P87" i="7"/>
  <c r="N87" i="7"/>
  <c r="L87" i="7"/>
  <c r="J87" i="7"/>
  <c r="H87" i="7"/>
  <c r="G87" i="7"/>
  <c r="C87" i="7"/>
  <c r="X86" i="7"/>
  <c r="V86" i="7"/>
  <c r="T86" i="7"/>
  <c r="R86" i="7"/>
  <c r="P86" i="7"/>
  <c r="N86" i="7"/>
  <c r="L86" i="7"/>
  <c r="J86" i="7"/>
  <c r="H86" i="7"/>
  <c r="G86" i="7"/>
  <c r="C86" i="7"/>
  <c r="X85" i="7"/>
  <c r="V85" i="7"/>
  <c r="T85" i="7"/>
  <c r="R85" i="7"/>
  <c r="P85" i="7"/>
  <c r="N85" i="7"/>
  <c r="L85" i="7"/>
  <c r="J85" i="7"/>
  <c r="H85" i="7"/>
  <c r="G85" i="7"/>
  <c r="C85" i="7"/>
  <c r="X84" i="7"/>
  <c r="V84" i="7"/>
  <c r="T84" i="7"/>
  <c r="R84" i="7"/>
  <c r="P84" i="7"/>
  <c r="N84" i="7"/>
  <c r="L84" i="7"/>
  <c r="J84" i="7"/>
  <c r="H84" i="7"/>
  <c r="G84" i="7"/>
  <c r="C84" i="7"/>
  <c r="X83" i="7"/>
  <c r="V83" i="7"/>
  <c r="T83" i="7"/>
  <c r="R83" i="7"/>
  <c r="P83" i="7"/>
  <c r="N83" i="7"/>
  <c r="L83" i="7"/>
  <c r="J83" i="7"/>
  <c r="H83" i="7"/>
  <c r="G83" i="7"/>
  <c r="C83" i="7"/>
  <c r="X82" i="7"/>
  <c r="V82" i="7"/>
  <c r="T82" i="7"/>
  <c r="R82" i="7"/>
  <c r="P82" i="7"/>
  <c r="N82" i="7"/>
  <c r="L82" i="7"/>
  <c r="J82" i="7"/>
  <c r="H82" i="7"/>
  <c r="G82" i="7"/>
  <c r="C82" i="7"/>
  <c r="X81" i="7"/>
  <c r="V81" i="7"/>
  <c r="T81" i="7"/>
  <c r="R81" i="7"/>
  <c r="P81" i="7"/>
  <c r="N81" i="7"/>
  <c r="L81" i="7"/>
  <c r="J81" i="7"/>
  <c r="H81" i="7"/>
  <c r="G81" i="7"/>
  <c r="C81" i="7"/>
  <c r="X80" i="7"/>
  <c r="V80" i="7"/>
  <c r="T80" i="7"/>
  <c r="R80" i="7"/>
  <c r="P80" i="7"/>
  <c r="N80" i="7"/>
  <c r="L80" i="7"/>
  <c r="J80" i="7"/>
  <c r="H80" i="7"/>
  <c r="G80" i="7"/>
  <c r="C80" i="7"/>
  <c r="X79" i="7"/>
  <c r="V79" i="7"/>
  <c r="T79" i="7"/>
  <c r="R79" i="7"/>
  <c r="P79" i="7"/>
  <c r="N79" i="7"/>
  <c r="L79" i="7"/>
  <c r="J79" i="7"/>
  <c r="H79" i="7"/>
  <c r="G79" i="7"/>
  <c r="C79" i="7"/>
  <c r="X78" i="7"/>
  <c r="V78" i="7"/>
  <c r="T78" i="7"/>
  <c r="R78" i="7"/>
  <c r="P78" i="7"/>
  <c r="N78" i="7"/>
  <c r="L78" i="7"/>
  <c r="J78" i="7"/>
  <c r="H78" i="7"/>
  <c r="G78" i="7"/>
  <c r="C78" i="7"/>
  <c r="X77" i="7"/>
  <c r="V77" i="7"/>
  <c r="T77" i="7"/>
  <c r="R77" i="7"/>
  <c r="P77" i="7"/>
  <c r="N77" i="7"/>
  <c r="L77" i="7"/>
  <c r="J77" i="7"/>
  <c r="H77" i="7"/>
  <c r="G77" i="7"/>
  <c r="C77" i="7"/>
  <c r="X76" i="7"/>
  <c r="V76" i="7"/>
  <c r="T76" i="7"/>
  <c r="R76" i="7"/>
  <c r="P76" i="7"/>
  <c r="N76" i="7"/>
  <c r="L76" i="7"/>
  <c r="J76" i="7"/>
  <c r="H76" i="7"/>
  <c r="G76" i="7"/>
  <c r="C76" i="7"/>
  <c r="X75" i="7"/>
  <c r="V75" i="7"/>
  <c r="T75" i="7"/>
  <c r="R75" i="7"/>
  <c r="P75" i="7"/>
  <c r="N75" i="7"/>
  <c r="L75" i="7"/>
  <c r="J75" i="7"/>
  <c r="H75" i="7"/>
  <c r="G75" i="7"/>
  <c r="C75" i="7"/>
  <c r="X74" i="7"/>
  <c r="V74" i="7"/>
  <c r="T74" i="7"/>
  <c r="R74" i="7"/>
  <c r="P74" i="7"/>
  <c r="N74" i="7"/>
  <c r="L74" i="7"/>
  <c r="J74" i="7"/>
  <c r="H74" i="7"/>
  <c r="G74" i="7"/>
  <c r="C74" i="7"/>
  <c r="X73" i="7"/>
  <c r="V73" i="7"/>
  <c r="T73" i="7"/>
  <c r="R73" i="7"/>
  <c r="P73" i="7"/>
  <c r="N73" i="7"/>
  <c r="L73" i="7"/>
  <c r="J73" i="7"/>
  <c r="H73" i="7"/>
  <c r="G73" i="7"/>
  <c r="C73" i="7"/>
  <c r="X72" i="7"/>
  <c r="V72" i="7"/>
  <c r="T72" i="7"/>
  <c r="R72" i="7"/>
  <c r="P72" i="7"/>
  <c r="N72" i="7"/>
  <c r="L72" i="7"/>
  <c r="J72" i="7"/>
  <c r="H72" i="7"/>
  <c r="G72" i="7"/>
  <c r="C72" i="7"/>
  <c r="X71" i="7"/>
  <c r="V71" i="7"/>
  <c r="T71" i="7"/>
  <c r="R71" i="7"/>
  <c r="P71" i="7"/>
  <c r="N71" i="7"/>
  <c r="L71" i="7"/>
  <c r="J71" i="7"/>
  <c r="H71" i="7"/>
  <c r="G71" i="7"/>
  <c r="C71" i="7"/>
  <c r="X70" i="7"/>
  <c r="V70" i="7"/>
  <c r="T70" i="7"/>
  <c r="R70" i="7"/>
  <c r="P70" i="7"/>
  <c r="N70" i="7"/>
  <c r="L70" i="7"/>
  <c r="J70" i="7"/>
  <c r="H70" i="7"/>
  <c r="G70" i="7"/>
  <c r="C70" i="7"/>
  <c r="X69" i="7"/>
  <c r="V69" i="7"/>
  <c r="T69" i="7"/>
  <c r="R69" i="7"/>
  <c r="P69" i="7"/>
  <c r="N69" i="7"/>
  <c r="L69" i="7"/>
  <c r="J69" i="7"/>
  <c r="H69" i="7"/>
  <c r="G69" i="7"/>
  <c r="C69" i="7"/>
  <c r="X68" i="7"/>
  <c r="V68" i="7"/>
  <c r="T68" i="7"/>
  <c r="R68" i="7"/>
  <c r="P68" i="7"/>
  <c r="N68" i="7"/>
  <c r="L68" i="7"/>
  <c r="J68" i="7"/>
  <c r="H68" i="7"/>
  <c r="G68" i="7"/>
  <c r="C68" i="7"/>
  <c r="X67" i="7"/>
  <c r="V67" i="7"/>
  <c r="T67" i="7"/>
  <c r="R67" i="7"/>
  <c r="P67" i="7"/>
  <c r="N67" i="7"/>
  <c r="L67" i="7"/>
  <c r="J67" i="7"/>
  <c r="H67" i="7"/>
  <c r="G67" i="7"/>
  <c r="C67" i="7"/>
  <c r="X66" i="7"/>
  <c r="V66" i="7"/>
  <c r="T66" i="7"/>
  <c r="R66" i="7"/>
  <c r="P66" i="7"/>
  <c r="N66" i="7"/>
  <c r="L66" i="7"/>
  <c r="J66" i="7"/>
  <c r="H66" i="7"/>
  <c r="G66" i="7"/>
  <c r="C66" i="7"/>
  <c r="X65" i="7"/>
  <c r="V65" i="7"/>
  <c r="T65" i="7"/>
  <c r="R65" i="7"/>
  <c r="P65" i="7"/>
  <c r="N65" i="7"/>
  <c r="L65" i="7"/>
  <c r="J65" i="7"/>
  <c r="H65" i="7"/>
  <c r="G65" i="7"/>
  <c r="C65" i="7"/>
  <c r="X64" i="7"/>
  <c r="V64" i="7"/>
  <c r="T64" i="7"/>
  <c r="R64" i="7"/>
  <c r="P64" i="7"/>
  <c r="N64" i="7"/>
  <c r="L64" i="7"/>
  <c r="J64" i="7"/>
  <c r="H64" i="7"/>
  <c r="G64" i="7"/>
  <c r="C64" i="7"/>
  <c r="X63" i="7"/>
  <c r="V63" i="7"/>
  <c r="T63" i="7"/>
  <c r="R63" i="7"/>
  <c r="P63" i="7"/>
  <c r="N63" i="7"/>
  <c r="L63" i="7"/>
  <c r="J63" i="7"/>
  <c r="H63" i="7"/>
  <c r="G63" i="7"/>
  <c r="C63" i="7"/>
  <c r="X62" i="7"/>
  <c r="V62" i="7"/>
  <c r="T62" i="7"/>
  <c r="R62" i="7"/>
  <c r="P62" i="7"/>
  <c r="N62" i="7"/>
  <c r="L62" i="7"/>
  <c r="J62" i="7"/>
  <c r="H62" i="7"/>
  <c r="G62" i="7"/>
  <c r="C62" i="7"/>
  <c r="X61" i="7"/>
  <c r="V61" i="7"/>
  <c r="T61" i="7"/>
  <c r="R61" i="7"/>
  <c r="P61" i="7"/>
  <c r="N61" i="7"/>
  <c r="L61" i="7"/>
  <c r="J61" i="7"/>
  <c r="H61" i="7"/>
  <c r="G61" i="7"/>
  <c r="C61" i="7"/>
  <c r="X60" i="7"/>
  <c r="V60" i="7"/>
  <c r="T60" i="7"/>
  <c r="R60" i="7"/>
  <c r="P60" i="7"/>
  <c r="N60" i="7"/>
  <c r="L60" i="7"/>
  <c r="J60" i="7"/>
  <c r="H60" i="7"/>
  <c r="G60" i="7"/>
  <c r="C60" i="7"/>
  <c r="X59" i="7"/>
  <c r="V59" i="7"/>
  <c r="T59" i="7"/>
  <c r="R59" i="7"/>
  <c r="P59" i="7"/>
  <c r="N59" i="7"/>
  <c r="L59" i="7"/>
  <c r="J59" i="7"/>
  <c r="H59" i="7"/>
  <c r="G59" i="7"/>
  <c r="C59" i="7"/>
  <c r="X58" i="7"/>
  <c r="V58" i="7"/>
  <c r="T58" i="7"/>
  <c r="R58" i="7"/>
  <c r="P58" i="7"/>
  <c r="N58" i="7"/>
  <c r="L58" i="7"/>
  <c r="J58" i="7"/>
  <c r="H58" i="7"/>
  <c r="G58" i="7"/>
  <c r="C58" i="7"/>
  <c r="X57" i="7"/>
  <c r="V57" i="7"/>
  <c r="T57" i="7"/>
  <c r="R57" i="7"/>
  <c r="P57" i="7"/>
  <c r="N57" i="7"/>
  <c r="L57" i="7"/>
  <c r="J57" i="7"/>
  <c r="H57" i="7"/>
  <c r="G57" i="7"/>
  <c r="C57" i="7"/>
  <c r="X56" i="7"/>
  <c r="V56" i="7"/>
  <c r="T56" i="7"/>
  <c r="R56" i="7"/>
  <c r="P56" i="7"/>
  <c r="N56" i="7"/>
  <c r="L56" i="7"/>
  <c r="J56" i="7"/>
  <c r="H56" i="7"/>
  <c r="G56" i="7"/>
  <c r="C56" i="7"/>
  <c r="X55" i="7"/>
  <c r="V55" i="7"/>
  <c r="T55" i="7"/>
  <c r="R55" i="7"/>
  <c r="P55" i="7"/>
  <c r="N55" i="7"/>
  <c r="L55" i="7"/>
  <c r="J55" i="7"/>
  <c r="H55" i="7"/>
  <c r="G55" i="7"/>
  <c r="C55" i="7"/>
  <c r="X54" i="7"/>
  <c r="V54" i="7"/>
  <c r="T54" i="7"/>
  <c r="R54" i="7"/>
  <c r="P54" i="7"/>
  <c r="N54" i="7"/>
  <c r="L54" i="7"/>
  <c r="J54" i="7"/>
  <c r="H54" i="7"/>
  <c r="G54" i="7"/>
  <c r="C54" i="7"/>
  <c r="X53" i="7"/>
  <c r="V53" i="7"/>
  <c r="T53" i="7"/>
  <c r="R53" i="7"/>
  <c r="P53" i="7"/>
  <c r="N53" i="7"/>
  <c r="L53" i="7"/>
  <c r="J53" i="7"/>
  <c r="H53" i="7"/>
  <c r="G53" i="7"/>
  <c r="C53" i="7"/>
  <c r="X52" i="7"/>
  <c r="V52" i="7"/>
  <c r="T52" i="7"/>
  <c r="R52" i="7"/>
  <c r="P52" i="7"/>
  <c r="N52" i="7"/>
  <c r="L52" i="7"/>
  <c r="J52" i="7"/>
  <c r="H52" i="7"/>
  <c r="G52" i="7"/>
  <c r="C52" i="7"/>
  <c r="X51" i="7"/>
  <c r="V51" i="7"/>
  <c r="T51" i="7"/>
  <c r="R51" i="7"/>
  <c r="P51" i="7"/>
  <c r="N51" i="7"/>
  <c r="L51" i="7"/>
  <c r="J51" i="7"/>
  <c r="H51" i="7"/>
  <c r="G51" i="7"/>
  <c r="C51" i="7"/>
  <c r="X50" i="7"/>
  <c r="V50" i="7"/>
  <c r="T50" i="7"/>
  <c r="R50" i="7"/>
  <c r="P50" i="7"/>
  <c r="N50" i="7"/>
  <c r="L50" i="7"/>
  <c r="J50" i="7"/>
  <c r="H50" i="7"/>
  <c r="G50" i="7"/>
  <c r="C50" i="7"/>
  <c r="X49" i="7"/>
  <c r="V49" i="7"/>
  <c r="T49" i="7"/>
  <c r="R49" i="7"/>
  <c r="P49" i="7"/>
  <c r="N49" i="7"/>
  <c r="L49" i="7"/>
  <c r="J49" i="7"/>
  <c r="H49" i="7"/>
  <c r="G49" i="7"/>
  <c r="C49" i="7"/>
  <c r="X48" i="7"/>
  <c r="V48" i="7"/>
  <c r="T48" i="7"/>
  <c r="R48" i="7"/>
  <c r="P48" i="7"/>
  <c r="N48" i="7"/>
  <c r="L48" i="7"/>
  <c r="J48" i="7"/>
  <c r="H48" i="7"/>
  <c r="G48" i="7"/>
  <c r="C48" i="7"/>
  <c r="X47" i="7"/>
  <c r="V47" i="7"/>
  <c r="T47" i="7"/>
  <c r="R47" i="7"/>
  <c r="P47" i="7"/>
  <c r="N47" i="7"/>
  <c r="L47" i="7"/>
  <c r="J47" i="7"/>
  <c r="H47" i="7"/>
  <c r="G47" i="7"/>
  <c r="C47" i="7"/>
  <c r="X46" i="7"/>
  <c r="V46" i="7"/>
  <c r="T46" i="7"/>
  <c r="R46" i="7"/>
  <c r="P46" i="7"/>
  <c r="N46" i="7"/>
  <c r="L46" i="7"/>
  <c r="J46" i="7"/>
  <c r="H46" i="7"/>
  <c r="G46" i="7"/>
  <c r="C46" i="7"/>
  <c r="X45" i="7"/>
  <c r="V45" i="7"/>
  <c r="T45" i="7"/>
  <c r="R45" i="7"/>
  <c r="P45" i="7"/>
  <c r="N45" i="7"/>
  <c r="L45" i="7"/>
  <c r="J45" i="7"/>
  <c r="H45" i="7"/>
  <c r="G45" i="7"/>
  <c r="C45" i="7"/>
  <c r="X44" i="7"/>
  <c r="V44" i="7"/>
  <c r="T44" i="7"/>
  <c r="R44" i="7"/>
  <c r="P44" i="7"/>
  <c r="N44" i="7"/>
  <c r="L44" i="7"/>
  <c r="J44" i="7"/>
  <c r="H44" i="7"/>
  <c r="G44" i="7"/>
  <c r="C44" i="7"/>
  <c r="X43" i="7"/>
  <c r="V43" i="7"/>
  <c r="T43" i="7"/>
  <c r="R43" i="7"/>
  <c r="P43" i="7"/>
  <c r="N43" i="7"/>
  <c r="L43" i="7"/>
  <c r="J43" i="7"/>
  <c r="H43" i="7"/>
  <c r="G43" i="7"/>
  <c r="C43" i="7"/>
  <c r="X42" i="7"/>
  <c r="V42" i="7"/>
  <c r="T42" i="7"/>
  <c r="R42" i="7"/>
  <c r="P42" i="7"/>
  <c r="N42" i="7"/>
  <c r="L42" i="7"/>
  <c r="J42" i="7"/>
  <c r="H42" i="7"/>
  <c r="G42" i="7"/>
  <c r="C42" i="7"/>
  <c r="X41" i="7"/>
  <c r="V41" i="7"/>
  <c r="T41" i="7"/>
  <c r="R41" i="7"/>
  <c r="P41" i="7"/>
  <c r="N41" i="7"/>
  <c r="L41" i="7"/>
  <c r="J41" i="7"/>
  <c r="H41" i="7"/>
  <c r="G41" i="7"/>
  <c r="C41" i="7"/>
  <c r="X40" i="7"/>
  <c r="V40" i="7"/>
  <c r="T40" i="7"/>
  <c r="R40" i="7"/>
  <c r="P40" i="7"/>
  <c r="N40" i="7"/>
  <c r="L40" i="7"/>
  <c r="J40" i="7"/>
  <c r="H40" i="7"/>
  <c r="G40" i="7"/>
  <c r="C40" i="7"/>
  <c r="X39" i="7"/>
  <c r="V39" i="7"/>
  <c r="T39" i="7"/>
  <c r="R39" i="7"/>
  <c r="P39" i="7"/>
  <c r="N39" i="7"/>
  <c r="L39" i="7"/>
  <c r="J39" i="7"/>
  <c r="H39" i="7"/>
  <c r="G39" i="7"/>
  <c r="C39" i="7"/>
  <c r="X38" i="7"/>
  <c r="V38" i="7"/>
  <c r="T38" i="7"/>
  <c r="R38" i="7"/>
  <c r="P38" i="7"/>
  <c r="N38" i="7"/>
  <c r="L38" i="7"/>
  <c r="J38" i="7"/>
  <c r="H38" i="7"/>
  <c r="G38" i="7"/>
  <c r="C38" i="7"/>
  <c r="X37" i="7"/>
  <c r="V37" i="7"/>
  <c r="T37" i="7"/>
  <c r="R37" i="7"/>
  <c r="P37" i="7"/>
  <c r="N37" i="7"/>
  <c r="L37" i="7"/>
  <c r="J37" i="7"/>
  <c r="H37" i="7"/>
  <c r="G37" i="7"/>
  <c r="C37" i="7"/>
  <c r="X36" i="7"/>
  <c r="V36" i="7"/>
  <c r="T36" i="7"/>
  <c r="R36" i="7"/>
  <c r="P36" i="7"/>
  <c r="N36" i="7"/>
  <c r="L36" i="7"/>
  <c r="J36" i="7"/>
  <c r="H36" i="7"/>
  <c r="G36" i="7"/>
  <c r="C36" i="7"/>
  <c r="X35" i="7"/>
  <c r="V35" i="7"/>
  <c r="T35" i="7"/>
  <c r="R35" i="7"/>
  <c r="P35" i="7"/>
  <c r="N35" i="7"/>
  <c r="L35" i="7"/>
  <c r="J35" i="7"/>
  <c r="H35" i="7"/>
  <c r="G35" i="7"/>
  <c r="C35" i="7"/>
  <c r="X34" i="7"/>
  <c r="V34" i="7"/>
  <c r="T34" i="7"/>
  <c r="R34" i="7"/>
  <c r="P34" i="7"/>
  <c r="N34" i="7"/>
  <c r="L34" i="7"/>
  <c r="J34" i="7"/>
  <c r="H34" i="7"/>
  <c r="G34" i="7"/>
  <c r="C34" i="7"/>
  <c r="X33" i="7"/>
  <c r="V33" i="7"/>
  <c r="T33" i="7"/>
  <c r="R33" i="7"/>
  <c r="P33" i="7"/>
  <c r="N33" i="7"/>
  <c r="L33" i="7"/>
  <c r="J33" i="7"/>
  <c r="H33" i="7"/>
  <c r="G33" i="7"/>
  <c r="C33" i="7"/>
  <c r="X32" i="7"/>
  <c r="V32" i="7"/>
  <c r="T32" i="7"/>
  <c r="R32" i="7"/>
  <c r="P32" i="7"/>
  <c r="N32" i="7"/>
  <c r="L32" i="7"/>
  <c r="J32" i="7"/>
  <c r="H32" i="7"/>
  <c r="G32" i="7"/>
  <c r="C32" i="7"/>
  <c r="X31" i="7"/>
  <c r="V31" i="7"/>
  <c r="T31" i="7"/>
  <c r="R31" i="7"/>
  <c r="P31" i="7"/>
  <c r="N31" i="7"/>
  <c r="L31" i="7"/>
  <c r="J31" i="7"/>
  <c r="H31" i="7"/>
  <c r="G31" i="7"/>
  <c r="C31" i="7"/>
  <c r="X30" i="7"/>
  <c r="V30" i="7"/>
  <c r="T30" i="7"/>
  <c r="R30" i="7"/>
  <c r="P30" i="7"/>
  <c r="N30" i="7"/>
  <c r="L30" i="7"/>
  <c r="J30" i="7"/>
  <c r="H30" i="7"/>
  <c r="G30" i="7"/>
  <c r="C30" i="7"/>
  <c r="X29" i="7"/>
  <c r="V29" i="7"/>
  <c r="T29" i="7"/>
  <c r="R29" i="7"/>
  <c r="P29" i="7"/>
  <c r="N29" i="7"/>
  <c r="L29" i="7"/>
  <c r="J29" i="7"/>
  <c r="H29" i="7"/>
  <c r="G29" i="7"/>
  <c r="C29" i="7"/>
  <c r="X28" i="7"/>
  <c r="V28" i="7"/>
  <c r="T28" i="7"/>
  <c r="R28" i="7"/>
  <c r="P28" i="7"/>
  <c r="N28" i="7"/>
  <c r="L28" i="7"/>
  <c r="J28" i="7"/>
  <c r="H28" i="7"/>
  <c r="G28" i="7"/>
  <c r="C28" i="7"/>
  <c r="X27" i="7"/>
  <c r="V27" i="7"/>
  <c r="T27" i="7"/>
  <c r="R27" i="7"/>
  <c r="P27" i="7"/>
  <c r="N27" i="7"/>
  <c r="L27" i="7"/>
  <c r="J27" i="7"/>
  <c r="H27" i="7"/>
  <c r="G27" i="7"/>
  <c r="C27" i="7"/>
  <c r="X26" i="7"/>
  <c r="V26" i="7"/>
  <c r="T26" i="7"/>
  <c r="R26" i="7"/>
  <c r="P26" i="7"/>
  <c r="N26" i="7"/>
  <c r="L26" i="7"/>
  <c r="J26" i="7"/>
  <c r="H26" i="7"/>
  <c r="G26" i="7"/>
  <c r="C26" i="7"/>
  <c r="X25" i="7"/>
  <c r="V25" i="7"/>
  <c r="T25" i="7"/>
  <c r="R25" i="7"/>
  <c r="P25" i="7"/>
  <c r="N25" i="7"/>
  <c r="L25" i="7"/>
  <c r="J25" i="7"/>
  <c r="H25" i="7"/>
  <c r="G25" i="7"/>
  <c r="C25" i="7"/>
  <c r="X24" i="7"/>
  <c r="V24" i="7"/>
  <c r="T24" i="7"/>
  <c r="R24" i="7"/>
  <c r="P24" i="7"/>
  <c r="N24" i="7"/>
  <c r="L24" i="7"/>
  <c r="J24" i="7"/>
  <c r="H24" i="7"/>
  <c r="G24" i="7"/>
  <c r="C24" i="7"/>
  <c r="X23" i="7"/>
  <c r="V23" i="7"/>
  <c r="T23" i="7"/>
  <c r="R23" i="7"/>
  <c r="P23" i="7"/>
  <c r="N23" i="7"/>
  <c r="L23" i="7"/>
  <c r="J23" i="7"/>
  <c r="H23" i="7"/>
  <c r="G23" i="7"/>
  <c r="C23" i="7"/>
  <c r="X22" i="7"/>
  <c r="V22" i="7"/>
  <c r="T22" i="7"/>
  <c r="R22" i="7"/>
  <c r="P22" i="7"/>
  <c r="N22" i="7"/>
  <c r="L22" i="7"/>
  <c r="J22" i="7"/>
  <c r="H22" i="7"/>
  <c r="G22" i="7"/>
  <c r="C22" i="7"/>
  <c r="X21" i="7"/>
  <c r="V21" i="7"/>
  <c r="T21" i="7"/>
  <c r="R21" i="7"/>
  <c r="P21" i="7"/>
  <c r="N21" i="7"/>
  <c r="L21" i="7"/>
  <c r="J21" i="7"/>
  <c r="H21" i="7"/>
  <c r="G21" i="7"/>
  <c r="C21" i="7"/>
  <c r="X20" i="7"/>
  <c r="V20" i="7"/>
  <c r="T20" i="7"/>
  <c r="R20" i="7"/>
  <c r="P20" i="7"/>
  <c r="N20" i="7"/>
  <c r="L20" i="7"/>
  <c r="J20" i="7"/>
  <c r="H20" i="7"/>
  <c r="G20" i="7"/>
  <c r="C20" i="7"/>
  <c r="X19" i="7"/>
  <c r="V19" i="7"/>
  <c r="T19" i="7"/>
  <c r="R19" i="7"/>
  <c r="P19" i="7"/>
  <c r="N19" i="7"/>
  <c r="L19" i="7"/>
  <c r="J19" i="7"/>
  <c r="H19" i="7"/>
  <c r="G19" i="7"/>
  <c r="C19" i="7"/>
  <c r="X18" i="7"/>
  <c r="V18" i="7"/>
  <c r="T18" i="7"/>
  <c r="R18" i="7"/>
  <c r="P18" i="7"/>
  <c r="N18" i="7"/>
  <c r="L18" i="7"/>
  <c r="J18" i="7"/>
  <c r="H18" i="7"/>
  <c r="G18" i="7"/>
  <c r="C18" i="7"/>
  <c r="X17" i="7"/>
  <c r="V17" i="7"/>
  <c r="T17" i="7"/>
  <c r="R17" i="7"/>
  <c r="P17" i="7"/>
  <c r="N17" i="7"/>
  <c r="L17" i="7"/>
  <c r="J17" i="7"/>
  <c r="H17" i="7"/>
  <c r="G17" i="7"/>
  <c r="C17" i="7"/>
  <c r="X16" i="7"/>
  <c r="V16" i="7"/>
  <c r="T16" i="7"/>
  <c r="R16" i="7"/>
  <c r="P16" i="7"/>
  <c r="N16" i="7"/>
  <c r="L16" i="7"/>
  <c r="J16" i="7"/>
  <c r="H16" i="7"/>
  <c r="G16" i="7"/>
  <c r="C16" i="7"/>
  <c r="X15" i="7"/>
  <c r="V15" i="7"/>
  <c r="T15" i="7"/>
  <c r="R15" i="7"/>
  <c r="P15" i="7"/>
  <c r="N15" i="7"/>
  <c r="L15" i="7"/>
  <c r="J15" i="7"/>
  <c r="H15" i="7"/>
  <c r="G15" i="7"/>
  <c r="C15" i="7"/>
  <c r="X14" i="7"/>
  <c r="V14" i="7"/>
  <c r="T14" i="7"/>
  <c r="R14" i="7"/>
  <c r="P14" i="7"/>
  <c r="N14" i="7"/>
  <c r="L14" i="7"/>
  <c r="J14" i="7"/>
  <c r="H14" i="7"/>
  <c r="G14" i="7"/>
  <c r="C14" i="7"/>
  <c r="X13" i="7"/>
  <c r="V13" i="7"/>
  <c r="T13" i="7"/>
  <c r="R13" i="7"/>
  <c r="P13" i="7"/>
  <c r="N13" i="7"/>
  <c r="L13" i="7"/>
  <c r="J13" i="7"/>
  <c r="H13" i="7"/>
  <c r="G13" i="7"/>
  <c r="C13" i="7"/>
  <c r="X12" i="7"/>
  <c r="V12" i="7"/>
  <c r="T12" i="7"/>
  <c r="R12" i="7"/>
  <c r="P12" i="7"/>
  <c r="N12" i="7"/>
  <c r="L12" i="7"/>
  <c r="J12" i="7"/>
  <c r="H12" i="7"/>
  <c r="G12" i="7"/>
  <c r="C12" i="7"/>
  <c r="X11" i="7"/>
  <c r="V11" i="7"/>
  <c r="T11" i="7"/>
  <c r="R11" i="7"/>
  <c r="P11" i="7"/>
  <c r="N11" i="7"/>
  <c r="L11" i="7"/>
  <c r="J11" i="7"/>
  <c r="H11" i="7"/>
  <c r="G11" i="7"/>
  <c r="C11" i="7"/>
  <c r="B8" i="7"/>
  <c r="X91" i="6"/>
  <c r="V91" i="6"/>
  <c r="T91" i="6"/>
  <c r="R91" i="6"/>
  <c r="P91" i="6"/>
  <c r="N91" i="6"/>
  <c r="L91" i="6"/>
  <c r="J91" i="6"/>
  <c r="G91" i="6"/>
  <c r="H91" i="6" s="1"/>
  <c r="F91" i="6"/>
  <c r="X90" i="6"/>
  <c r="V90" i="6"/>
  <c r="T90" i="6"/>
  <c r="R90" i="6"/>
  <c r="P90" i="6"/>
  <c r="N90" i="6"/>
  <c r="L90" i="6"/>
  <c r="J90" i="6"/>
  <c r="G90" i="6"/>
  <c r="H90" i="6" s="1"/>
  <c r="F90" i="6"/>
  <c r="X89" i="6"/>
  <c r="V89" i="6"/>
  <c r="T89" i="6"/>
  <c r="R89" i="6"/>
  <c r="P89" i="6"/>
  <c r="N89" i="6"/>
  <c r="L89" i="6"/>
  <c r="J89" i="6"/>
  <c r="G89" i="6"/>
  <c r="H89" i="6" s="1"/>
  <c r="F89" i="6"/>
  <c r="X88" i="6"/>
  <c r="V88" i="6"/>
  <c r="T88" i="6"/>
  <c r="R88" i="6"/>
  <c r="P88" i="6"/>
  <c r="N88" i="6"/>
  <c r="L88" i="6"/>
  <c r="J88" i="6"/>
  <c r="G88" i="6"/>
  <c r="H88" i="6" s="1"/>
  <c r="F88" i="6"/>
  <c r="X87" i="6"/>
  <c r="V87" i="6"/>
  <c r="T87" i="6"/>
  <c r="R87" i="6"/>
  <c r="P87" i="6"/>
  <c r="N87" i="6"/>
  <c r="L87" i="6"/>
  <c r="J87" i="6"/>
  <c r="G87" i="6"/>
  <c r="H87" i="6" s="1"/>
  <c r="F87" i="6"/>
  <c r="X86" i="6"/>
  <c r="V86" i="6"/>
  <c r="T86" i="6"/>
  <c r="R86" i="6"/>
  <c r="P86" i="6"/>
  <c r="N86" i="6"/>
  <c r="L86" i="6"/>
  <c r="J86" i="6"/>
  <c r="G86" i="6"/>
  <c r="H86" i="6" s="1"/>
  <c r="F86" i="6"/>
  <c r="X85" i="6"/>
  <c r="V85" i="6"/>
  <c r="T85" i="6"/>
  <c r="R85" i="6"/>
  <c r="P85" i="6"/>
  <c r="N85" i="6"/>
  <c r="L85" i="6"/>
  <c r="J85" i="6"/>
  <c r="G85" i="6"/>
  <c r="H85" i="6" s="1"/>
  <c r="F85" i="6"/>
  <c r="X84" i="6"/>
  <c r="V84" i="6"/>
  <c r="T84" i="6"/>
  <c r="R84" i="6"/>
  <c r="P84" i="6"/>
  <c r="N84" i="6"/>
  <c r="L84" i="6"/>
  <c r="J84" i="6"/>
  <c r="G84" i="6"/>
  <c r="H84" i="6" s="1"/>
  <c r="F84" i="6"/>
  <c r="X83" i="6"/>
  <c r="V83" i="6"/>
  <c r="T83" i="6"/>
  <c r="R83" i="6"/>
  <c r="P83" i="6"/>
  <c r="N83" i="6"/>
  <c r="L83" i="6"/>
  <c r="J83" i="6"/>
  <c r="G83" i="6"/>
  <c r="H83" i="6" s="1"/>
  <c r="F83" i="6"/>
  <c r="X82" i="6"/>
  <c r="V82" i="6"/>
  <c r="T82" i="6"/>
  <c r="R82" i="6"/>
  <c r="P82" i="6"/>
  <c r="N82" i="6"/>
  <c r="L82" i="6"/>
  <c r="J82" i="6"/>
  <c r="G82" i="6"/>
  <c r="H82" i="6" s="1"/>
  <c r="F82" i="6"/>
  <c r="X81" i="6"/>
  <c r="V81" i="6"/>
  <c r="T81" i="6"/>
  <c r="R81" i="6"/>
  <c r="P81" i="6"/>
  <c r="N81" i="6"/>
  <c r="L81" i="6"/>
  <c r="J81" i="6"/>
  <c r="G81" i="6"/>
  <c r="H81" i="6" s="1"/>
  <c r="F81" i="6"/>
  <c r="X80" i="6"/>
  <c r="V80" i="6"/>
  <c r="T80" i="6"/>
  <c r="R80" i="6"/>
  <c r="P80" i="6"/>
  <c r="N80" i="6"/>
  <c r="L80" i="6"/>
  <c r="J80" i="6"/>
  <c r="G80" i="6"/>
  <c r="H80" i="6" s="1"/>
  <c r="F80" i="6"/>
  <c r="X79" i="6"/>
  <c r="V79" i="6"/>
  <c r="T79" i="6"/>
  <c r="R79" i="6"/>
  <c r="P79" i="6"/>
  <c r="N79" i="6"/>
  <c r="L79" i="6"/>
  <c r="J79" i="6"/>
  <c r="G79" i="6"/>
  <c r="H79" i="6" s="1"/>
  <c r="F79" i="6"/>
  <c r="X78" i="6"/>
  <c r="V78" i="6"/>
  <c r="T78" i="6"/>
  <c r="R78" i="6"/>
  <c r="P78" i="6"/>
  <c r="N78" i="6"/>
  <c r="L78" i="6"/>
  <c r="J78" i="6"/>
  <c r="G78" i="6"/>
  <c r="H78" i="6" s="1"/>
  <c r="F78" i="6"/>
  <c r="X77" i="6"/>
  <c r="V77" i="6"/>
  <c r="T77" i="6"/>
  <c r="R77" i="6"/>
  <c r="P77" i="6"/>
  <c r="N77" i="6"/>
  <c r="L77" i="6"/>
  <c r="J77" i="6"/>
  <c r="G77" i="6"/>
  <c r="H77" i="6" s="1"/>
  <c r="F77" i="6"/>
  <c r="X76" i="6"/>
  <c r="V76" i="6"/>
  <c r="T76" i="6"/>
  <c r="R76" i="6"/>
  <c r="P76" i="6"/>
  <c r="N76" i="6"/>
  <c r="L76" i="6"/>
  <c r="J76" i="6"/>
  <c r="G76" i="6"/>
  <c r="H76" i="6" s="1"/>
  <c r="F76" i="6"/>
  <c r="X75" i="6"/>
  <c r="V75" i="6"/>
  <c r="T75" i="6"/>
  <c r="R75" i="6"/>
  <c r="P75" i="6"/>
  <c r="N75" i="6"/>
  <c r="L75" i="6"/>
  <c r="J75" i="6"/>
  <c r="G75" i="6"/>
  <c r="H75" i="6" s="1"/>
  <c r="F75" i="6"/>
  <c r="X74" i="6"/>
  <c r="V74" i="6"/>
  <c r="T74" i="6"/>
  <c r="R74" i="6"/>
  <c r="P74" i="6"/>
  <c r="N74" i="6"/>
  <c r="L74" i="6"/>
  <c r="J74" i="6"/>
  <c r="G74" i="6"/>
  <c r="H74" i="6" s="1"/>
  <c r="F74" i="6"/>
  <c r="X73" i="6"/>
  <c r="V73" i="6"/>
  <c r="T73" i="6"/>
  <c r="R73" i="6"/>
  <c r="P73" i="6"/>
  <c r="N73" i="6"/>
  <c r="L73" i="6"/>
  <c r="J73" i="6"/>
  <c r="G73" i="6"/>
  <c r="H73" i="6" s="1"/>
  <c r="F73" i="6"/>
  <c r="X72" i="6"/>
  <c r="V72" i="6"/>
  <c r="T72" i="6"/>
  <c r="R72" i="6"/>
  <c r="P72" i="6"/>
  <c r="N72" i="6"/>
  <c r="L72" i="6"/>
  <c r="J72" i="6"/>
  <c r="G72" i="6"/>
  <c r="H72" i="6" s="1"/>
  <c r="F72" i="6"/>
  <c r="X71" i="6"/>
  <c r="V71" i="6"/>
  <c r="T71" i="6"/>
  <c r="R71" i="6"/>
  <c r="P71" i="6"/>
  <c r="N71" i="6"/>
  <c r="L71" i="6"/>
  <c r="J71" i="6"/>
  <c r="G71" i="6"/>
  <c r="H71" i="6" s="1"/>
  <c r="F71" i="6"/>
  <c r="X70" i="6"/>
  <c r="V70" i="6"/>
  <c r="T70" i="6"/>
  <c r="R70" i="6"/>
  <c r="P70" i="6"/>
  <c r="N70" i="6"/>
  <c r="L70" i="6"/>
  <c r="J70" i="6"/>
  <c r="G70" i="6"/>
  <c r="H70" i="6" s="1"/>
  <c r="F70" i="6"/>
  <c r="X69" i="6"/>
  <c r="V69" i="6"/>
  <c r="T69" i="6"/>
  <c r="R69" i="6"/>
  <c r="P69" i="6"/>
  <c r="N69" i="6"/>
  <c r="L69" i="6"/>
  <c r="J69" i="6"/>
  <c r="G69" i="6"/>
  <c r="H69" i="6" s="1"/>
  <c r="F69" i="6"/>
  <c r="X68" i="6"/>
  <c r="V68" i="6"/>
  <c r="T68" i="6"/>
  <c r="R68" i="6"/>
  <c r="P68" i="6"/>
  <c r="N68" i="6"/>
  <c r="L68" i="6"/>
  <c r="J68" i="6"/>
  <c r="G68" i="6"/>
  <c r="H68" i="6" s="1"/>
  <c r="F68" i="6"/>
  <c r="X67" i="6"/>
  <c r="V67" i="6"/>
  <c r="T67" i="6"/>
  <c r="R67" i="6"/>
  <c r="P67" i="6"/>
  <c r="N67" i="6"/>
  <c r="L67" i="6"/>
  <c r="J67" i="6"/>
  <c r="G67" i="6"/>
  <c r="H67" i="6" s="1"/>
  <c r="F67" i="6"/>
  <c r="X66" i="6"/>
  <c r="V66" i="6"/>
  <c r="T66" i="6"/>
  <c r="R66" i="6"/>
  <c r="P66" i="6"/>
  <c r="N66" i="6"/>
  <c r="L66" i="6"/>
  <c r="J66" i="6"/>
  <c r="G66" i="6"/>
  <c r="H66" i="6" s="1"/>
  <c r="F66" i="6"/>
  <c r="X65" i="6"/>
  <c r="V65" i="6"/>
  <c r="T65" i="6"/>
  <c r="R65" i="6"/>
  <c r="P65" i="6"/>
  <c r="N65" i="6"/>
  <c r="L65" i="6"/>
  <c r="J65" i="6"/>
  <c r="G65" i="6"/>
  <c r="H65" i="6" s="1"/>
  <c r="F65" i="6"/>
  <c r="X64" i="6"/>
  <c r="V64" i="6"/>
  <c r="T64" i="6"/>
  <c r="R64" i="6"/>
  <c r="P64" i="6"/>
  <c r="N64" i="6"/>
  <c r="L64" i="6"/>
  <c r="J64" i="6"/>
  <c r="G64" i="6"/>
  <c r="H64" i="6" s="1"/>
  <c r="F64" i="6"/>
  <c r="X63" i="6"/>
  <c r="V63" i="6"/>
  <c r="T63" i="6"/>
  <c r="R63" i="6"/>
  <c r="P63" i="6"/>
  <c r="N63" i="6"/>
  <c r="L63" i="6"/>
  <c r="J63" i="6"/>
  <c r="G63" i="6"/>
  <c r="H63" i="6" s="1"/>
  <c r="F63" i="6"/>
  <c r="X62" i="6"/>
  <c r="V62" i="6"/>
  <c r="T62" i="6"/>
  <c r="R62" i="6"/>
  <c r="P62" i="6"/>
  <c r="N62" i="6"/>
  <c r="L62" i="6"/>
  <c r="J62" i="6"/>
  <c r="G62" i="6"/>
  <c r="H62" i="6" s="1"/>
  <c r="F62" i="6"/>
  <c r="X61" i="6"/>
  <c r="V61" i="6"/>
  <c r="T61" i="6"/>
  <c r="R61" i="6"/>
  <c r="P61" i="6"/>
  <c r="N61" i="6"/>
  <c r="L61" i="6"/>
  <c r="J61" i="6"/>
  <c r="G61" i="6"/>
  <c r="H61" i="6" s="1"/>
  <c r="F61" i="6"/>
  <c r="X60" i="6"/>
  <c r="V60" i="6"/>
  <c r="T60" i="6"/>
  <c r="R60" i="6"/>
  <c r="P60" i="6"/>
  <c r="N60" i="6"/>
  <c r="L60" i="6"/>
  <c r="J60" i="6"/>
  <c r="G60" i="6"/>
  <c r="H60" i="6" s="1"/>
  <c r="F60" i="6"/>
  <c r="X59" i="6"/>
  <c r="V59" i="6"/>
  <c r="T59" i="6"/>
  <c r="R59" i="6"/>
  <c r="P59" i="6"/>
  <c r="N59" i="6"/>
  <c r="L59" i="6"/>
  <c r="J59" i="6"/>
  <c r="G59" i="6"/>
  <c r="H59" i="6" s="1"/>
  <c r="F59" i="6"/>
  <c r="X58" i="6"/>
  <c r="V58" i="6"/>
  <c r="T58" i="6"/>
  <c r="R58" i="6"/>
  <c r="P58" i="6"/>
  <c r="N58" i="6"/>
  <c r="L58" i="6"/>
  <c r="J58" i="6"/>
  <c r="G58" i="6"/>
  <c r="H58" i="6" s="1"/>
  <c r="F58" i="6"/>
  <c r="X57" i="6"/>
  <c r="V57" i="6"/>
  <c r="T57" i="6"/>
  <c r="R57" i="6"/>
  <c r="P57" i="6"/>
  <c r="N57" i="6"/>
  <c r="L57" i="6"/>
  <c r="J57" i="6"/>
  <c r="G57" i="6"/>
  <c r="H57" i="6" s="1"/>
  <c r="F57" i="6"/>
  <c r="X56" i="6"/>
  <c r="V56" i="6"/>
  <c r="T56" i="6"/>
  <c r="R56" i="6"/>
  <c r="P56" i="6"/>
  <c r="N56" i="6"/>
  <c r="L56" i="6"/>
  <c r="J56" i="6"/>
  <c r="G56" i="6"/>
  <c r="H56" i="6" s="1"/>
  <c r="F56" i="6"/>
  <c r="X55" i="6"/>
  <c r="V55" i="6"/>
  <c r="T55" i="6"/>
  <c r="R55" i="6"/>
  <c r="P55" i="6"/>
  <c r="N55" i="6"/>
  <c r="L55" i="6"/>
  <c r="J55" i="6"/>
  <c r="G55" i="6"/>
  <c r="H55" i="6" s="1"/>
  <c r="F55" i="6"/>
  <c r="X54" i="6"/>
  <c r="V54" i="6"/>
  <c r="T54" i="6"/>
  <c r="R54" i="6"/>
  <c r="P54" i="6"/>
  <c r="N54" i="6"/>
  <c r="L54" i="6"/>
  <c r="J54" i="6"/>
  <c r="G54" i="6"/>
  <c r="H54" i="6" s="1"/>
  <c r="F54" i="6"/>
  <c r="X53" i="6"/>
  <c r="V53" i="6"/>
  <c r="T53" i="6"/>
  <c r="R53" i="6"/>
  <c r="P53" i="6"/>
  <c r="N53" i="6"/>
  <c r="L53" i="6"/>
  <c r="J53" i="6"/>
  <c r="G53" i="6"/>
  <c r="H53" i="6" s="1"/>
  <c r="F53" i="6"/>
  <c r="X52" i="6"/>
  <c r="V52" i="6"/>
  <c r="T52" i="6"/>
  <c r="R52" i="6"/>
  <c r="P52" i="6"/>
  <c r="N52" i="6"/>
  <c r="L52" i="6"/>
  <c r="J52" i="6"/>
  <c r="G52" i="6"/>
  <c r="H52" i="6" s="1"/>
  <c r="F52" i="6"/>
  <c r="X51" i="6"/>
  <c r="V51" i="6"/>
  <c r="T51" i="6"/>
  <c r="R51" i="6"/>
  <c r="P51" i="6"/>
  <c r="N51" i="6"/>
  <c r="L51" i="6"/>
  <c r="J51" i="6"/>
  <c r="G51" i="6"/>
  <c r="H51" i="6" s="1"/>
  <c r="F51" i="6"/>
  <c r="X50" i="6"/>
  <c r="V50" i="6"/>
  <c r="T50" i="6"/>
  <c r="R50" i="6"/>
  <c r="P50" i="6"/>
  <c r="N50" i="6"/>
  <c r="L50" i="6"/>
  <c r="J50" i="6"/>
  <c r="G50" i="6"/>
  <c r="H50" i="6" s="1"/>
  <c r="F50" i="6"/>
  <c r="X49" i="6"/>
  <c r="V49" i="6"/>
  <c r="T49" i="6"/>
  <c r="R49" i="6"/>
  <c r="P49" i="6"/>
  <c r="N49" i="6"/>
  <c r="L49" i="6"/>
  <c r="J49" i="6"/>
  <c r="G49" i="6"/>
  <c r="H49" i="6" s="1"/>
  <c r="F49" i="6"/>
  <c r="X48" i="6"/>
  <c r="V48" i="6"/>
  <c r="T48" i="6"/>
  <c r="R48" i="6"/>
  <c r="P48" i="6"/>
  <c r="N48" i="6"/>
  <c r="L48" i="6"/>
  <c r="J48" i="6"/>
  <c r="G48" i="6"/>
  <c r="H48" i="6" s="1"/>
  <c r="F48" i="6"/>
  <c r="X47" i="6"/>
  <c r="V47" i="6"/>
  <c r="T47" i="6"/>
  <c r="R47" i="6"/>
  <c r="P47" i="6"/>
  <c r="N47" i="6"/>
  <c r="L47" i="6"/>
  <c r="J47" i="6"/>
  <c r="G47" i="6"/>
  <c r="H47" i="6" s="1"/>
  <c r="F47" i="6"/>
  <c r="X46" i="6"/>
  <c r="V46" i="6"/>
  <c r="T46" i="6"/>
  <c r="R46" i="6"/>
  <c r="P46" i="6"/>
  <c r="N46" i="6"/>
  <c r="L46" i="6"/>
  <c r="J46" i="6"/>
  <c r="G46" i="6"/>
  <c r="H46" i="6" s="1"/>
  <c r="F46" i="6"/>
  <c r="X45" i="6"/>
  <c r="V45" i="6"/>
  <c r="T45" i="6"/>
  <c r="R45" i="6"/>
  <c r="P45" i="6"/>
  <c r="N45" i="6"/>
  <c r="L45" i="6"/>
  <c r="J45" i="6"/>
  <c r="G45" i="6"/>
  <c r="H45" i="6" s="1"/>
  <c r="F45" i="6"/>
  <c r="X44" i="6"/>
  <c r="V44" i="6"/>
  <c r="T44" i="6"/>
  <c r="R44" i="6"/>
  <c r="P44" i="6"/>
  <c r="N44" i="6"/>
  <c r="L44" i="6"/>
  <c r="J44" i="6"/>
  <c r="G44" i="6"/>
  <c r="H44" i="6" s="1"/>
  <c r="F44" i="6"/>
  <c r="X43" i="6"/>
  <c r="V43" i="6"/>
  <c r="T43" i="6"/>
  <c r="R43" i="6"/>
  <c r="P43" i="6"/>
  <c r="N43" i="6"/>
  <c r="L43" i="6"/>
  <c r="J43" i="6"/>
  <c r="G43" i="6"/>
  <c r="H43" i="6" s="1"/>
  <c r="F43" i="6"/>
  <c r="X42" i="6"/>
  <c r="V42" i="6"/>
  <c r="T42" i="6"/>
  <c r="R42" i="6"/>
  <c r="P42" i="6"/>
  <c r="N42" i="6"/>
  <c r="L42" i="6"/>
  <c r="J42" i="6"/>
  <c r="G42" i="6"/>
  <c r="H42" i="6" s="1"/>
  <c r="F42" i="6"/>
  <c r="X41" i="6"/>
  <c r="V41" i="6"/>
  <c r="T41" i="6"/>
  <c r="R41" i="6"/>
  <c r="P41" i="6"/>
  <c r="N41" i="6"/>
  <c r="L41" i="6"/>
  <c r="J41" i="6"/>
  <c r="G41" i="6"/>
  <c r="H41" i="6" s="1"/>
  <c r="F41" i="6"/>
  <c r="X40" i="6"/>
  <c r="V40" i="6"/>
  <c r="T40" i="6"/>
  <c r="R40" i="6"/>
  <c r="P40" i="6"/>
  <c r="N40" i="6"/>
  <c r="L40" i="6"/>
  <c r="J40" i="6"/>
  <c r="G40" i="6"/>
  <c r="H40" i="6" s="1"/>
  <c r="F40" i="6"/>
  <c r="X39" i="6"/>
  <c r="V39" i="6"/>
  <c r="T39" i="6"/>
  <c r="R39" i="6"/>
  <c r="P39" i="6"/>
  <c r="N39" i="6"/>
  <c r="L39" i="6"/>
  <c r="J39" i="6"/>
  <c r="G39" i="6"/>
  <c r="H39" i="6" s="1"/>
  <c r="F39" i="6"/>
  <c r="X38" i="6"/>
  <c r="V38" i="6"/>
  <c r="T38" i="6"/>
  <c r="R38" i="6"/>
  <c r="P38" i="6"/>
  <c r="N38" i="6"/>
  <c r="L38" i="6"/>
  <c r="J38" i="6"/>
  <c r="G38" i="6"/>
  <c r="H38" i="6" s="1"/>
  <c r="F38" i="6"/>
  <c r="X37" i="6"/>
  <c r="V37" i="6"/>
  <c r="T37" i="6"/>
  <c r="R37" i="6"/>
  <c r="P37" i="6"/>
  <c r="N37" i="6"/>
  <c r="L37" i="6"/>
  <c r="J37" i="6"/>
  <c r="G37" i="6"/>
  <c r="H37" i="6" s="1"/>
  <c r="F37" i="6"/>
  <c r="X36" i="6"/>
  <c r="V36" i="6"/>
  <c r="T36" i="6"/>
  <c r="R36" i="6"/>
  <c r="P36" i="6"/>
  <c r="N36" i="6"/>
  <c r="L36" i="6"/>
  <c r="J36" i="6"/>
  <c r="G36" i="6"/>
  <c r="H36" i="6" s="1"/>
  <c r="F36" i="6"/>
  <c r="X35" i="6"/>
  <c r="V35" i="6"/>
  <c r="T35" i="6"/>
  <c r="R35" i="6"/>
  <c r="P35" i="6"/>
  <c r="N35" i="6"/>
  <c r="L35" i="6"/>
  <c r="J35" i="6"/>
  <c r="G35" i="6"/>
  <c r="H35" i="6" s="1"/>
  <c r="F35" i="6"/>
  <c r="X34" i="6"/>
  <c r="V34" i="6"/>
  <c r="T34" i="6"/>
  <c r="R34" i="6"/>
  <c r="P34" i="6"/>
  <c r="N34" i="6"/>
  <c r="L34" i="6"/>
  <c r="J34" i="6"/>
  <c r="G34" i="6"/>
  <c r="H34" i="6" s="1"/>
  <c r="F34" i="6"/>
  <c r="X33" i="6"/>
  <c r="V33" i="6"/>
  <c r="T33" i="6"/>
  <c r="R33" i="6"/>
  <c r="P33" i="6"/>
  <c r="N33" i="6"/>
  <c r="L33" i="6"/>
  <c r="J33" i="6"/>
  <c r="G33" i="6"/>
  <c r="H33" i="6" s="1"/>
  <c r="F33" i="6"/>
  <c r="X32" i="6"/>
  <c r="V32" i="6"/>
  <c r="T32" i="6"/>
  <c r="R32" i="6"/>
  <c r="P32" i="6"/>
  <c r="N32" i="6"/>
  <c r="L32" i="6"/>
  <c r="J32" i="6"/>
  <c r="G32" i="6"/>
  <c r="H32" i="6" s="1"/>
  <c r="F32" i="6"/>
  <c r="X31" i="6"/>
  <c r="V31" i="6"/>
  <c r="T31" i="6"/>
  <c r="R31" i="6"/>
  <c r="P31" i="6"/>
  <c r="N31" i="6"/>
  <c r="L31" i="6"/>
  <c r="J31" i="6"/>
  <c r="G31" i="6"/>
  <c r="H31" i="6" s="1"/>
  <c r="F31" i="6"/>
  <c r="X30" i="6"/>
  <c r="V30" i="6"/>
  <c r="T30" i="6"/>
  <c r="R30" i="6"/>
  <c r="P30" i="6"/>
  <c r="N30" i="6"/>
  <c r="L30" i="6"/>
  <c r="J30" i="6"/>
  <c r="G30" i="6"/>
  <c r="H30" i="6" s="1"/>
  <c r="F30" i="6"/>
  <c r="X29" i="6"/>
  <c r="V29" i="6"/>
  <c r="T29" i="6"/>
  <c r="R29" i="6"/>
  <c r="P29" i="6"/>
  <c r="N29" i="6"/>
  <c r="L29" i="6"/>
  <c r="J29" i="6"/>
  <c r="G29" i="6"/>
  <c r="H29" i="6" s="1"/>
  <c r="F29" i="6"/>
  <c r="X28" i="6"/>
  <c r="V28" i="6"/>
  <c r="T28" i="6"/>
  <c r="R28" i="6"/>
  <c r="P28" i="6"/>
  <c r="N28" i="6"/>
  <c r="L28" i="6"/>
  <c r="J28" i="6"/>
  <c r="G28" i="6"/>
  <c r="H28" i="6" s="1"/>
  <c r="F28" i="6"/>
  <c r="X27" i="6"/>
  <c r="V27" i="6"/>
  <c r="T27" i="6"/>
  <c r="R27" i="6"/>
  <c r="P27" i="6"/>
  <c r="N27" i="6"/>
  <c r="L27" i="6"/>
  <c r="J27" i="6"/>
  <c r="G27" i="6"/>
  <c r="H27" i="6" s="1"/>
  <c r="F27" i="6"/>
  <c r="X26" i="6"/>
  <c r="V26" i="6"/>
  <c r="T26" i="6"/>
  <c r="R26" i="6"/>
  <c r="P26" i="6"/>
  <c r="N26" i="6"/>
  <c r="L26" i="6"/>
  <c r="J26" i="6"/>
  <c r="G26" i="6"/>
  <c r="H26" i="6" s="1"/>
  <c r="F26" i="6"/>
  <c r="X25" i="6"/>
  <c r="V25" i="6"/>
  <c r="T25" i="6"/>
  <c r="R25" i="6"/>
  <c r="P25" i="6"/>
  <c r="N25" i="6"/>
  <c r="L25" i="6"/>
  <c r="J25" i="6"/>
  <c r="G25" i="6"/>
  <c r="H25" i="6" s="1"/>
  <c r="F25" i="6"/>
  <c r="X24" i="6"/>
  <c r="V24" i="6"/>
  <c r="T24" i="6"/>
  <c r="R24" i="6"/>
  <c r="P24" i="6"/>
  <c r="N24" i="6"/>
  <c r="L24" i="6"/>
  <c r="J24" i="6"/>
  <c r="G24" i="6"/>
  <c r="H24" i="6" s="1"/>
  <c r="F24" i="6"/>
  <c r="X23" i="6"/>
  <c r="V23" i="6"/>
  <c r="T23" i="6"/>
  <c r="R23" i="6"/>
  <c r="P23" i="6"/>
  <c r="N23" i="6"/>
  <c r="L23" i="6"/>
  <c r="J23" i="6"/>
  <c r="G23" i="6"/>
  <c r="H23" i="6" s="1"/>
  <c r="F23" i="6"/>
  <c r="X22" i="6"/>
  <c r="V22" i="6"/>
  <c r="T22" i="6"/>
  <c r="R22" i="6"/>
  <c r="P22" i="6"/>
  <c r="N22" i="6"/>
  <c r="L22" i="6"/>
  <c r="J22" i="6"/>
  <c r="G22" i="6"/>
  <c r="H22" i="6" s="1"/>
  <c r="F22" i="6"/>
  <c r="X21" i="6"/>
  <c r="V21" i="6"/>
  <c r="T21" i="6"/>
  <c r="R21" i="6"/>
  <c r="P21" i="6"/>
  <c r="N21" i="6"/>
  <c r="L21" i="6"/>
  <c r="J21" i="6"/>
  <c r="G21" i="6"/>
  <c r="H21" i="6" s="1"/>
  <c r="F21" i="6"/>
  <c r="X20" i="6"/>
  <c r="V20" i="6"/>
  <c r="T20" i="6"/>
  <c r="R20" i="6"/>
  <c r="P20" i="6"/>
  <c r="N20" i="6"/>
  <c r="L20" i="6"/>
  <c r="J20" i="6"/>
  <c r="G20" i="6"/>
  <c r="H20" i="6" s="1"/>
  <c r="F20" i="6"/>
  <c r="X19" i="6"/>
  <c r="V19" i="6"/>
  <c r="T19" i="6"/>
  <c r="R19" i="6"/>
  <c r="P19" i="6"/>
  <c r="N19" i="6"/>
  <c r="L19" i="6"/>
  <c r="J19" i="6"/>
  <c r="G19" i="6"/>
  <c r="H19" i="6" s="1"/>
  <c r="F19" i="6"/>
  <c r="X18" i="6"/>
  <c r="V18" i="6"/>
  <c r="T18" i="6"/>
  <c r="R18" i="6"/>
  <c r="P18" i="6"/>
  <c r="N18" i="6"/>
  <c r="L18" i="6"/>
  <c r="J18" i="6"/>
  <c r="G18" i="6"/>
  <c r="H18" i="6" s="1"/>
  <c r="F18" i="6"/>
  <c r="X17" i="6"/>
  <c r="V17" i="6"/>
  <c r="T17" i="6"/>
  <c r="R17" i="6"/>
  <c r="P17" i="6"/>
  <c r="N17" i="6"/>
  <c r="L17" i="6"/>
  <c r="J17" i="6"/>
  <c r="G17" i="6"/>
  <c r="H17" i="6" s="1"/>
  <c r="F17" i="6"/>
  <c r="X16" i="6"/>
  <c r="V16" i="6"/>
  <c r="T16" i="6"/>
  <c r="R16" i="6"/>
  <c r="P16" i="6"/>
  <c r="N16" i="6"/>
  <c r="L16" i="6"/>
  <c r="J16" i="6"/>
  <c r="G16" i="6"/>
  <c r="H16" i="6" s="1"/>
  <c r="F16" i="6"/>
  <c r="X15" i="6"/>
  <c r="V15" i="6"/>
  <c r="T15" i="6"/>
  <c r="R15" i="6"/>
  <c r="P15" i="6"/>
  <c r="N15" i="6"/>
  <c r="L15" i="6"/>
  <c r="J15" i="6"/>
  <c r="G15" i="6"/>
  <c r="H15" i="6" s="1"/>
  <c r="F15" i="6"/>
  <c r="X14" i="6"/>
  <c r="V14" i="6"/>
  <c r="T14" i="6"/>
  <c r="R14" i="6"/>
  <c r="P14" i="6"/>
  <c r="N14" i="6"/>
  <c r="L14" i="6"/>
  <c r="J14" i="6"/>
  <c r="G14" i="6"/>
  <c r="H14" i="6" s="1"/>
  <c r="F14" i="6"/>
  <c r="X13" i="6"/>
  <c r="V13" i="6"/>
  <c r="T13" i="6"/>
  <c r="R13" i="6"/>
  <c r="P13" i="6"/>
  <c r="N13" i="6"/>
  <c r="L13" i="6"/>
  <c r="J13" i="6"/>
  <c r="G13" i="6"/>
  <c r="H13" i="6" s="1"/>
  <c r="F13" i="6"/>
  <c r="X12" i="6"/>
  <c r="V12" i="6"/>
  <c r="T12" i="6"/>
  <c r="R12" i="6"/>
  <c r="P12" i="6"/>
  <c r="N12" i="6"/>
  <c r="L12" i="6"/>
  <c r="J12" i="6"/>
  <c r="G12" i="6"/>
  <c r="H12" i="6" s="1"/>
  <c r="F12" i="6"/>
  <c r="X11" i="6"/>
  <c r="V11" i="6"/>
  <c r="T11" i="6"/>
  <c r="R11" i="6"/>
  <c r="P11" i="6"/>
  <c r="N11" i="6"/>
  <c r="L11" i="6"/>
  <c r="J11" i="6"/>
  <c r="G11" i="6"/>
  <c r="H11" i="6" s="1"/>
  <c r="F11" i="6"/>
  <c r="B8" i="6"/>
  <c r="X91" i="5"/>
  <c r="V91" i="5"/>
  <c r="T91" i="5"/>
  <c r="R91" i="5"/>
  <c r="P91" i="5"/>
  <c r="N91" i="5"/>
  <c r="L91" i="5"/>
  <c r="J91" i="5"/>
  <c r="H91" i="5"/>
  <c r="G91" i="5"/>
  <c r="C91" i="5"/>
  <c r="X90" i="5"/>
  <c r="V90" i="5"/>
  <c r="T90" i="5"/>
  <c r="R90" i="5"/>
  <c r="P90" i="5"/>
  <c r="N90" i="5"/>
  <c r="L90" i="5"/>
  <c r="J90" i="5"/>
  <c r="H90" i="5"/>
  <c r="G90" i="5"/>
  <c r="C90" i="5"/>
  <c r="X89" i="5"/>
  <c r="V89" i="5"/>
  <c r="T89" i="5"/>
  <c r="R89" i="5"/>
  <c r="P89" i="5"/>
  <c r="N89" i="5"/>
  <c r="L89" i="5"/>
  <c r="J89" i="5"/>
  <c r="H89" i="5"/>
  <c r="G89" i="5"/>
  <c r="C89" i="5"/>
  <c r="X88" i="5"/>
  <c r="V88" i="5"/>
  <c r="T88" i="5"/>
  <c r="R88" i="5"/>
  <c r="P88" i="5"/>
  <c r="N88" i="5"/>
  <c r="L88" i="5"/>
  <c r="J88" i="5"/>
  <c r="H88" i="5"/>
  <c r="G88" i="5"/>
  <c r="C88" i="5"/>
  <c r="X87" i="5"/>
  <c r="V87" i="5"/>
  <c r="T87" i="5"/>
  <c r="R87" i="5"/>
  <c r="P87" i="5"/>
  <c r="N87" i="5"/>
  <c r="L87" i="5"/>
  <c r="J87" i="5"/>
  <c r="H87" i="5"/>
  <c r="G87" i="5"/>
  <c r="C87" i="5"/>
  <c r="X86" i="5"/>
  <c r="V86" i="5"/>
  <c r="T86" i="5"/>
  <c r="R86" i="5"/>
  <c r="P86" i="5"/>
  <c r="N86" i="5"/>
  <c r="L86" i="5"/>
  <c r="J86" i="5"/>
  <c r="H86" i="5"/>
  <c r="G86" i="5"/>
  <c r="C86" i="5"/>
  <c r="X85" i="5"/>
  <c r="V85" i="5"/>
  <c r="T85" i="5"/>
  <c r="R85" i="5"/>
  <c r="P85" i="5"/>
  <c r="N85" i="5"/>
  <c r="L85" i="5"/>
  <c r="J85" i="5"/>
  <c r="H85" i="5"/>
  <c r="G85" i="5"/>
  <c r="C85" i="5"/>
  <c r="X84" i="5"/>
  <c r="V84" i="5"/>
  <c r="T84" i="5"/>
  <c r="R84" i="5"/>
  <c r="P84" i="5"/>
  <c r="N84" i="5"/>
  <c r="L84" i="5"/>
  <c r="J84" i="5"/>
  <c r="H84" i="5"/>
  <c r="G84" i="5"/>
  <c r="C84" i="5"/>
  <c r="X83" i="5"/>
  <c r="V83" i="5"/>
  <c r="T83" i="5"/>
  <c r="R83" i="5"/>
  <c r="P83" i="5"/>
  <c r="N83" i="5"/>
  <c r="L83" i="5"/>
  <c r="J83" i="5"/>
  <c r="H83" i="5"/>
  <c r="G83" i="5"/>
  <c r="C83" i="5"/>
  <c r="X82" i="5"/>
  <c r="V82" i="5"/>
  <c r="T82" i="5"/>
  <c r="R82" i="5"/>
  <c r="P82" i="5"/>
  <c r="N82" i="5"/>
  <c r="L82" i="5"/>
  <c r="J82" i="5"/>
  <c r="H82" i="5"/>
  <c r="G82" i="5"/>
  <c r="C82" i="5"/>
  <c r="X81" i="5"/>
  <c r="V81" i="5"/>
  <c r="T81" i="5"/>
  <c r="R81" i="5"/>
  <c r="P81" i="5"/>
  <c r="N81" i="5"/>
  <c r="L81" i="5"/>
  <c r="J81" i="5"/>
  <c r="H81" i="5"/>
  <c r="G81" i="5"/>
  <c r="C81" i="5"/>
  <c r="X80" i="5"/>
  <c r="V80" i="5"/>
  <c r="T80" i="5"/>
  <c r="R80" i="5"/>
  <c r="P80" i="5"/>
  <c r="N80" i="5"/>
  <c r="L80" i="5"/>
  <c r="J80" i="5"/>
  <c r="H80" i="5"/>
  <c r="G80" i="5"/>
  <c r="C80" i="5"/>
  <c r="X79" i="5"/>
  <c r="V79" i="5"/>
  <c r="T79" i="5"/>
  <c r="R79" i="5"/>
  <c r="P79" i="5"/>
  <c r="N79" i="5"/>
  <c r="L79" i="5"/>
  <c r="J79" i="5"/>
  <c r="H79" i="5"/>
  <c r="G79" i="5"/>
  <c r="C79" i="5"/>
  <c r="X78" i="5"/>
  <c r="V78" i="5"/>
  <c r="T78" i="5"/>
  <c r="R78" i="5"/>
  <c r="P78" i="5"/>
  <c r="N78" i="5"/>
  <c r="L78" i="5"/>
  <c r="J78" i="5"/>
  <c r="H78" i="5"/>
  <c r="G78" i="5"/>
  <c r="C78" i="5"/>
  <c r="X77" i="5"/>
  <c r="V77" i="5"/>
  <c r="T77" i="5"/>
  <c r="R77" i="5"/>
  <c r="P77" i="5"/>
  <c r="N77" i="5"/>
  <c r="L77" i="5"/>
  <c r="J77" i="5"/>
  <c r="H77" i="5"/>
  <c r="G77" i="5"/>
  <c r="C77" i="5"/>
  <c r="X76" i="5"/>
  <c r="V76" i="5"/>
  <c r="T76" i="5"/>
  <c r="R76" i="5"/>
  <c r="P76" i="5"/>
  <c r="N76" i="5"/>
  <c r="L76" i="5"/>
  <c r="J76" i="5"/>
  <c r="H76" i="5"/>
  <c r="G76" i="5"/>
  <c r="C76" i="5"/>
  <c r="X75" i="5"/>
  <c r="V75" i="5"/>
  <c r="T75" i="5"/>
  <c r="R75" i="5"/>
  <c r="P75" i="5"/>
  <c r="N75" i="5"/>
  <c r="L75" i="5"/>
  <c r="J75" i="5"/>
  <c r="H75" i="5"/>
  <c r="G75" i="5"/>
  <c r="C75" i="5"/>
  <c r="X74" i="5"/>
  <c r="V74" i="5"/>
  <c r="T74" i="5"/>
  <c r="R74" i="5"/>
  <c r="P74" i="5"/>
  <c r="N74" i="5"/>
  <c r="L74" i="5"/>
  <c r="J74" i="5"/>
  <c r="H74" i="5"/>
  <c r="G74" i="5"/>
  <c r="C74" i="5"/>
  <c r="X73" i="5"/>
  <c r="V73" i="5"/>
  <c r="T73" i="5"/>
  <c r="R73" i="5"/>
  <c r="P73" i="5"/>
  <c r="N73" i="5"/>
  <c r="L73" i="5"/>
  <c r="J73" i="5"/>
  <c r="H73" i="5"/>
  <c r="G73" i="5"/>
  <c r="C73" i="5"/>
  <c r="X72" i="5"/>
  <c r="V72" i="5"/>
  <c r="T72" i="5"/>
  <c r="R72" i="5"/>
  <c r="P72" i="5"/>
  <c r="N72" i="5"/>
  <c r="L72" i="5"/>
  <c r="J72" i="5"/>
  <c r="H72" i="5"/>
  <c r="G72" i="5"/>
  <c r="C72" i="5"/>
  <c r="X71" i="5"/>
  <c r="V71" i="5"/>
  <c r="T71" i="5"/>
  <c r="R71" i="5"/>
  <c r="P71" i="5"/>
  <c r="N71" i="5"/>
  <c r="L71" i="5"/>
  <c r="J71" i="5"/>
  <c r="H71" i="5"/>
  <c r="G71" i="5"/>
  <c r="C71" i="5"/>
  <c r="X70" i="5"/>
  <c r="V70" i="5"/>
  <c r="T70" i="5"/>
  <c r="R70" i="5"/>
  <c r="P70" i="5"/>
  <c r="N70" i="5"/>
  <c r="L70" i="5"/>
  <c r="J70" i="5"/>
  <c r="H70" i="5"/>
  <c r="G70" i="5"/>
  <c r="C70" i="5"/>
  <c r="X69" i="5"/>
  <c r="V69" i="5"/>
  <c r="T69" i="5"/>
  <c r="R69" i="5"/>
  <c r="P69" i="5"/>
  <c r="N69" i="5"/>
  <c r="L69" i="5"/>
  <c r="J69" i="5"/>
  <c r="H69" i="5"/>
  <c r="G69" i="5"/>
  <c r="C69" i="5"/>
  <c r="X68" i="5"/>
  <c r="V68" i="5"/>
  <c r="T68" i="5"/>
  <c r="R68" i="5"/>
  <c r="P68" i="5"/>
  <c r="N68" i="5"/>
  <c r="L68" i="5"/>
  <c r="J68" i="5"/>
  <c r="H68" i="5"/>
  <c r="G68" i="5"/>
  <c r="C68" i="5"/>
  <c r="X67" i="5"/>
  <c r="V67" i="5"/>
  <c r="T67" i="5"/>
  <c r="R67" i="5"/>
  <c r="P67" i="5"/>
  <c r="N67" i="5"/>
  <c r="L67" i="5"/>
  <c r="J67" i="5"/>
  <c r="H67" i="5"/>
  <c r="G67" i="5"/>
  <c r="C67" i="5"/>
  <c r="X66" i="5"/>
  <c r="V66" i="5"/>
  <c r="T66" i="5"/>
  <c r="R66" i="5"/>
  <c r="P66" i="5"/>
  <c r="N66" i="5"/>
  <c r="L66" i="5"/>
  <c r="J66" i="5"/>
  <c r="H66" i="5"/>
  <c r="G66" i="5"/>
  <c r="C66" i="5"/>
  <c r="X65" i="5"/>
  <c r="V65" i="5"/>
  <c r="T65" i="5"/>
  <c r="R65" i="5"/>
  <c r="P65" i="5"/>
  <c r="N65" i="5"/>
  <c r="L65" i="5"/>
  <c r="J65" i="5"/>
  <c r="H65" i="5"/>
  <c r="G65" i="5"/>
  <c r="C65" i="5"/>
  <c r="X64" i="5"/>
  <c r="V64" i="5"/>
  <c r="T64" i="5"/>
  <c r="R64" i="5"/>
  <c r="P64" i="5"/>
  <c r="N64" i="5"/>
  <c r="L64" i="5"/>
  <c r="J64" i="5"/>
  <c r="H64" i="5"/>
  <c r="G64" i="5"/>
  <c r="C64" i="5"/>
  <c r="X63" i="5"/>
  <c r="V63" i="5"/>
  <c r="T63" i="5"/>
  <c r="R63" i="5"/>
  <c r="P63" i="5"/>
  <c r="N63" i="5"/>
  <c r="L63" i="5"/>
  <c r="J63" i="5"/>
  <c r="H63" i="5"/>
  <c r="G63" i="5"/>
  <c r="C63" i="5"/>
  <c r="X62" i="5"/>
  <c r="V62" i="5"/>
  <c r="T62" i="5"/>
  <c r="R62" i="5"/>
  <c r="P62" i="5"/>
  <c r="N62" i="5"/>
  <c r="L62" i="5"/>
  <c r="J62" i="5"/>
  <c r="H62" i="5"/>
  <c r="G62" i="5"/>
  <c r="C62" i="5"/>
  <c r="X61" i="5"/>
  <c r="V61" i="5"/>
  <c r="T61" i="5"/>
  <c r="R61" i="5"/>
  <c r="P61" i="5"/>
  <c r="N61" i="5"/>
  <c r="L61" i="5"/>
  <c r="J61" i="5"/>
  <c r="H61" i="5"/>
  <c r="G61" i="5"/>
  <c r="C61" i="5"/>
  <c r="X60" i="5"/>
  <c r="V60" i="5"/>
  <c r="T60" i="5"/>
  <c r="R60" i="5"/>
  <c r="P60" i="5"/>
  <c r="N60" i="5"/>
  <c r="L60" i="5"/>
  <c r="J60" i="5"/>
  <c r="H60" i="5"/>
  <c r="G60" i="5"/>
  <c r="C60" i="5"/>
  <c r="X59" i="5"/>
  <c r="V59" i="5"/>
  <c r="T59" i="5"/>
  <c r="R59" i="5"/>
  <c r="P59" i="5"/>
  <c r="N59" i="5"/>
  <c r="L59" i="5"/>
  <c r="J59" i="5"/>
  <c r="H59" i="5"/>
  <c r="G59" i="5"/>
  <c r="C59" i="5"/>
  <c r="X58" i="5"/>
  <c r="V58" i="5"/>
  <c r="T58" i="5"/>
  <c r="R58" i="5"/>
  <c r="P58" i="5"/>
  <c r="N58" i="5"/>
  <c r="L58" i="5"/>
  <c r="J58" i="5"/>
  <c r="H58" i="5"/>
  <c r="G58" i="5"/>
  <c r="C58" i="5"/>
  <c r="X57" i="5"/>
  <c r="V57" i="5"/>
  <c r="T57" i="5"/>
  <c r="R57" i="5"/>
  <c r="P57" i="5"/>
  <c r="N57" i="5"/>
  <c r="L57" i="5"/>
  <c r="J57" i="5"/>
  <c r="H57" i="5"/>
  <c r="G57" i="5"/>
  <c r="C57" i="5"/>
  <c r="X56" i="5"/>
  <c r="V56" i="5"/>
  <c r="T56" i="5"/>
  <c r="R56" i="5"/>
  <c r="P56" i="5"/>
  <c r="N56" i="5"/>
  <c r="L56" i="5"/>
  <c r="J56" i="5"/>
  <c r="H56" i="5"/>
  <c r="G56" i="5"/>
  <c r="C56" i="5"/>
  <c r="X55" i="5"/>
  <c r="V55" i="5"/>
  <c r="T55" i="5"/>
  <c r="R55" i="5"/>
  <c r="P55" i="5"/>
  <c r="N55" i="5"/>
  <c r="L55" i="5"/>
  <c r="J55" i="5"/>
  <c r="H55" i="5"/>
  <c r="G55" i="5"/>
  <c r="C55" i="5"/>
  <c r="X54" i="5"/>
  <c r="V54" i="5"/>
  <c r="T54" i="5"/>
  <c r="R54" i="5"/>
  <c r="P54" i="5"/>
  <c r="N54" i="5"/>
  <c r="L54" i="5"/>
  <c r="J54" i="5"/>
  <c r="H54" i="5"/>
  <c r="G54" i="5"/>
  <c r="C54" i="5"/>
  <c r="X53" i="5"/>
  <c r="V53" i="5"/>
  <c r="T53" i="5"/>
  <c r="R53" i="5"/>
  <c r="P53" i="5"/>
  <c r="N53" i="5"/>
  <c r="L53" i="5"/>
  <c r="J53" i="5"/>
  <c r="H53" i="5"/>
  <c r="G53" i="5"/>
  <c r="C53" i="5"/>
  <c r="X52" i="5"/>
  <c r="V52" i="5"/>
  <c r="T52" i="5"/>
  <c r="R52" i="5"/>
  <c r="P52" i="5"/>
  <c r="N52" i="5"/>
  <c r="L52" i="5"/>
  <c r="J52" i="5"/>
  <c r="H52" i="5"/>
  <c r="G52" i="5"/>
  <c r="C52" i="5"/>
  <c r="X51" i="5"/>
  <c r="V51" i="5"/>
  <c r="T51" i="5"/>
  <c r="R51" i="5"/>
  <c r="P51" i="5"/>
  <c r="N51" i="5"/>
  <c r="L51" i="5"/>
  <c r="J51" i="5"/>
  <c r="H51" i="5"/>
  <c r="G51" i="5"/>
  <c r="C51" i="5"/>
  <c r="X50" i="5"/>
  <c r="V50" i="5"/>
  <c r="T50" i="5"/>
  <c r="R50" i="5"/>
  <c r="P50" i="5"/>
  <c r="N50" i="5"/>
  <c r="L50" i="5"/>
  <c r="J50" i="5"/>
  <c r="H50" i="5"/>
  <c r="G50" i="5"/>
  <c r="C50" i="5"/>
  <c r="X49" i="5"/>
  <c r="V49" i="5"/>
  <c r="T49" i="5"/>
  <c r="R49" i="5"/>
  <c r="P49" i="5"/>
  <c r="N49" i="5"/>
  <c r="L49" i="5"/>
  <c r="J49" i="5"/>
  <c r="H49" i="5"/>
  <c r="G49" i="5"/>
  <c r="C49" i="5"/>
  <c r="X48" i="5"/>
  <c r="V48" i="5"/>
  <c r="T48" i="5"/>
  <c r="R48" i="5"/>
  <c r="P48" i="5"/>
  <c r="N48" i="5"/>
  <c r="L48" i="5"/>
  <c r="J48" i="5"/>
  <c r="H48" i="5"/>
  <c r="G48" i="5"/>
  <c r="C48" i="5"/>
  <c r="X47" i="5"/>
  <c r="V47" i="5"/>
  <c r="T47" i="5"/>
  <c r="R47" i="5"/>
  <c r="P47" i="5"/>
  <c r="N47" i="5"/>
  <c r="L47" i="5"/>
  <c r="J47" i="5"/>
  <c r="H47" i="5"/>
  <c r="G47" i="5"/>
  <c r="C47" i="5"/>
  <c r="X46" i="5"/>
  <c r="V46" i="5"/>
  <c r="T46" i="5"/>
  <c r="R46" i="5"/>
  <c r="P46" i="5"/>
  <c r="N46" i="5"/>
  <c r="L46" i="5"/>
  <c r="J46" i="5"/>
  <c r="H46" i="5"/>
  <c r="G46" i="5"/>
  <c r="C46" i="5"/>
  <c r="X45" i="5"/>
  <c r="V45" i="5"/>
  <c r="T45" i="5"/>
  <c r="R45" i="5"/>
  <c r="P45" i="5"/>
  <c r="N45" i="5"/>
  <c r="L45" i="5"/>
  <c r="J45" i="5"/>
  <c r="H45" i="5"/>
  <c r="G45" i="5"/>
  <c r="C45" i="5"/>
  <c r="X44" i="5"/>
  <c r="V44" i="5"/>
  <c r="T44" i="5"/>
  <c r="R44" i="5"/>
  <c r="P44" i="5"/>
  <c r="N44" i="5"/>
  <c r="L44" i="5"/>
  <c r="J44" i="5"/>
  <c r="H44" i="5"/>
  <c r="G44" i="5"/>
  <c r="C44" i="5"/>
  <c r="X43" i="5"/>
  <c r="V43" i="5"/>
  <c r="T43" i="5"/>
  <c r="R43" i="5"/>
  <c r="P43" i="5"/>
  <c r="N43" i="5"/>
  <c r="L43" i="5"/>
  <c r="J43" i="5"/>
  <c r="H43" i="5"/>
  <c r="G43" i="5"/>
  <c r="C43" i="5"/>
  <c r="X42" i="5"/>
  <c r="V42" i="5"/>
  <c r="T42" i="5"/>
  <c r="R42" i="5"/>
  <c r="P42" i="5"/>
  <c r="N42" i="5"/>
  <c r="L42" i="5"/>
  <c r="J42" i="5"/>
  <c r="H42" i="5"/>
  <c r="G42" i="5"/>
  <c r="C42" i="5"/>
  <c r="X41" i="5"/>
  <c r="V41" i="5"/>
  <c r="T41" i="5"/>
  <c r="R41" i="5"/>
  <c r="P41" i="5"/>
  <c r="N41" i="5"/>
  <c r="L41" i="5"/>
  <c r="J41" i="5"/>
  <c r="H41" i="5"/>
  <c r="G41" i="5"/>
  <c r="C41" i="5"/>
  <c r="X40" i="5"/>
  <c r="V40" i="5"/>
  <c r="T40" i="5"/>
  <c r="R40" i="5"/>
  <c r="P40" i="5"/>
  <c r="N40" i="5"/>
  <c r="L40" i="5"/>
  <c r="J40" i="5"/>
  <c r="H40" i="5"/>
  <c r="G40" i="5"/>
  <c r="C40" i="5"/>
  <c r="X39" i="5"/>
  <c r="V39" i="5"/>
  <c r="T39" i="5"/>
  <c r="R39" i="5"/>
  <c r="P39" i="5"/>
  <c r="N39" i="5"/>
  <c r="L39" i="5"/>
  <c r="J39" i="5"/>
  <c r="H39" i="5"/>
  <c r="G39" i="5"/>
  <c r="C39" i="5"/>
  <c r="X38" i="5"/>
  <c r="V38" i="5"/>
  <c r="T38" i="5"/>
  <c r="R38" i="5"/>
  <c r="P38" i="5"/>
  <c r="N38" i="5"/>
  <c r="L38" i="5"/>
  <c r="J38" i="5"/>
  <c r="H38" i="5"/>
  <c r="G38" i="5"/>
  <c r="C38" i="5"/>
  <c r="X37" i="5"/>
  <c r="V37" i="5"/>
  <c r="T37" i="5"/>
  <c r="R37" i="5"/>
  <c r="P37" i="5"/>
  <c r="N37" i="5"/>
  <c r="L37" i="5"/>
  <c r="J37" i="5"/>
  <c r="H37" i="5"/>
  <c r="G37" i="5"/>
  <c r="C37" i="5"/>
  <c r="X36" i="5"/>
  <c r="V36" i="5"/>
  <c r="T36" i="5"/>
  <c r="R36" i="5"/>
  <c r="P36" i="5"/>
  <c r="N36" i="5"/>
  <c r="L36" i="5"/>
  <c r="J36" i="5"/>
  <c r="H36" i="5"/>
  <c r="G36" i="5"/>
  <c r="C36" i="5"/>
  <c r="X35" i="5"/>
  <c r="V35" i="5"/>
  <c r="T35" i="5"/>
  <c r="R35" i="5"/>
  <c r="P35" i="5"/>
  <c r="N35" i="5"/>
  <c r="L35" i="5"/>
  <c r="J35" i="5"/>
  <c r="H35" i="5"/>
  <c r="G35" i="5"/>
  <c r="C35" i="5"/>
  <c r="X34" i="5"/>
  <c r="V34" i="5"/>
  <c r="T34" i="5"/>
  <c r="R34" i="5"/>
  <c r="P34" i="5"/>
  <c r="N34" i="5"/>
  <c r="L34" i="5"/>
  <c r="J34" i="5"/>
  <c r="H34" i="5"/>
  <c r="G34" i="5"/>
  <c r="C34" i="5"/>
  <c r="X33" i="5"/>
  <c r="V33" i="5"/>
  <c r="T33" i="5"/>
  <c r="R33" i="5"/>
  <c r="P33" i="5"/>
  <c r="N33" i="5"/>
  <c r="L33" i="5"/>
  <c r="J33" i="5"/>
  <c r="H33" i="5"/>
  <c r="G33" i="5"/>
  <c r="C33" i="5"/>
  <c r="X32" i="5"/>
  <c r="V32" i="5"/>
  <c r="T32" i="5"/>
  <c r="R32" i="5"/>
  <c r="P32" i="5"/>
  <c r="N32" i="5"/>
  <c r="L32" i="5"/>
  <c r="J32" i="5"/>
  <c r="H32" i="5"/>
  <c r="G32" i="5"/>
  <c r="C32" i="5"/>
  <c r="X31" i="5"/>
  <c r="V31" i="5"/>
  <c r="T31" i="5"/>
  <c r="R31" i="5"/>
  <c r="P31" i="5"/>
  <c r="N31" i="5"/>
  <c r="L31" i="5"/>
  <c r="J31" i="5"/>
  <c r="H31" i="5"/>
  <c r="G31" i="5"/>
  <c r="C31" i="5"/>
  <c r="X30" i="5"/>
  <c r="V30" i="5"/>
  <c r="T30" i="5"/>
  <c r="R30" i="5"/>
  <c r="P30" i="5"/>
  <c r="N30" i="5"/>
  <c r="L30" i="5"/>
  <c r="J30" i="5"/>
  <c r="H30" i="5"/>
  <c r="G30" i="5"/>
  <c r="C30" i="5"/>
  <c r="X29" i="5"/>
  <c r="V29" i="5"/>
  <c r="T29" i="5"/>
  <c r="R29" i="5"/>
  <c r="P29" i="5"/>
  <c r="N29" i="5"/>
  <c r="L29" i="5"/>
  <c r="J29" i="5"/>
  <c r="H29" i="5"/>
  <c r="G29" i="5"/>
  <c r="C29" i="5"/>
  <c r="X28" i="5"/>
  <c r="V28" i="5"/>
  <c r="T28" i="5"/>
  <c r="R28" i="5"/>
  <c r="P28" i="5"/>
  <c r="N28" i="5"/>
  <c r="L28" i="5"/>
  <c r="J28" i="5"/>
  <c r="H28" i="5"/>
  <c r="G28" i="5"/>
  <c r="C28" i="5"/>
  <c r="X27" i="5"/>
  <c r="V27" i="5"/>
  <c r="T27" i="5"/>
  <c r="R27" i="5"/>
  <c r="P27" i="5"/>
  <c r="N27" i="5"/>
  <c r="L27" i="5"/>
  <c r="J27" i="5"/>
  <c r="H27" i="5"/>
  <c r="G27" i="5"/>
  <c r="C27" i="5"/>
  <c r="X26" i="5"/>
  <c r="V26" i="5"/>
  <c r="T26" i="5"/>
  <c r="R26" i="5"/>
  <c r="P26" i="5"/>
  <c r="N26" i="5"/>
  <c r="L26" i="5"/>
  <c r="J26" i="5"/>
  <c r="H26" i="5"/>
  <c r="G26" i="5"/>
  <c r="C26" i="5"/>
  <c r="X25" i="5"/>
  <c r="V25" i="5"/>
  <c r="T25" i="5"/>
  <c r="R25" i="5"/>
  <c r="P25" i="5"/>
  <c r="N25" i="5"/>
  <c r="L25" i="5"/>
  <c r="J25" i="5"/>
  <c r="H25" i="5"/>
  <c r="G25" i="5"/>
  <c r="C25" i="5"/>
  <c r="X24" i="5"/>
  <c r="V24" i="5"/>
  <c r="T24" i="5"/>
  <c r="R24" i="5"/>
  <c r="P24" i="5"/>
  <c r="N24" i="5"/>
  <c r="L24" i="5"/>
  <c r="J24" i="5"/>
  <c r="H24" i="5"/>
  <c r="G24" i="5"/>
  <c r="C24" i="5"/>
  <c r="X23" i="5"/>
  <c r="V23" i="5"/>
  <c r="T23" i="5"/>
  <c r="R23" i="5"/>
  <c r="P23" i="5"/>
  <c r="N23" i="5"/>
  <c r="L23" i="5"/>
  <c r="J23" i="5"/>
  <c r="H23" i="5"/>
  <c r="G23" i="5"/>
  <c r="C23" i="5"/>
  <c r="X22" i="5"/>
  <c r="V22" i="5"/>
  <c r="T22" i="5"/>
  <c r="R22" i="5"/>
  <c r="P22" i="5"/>
  <c r="N22" i="5"/>
  <c r="L22" i="5"/>
  <c r="J22" i="5"/>
  <c r="H22" i="5"/>
  <c r="G22" i="5"/>
  <c r="C22" i="5"/>
  <c r="X21" i="5"/>
  <c r="V21" i="5"/>
  <c r="T21" i="5"/>
  <c r="R21" i="5"/>
  <c r="P21" i="5"/>
  <c r="N21" i="5"/>
  <c r="L21" i="5"/>
  <c r="J21" i="5"/>
  <c r="H21" i="5"/>
  <c r="G21" i="5"/>
  <c r="C21" i="5"/>
  <c r="X20" i="5"/>
  <c r="V20" i="5"/>
  <c r="T20" i="5"/>
  <c r="R20" i="5"/>
  <c r="P20" i="5"/>
  <c r="N20" i="5"/>
  <c r="L20" i="5"/>
  <c r="J20" i="5"/>
  <c r="H20" i="5"/>
  <c r="G20" i="5"/>
  <c r="C20" i="5"/>
  <c r="X19" i="5"/>
  <c r="V19" i="5"/>
  <c r="T19" i="5"/>
  <c r="R19" i="5"/>
  <c r="P19" i="5"/>
  <c r="N19" i="5"/>
  <c r="L19" i="5"/>
  <c r="J19" i="5"/>
  <c r="H19" i="5"/>
  <c r="G19" i="5"/>
  <c r="C19" i="5"/>
  <c r="X18" i="5"/>
  <c r="V18" i="5"/>
  <c r="T18" i="5"/>
  <c r="R18" i="5"/>
  <c r="P18" i="5"/>
  <c r="N18" i="5"/>
  <c r="L18" i="5"/>
  <c r="J18" i="5"/>
  <c r="H18" i="5"/>
  <c r="G18" i="5"/>
  <c r="C18" i="5"/>
  <c r="X17" i="5"/>
  <c r="V17" i="5"/>
  <c r="T17" i="5"/>
  <c r="R17" i="5"/>
  <c r="P17" i="5"/>
  <c r="N17" i="5"/>
  <c r="L17" i="5"/>
  <c r="J17" i="5"/>
  <c r="H17" i="5"/>
  <c r="G17" i="5"/>
  <c r="C17" i="5"/>
  <c r="X16" i="5"/>
  <c r="V16" i="5"/>
  <c r="T16" i="5"/>
  <c r="R16" i="5"/>
  <c r="P16" i="5"/>
  <c r="N16" i="5"/>
  <c r="L16" i="5"/>
  <c r="J16" i="5"/>
  <c r="H16" i="5"/>
  <c r="G16" i="5"/>
  <c r="C16" i="5"/>
  <c r="X15" i="5"/>
  <c r="V15" i="5"/>
  <c r="T15" i="5"/>
  <c r="R15" i="5"/>
  <c r="P15" i="5"/>
  <c r="N15" i="5"/>
  <c r="L15" i="5"/>
  <c r="J15" i="5"/>
  <c r="H15" i="5"/>
  <c r="G15" i="5"/>
  <c r="C15" i="5"/>
  <c r="X14" i="5"/>
  <c r="V14" i="5"/>
  <c r="T14" i="5"/>
  <c r="R14" i="5"/>
  <c r="P14" i="5"/>
  <c r="N14" i="5"/>
  <c r="L14" i="5"/>
  <c r="J14" i="5"/>
  <c r="H14" i="5"/>
  <c r="G14" i="5"/>
  <c r="C14" i="5"/>
  <c r="X13" i="5"/>
  <c r="V13" i="5"/>
  <c r="T13" i="5"/>
  <c r="R13" i="5"/>
  <c r="P13" i="5"/>
  <c r="N13" i="5"/>
  <c r="L13" i="5"/>
  <c r="J13" i="5"/>
  <c r="H13" i="5"/>
  <c r="G13" i="5"/>
  <c r="C13" i="5"/>
  <c r="X12" i="5"/>
  <c r="V12" i="5"/>
  <c r="T12" i="5"/>
  <c r="R12" i="5"/>
  <c r="P12" i="5"/>
  <c r="N12" i="5"/>
  <c r="L12" i="5"/>
  <c r="J12" i="5"/>
  <c r="H12" i="5"/>
  <c r="G12" i="5"/>
  <c r="C12" i="5"/>
  <c r="X11" i="5"/>
  <c r="V11" i="5"/>
  <c r="T11" i="5"/>
  <c r="R11" i="5"/>
  <c r="P11" i="5"/>
  <c r="N11" i="5"/>
  <c r="L11" i="5"/>
  <c r="J11" i="5"/>
  <c r="H11" i="5"/>
  <c r="G11" i="5"/>
  <c r="C11" i="5"/>
  <c r="B8" i="5"/>
  <c r="X91" i="4"/>
  <c r="V91" i="4"/>
  <c r="T91" i="4"/>
  <c r="R91" i="4"/>
  <c r="P91" i="4"/>
  <c r="N91" i="4"/>
  <c r="L91" i="4"/>
  <c r="J91" i="4"/>
  <c r="C91" i="4"/>
  <c r="X90" i="4"/>
  <c r="V90" i="4"/>
  <c r="T90" i="4"/>
  <c r="R90" i="4"/>
  <c r="P90" i="4"/>
  <c r="N90" i="4"/>
  <c r="L90" i="4"/>
  <c r="J90" i="4"/>
  <c r="C90" i="4"/>
  <c r="X89" i="4"/>
  <c r="V89" i="4"/>
  <c r="T89" i="4"/>
  <c r="R89" i="4"/>
  <c r="P89" i="4"/>
  <c r="N89" i="4"/>
  <c r="L89" i="4"/>
  <c r="J89" i="4"/>
  <c r="C89" i="4"/>
  <c r="X88" i="4"/>
  <c r="V88" i="4"/>
  <c r="T88" i="4"/>
  <c r="R88" i="4"/>
  <c r="P88" i="4"/>
  <c r="N88" i="4"/>
  <c r="L88" i="4"/>
  <c r="J88" i="4"/>
  <c r="C88" i="4"/>
  <c r="X87" i="4"/>
  <c r="V87" i="4"/>
  <c r="T87" i="4"/>
  <c r="R87" i="4"/>
  <c r="P87" i="4"/>
  <c r="N87" i="4"/>
  <c r="L87" i="4"/>
  <c r="J87" i="4"/>
  <c r="C87" i="4"/>
  <c r="X86" i="4"/>
  <c r="V86" i="4"/>
  <c r="T86" i="4"/>
  <c r="R86" i="4"/>
  <c r="P86" i="4"/>
  <c r="N86" i="4"/>
  <c r="L86" i="4"/>
  <c r="J86" i="4"/>
  <c r="C86" i="4"/>
  <c r="X85" i="4"/>
  <c r="V85" i="4"/>
  <c r="T85" i="4"/>
  <c r="R85" i="4"/>
  <c r="P85" i="4"/>
  <c r="N85" i="4"/>
  <c r="L85" i="4"/>
  <c r="J85" i="4"/>
  <c r="C85" i="4"/>
  <c r="X84" i="4"/>
  <c r="V84" i="4"/>
  <c r="T84" i="4"/>
  <c r="R84" i="4"/>
  <c r="P84" i="4"/>
  <c r="N84" i="4"/>
  <c r="L84" i="4"/>
  <c r="J84" i="4"/>
  <c r="C84" i="4"/>
  <c r="X83" i="4"/>
  <c r="V83" i="4"/>
  <c r="T83" i="4"/>
  <c r="R83" i="4"/>
  <c r="P83" i="4"/>
  <c r="N83" i="4"/>
  <c r="L83" i="4"/>
  <c r="J83" i="4"/>
  <c r="C83" i="4"/>
  <c r="X82" i="4"/>
  <c r="V82" i="4"/>
  <c r="T82" i="4"/>
  <c r="R82" i="4"/>
  <c r="P82" i="4"/>
  <c r="N82" i="4"/>
  <c r="L82" i="4"/>
  <c r="J82" i="4"/>
  <c r="C82" i="4"/>
  <c r="X81" i="4"/>
  <c r="V81" i="4"/>
  <c r="T81" i="4"/>
  <c r="R81" i="4"/>
  <c r="P81" i="4"/>
  <c r="N81" i="4"/>
  <c r="L81" i="4"/>
  <c r="J81" i="4"/>
  <c r="C81" i="4"/>
  <c r="X80" i="4"/>
  <c r="V80" i="4"/>
  <c r="T80" i="4"/>
  <c r="R80" i="4"/>
  <c r="P80" i="4"/>
  <c r="N80" i="4"/>
  <c r="L80" i="4"/>
  <c r="J80" i="4"/>
  <c r="C80" i="4"/>
  <c r="X79" i="4"/>
  <c r="V79" i="4"/>
  <c r="T79" i="4"/>
  <c r="R79" i="4"/>
  <c r="P79" i="4"/>
  <c r="N79" i="4"/>
  <c r="L79" i="4"/>
  <c r="J79" i="4"/>
  <c r="C79" i="4"/>
  <c r="X78" i="4"/>
  <c r="V78" i="4"/>
  <c r="T78" i="4"/>
  <c r="R78" i="4"/>
  <c r="P78" i="4"/>
  <c r="N78" i="4"/>
  <c r="L78" i="4"/>
  <c r="J78" i="4"/>
  <c r="C78" i="4"/>
  <c r="X77" i="4"/>
  <c r="V77" i="4"/>
  <c r="T77" i="4"/>
  <c r="R77" i="4"/>
  <c r="P77" i="4"/>
  <c r="N77" i="4"/>
  <c r="L77" i="4"/>
  <c r="J77" i="4"/>
  <c r="C77" i="4"/>
  <c r="X76" i="4"/>
  <c r="V76" i="4"/>
  <c r="T76" i="4"/>
  <c r="R76" i="4"/>
  <c r="P76" i="4"/>
  <c r="N76" i="4"/>
  <c r="L76" i="4"/>
  <c r="J76" i="4"/>
  <c r="C76" i="4"/>
  <c r="X75" i="4"/>
  <c r="V75" i="4"/>
  <c r="T75" i="4"/>
  <c r="R75" i="4"/>
  <c r="P75" i="4"/>
  <c r="N75" i="4"/>
  <c r="L75" i="4"/>
  <c r="J75" i="4"/>
  <c r="C75" i="4"/>
  <c r="X74" i="4"/>
  <c r="V74" i="4"/>
  <c r="T74" i="4"/>
  <c r="R74" i="4"/>
  <c r="P74" i="4"/>
  <c r="N74" i="4"/>
  <c r="L74" i="4"/>
  <c r="J74" i="4"/>
  <c r="C74" i="4"/>
  <c r="X73" i="4"/>
  <c r="V73" i="4"/>
  <c r="T73" i="4"/>
  <c r="R73" i="4"/>
  <c r="P73" i="4"/>
  <c r="N73" i="4"/>
  <c r="L73" i="4"/>
  <c r="J73" i="4"/>
  <c r="C73" i="4"/>
  <c r="X72" i="4"/>
  <c r="V72" i="4"/>
  <c r="T72" i="4"/>
  <c r="R72" i="4"/>
  <c r="P72" i="4"/>
  <c r="N72" i="4"/>
  <c r="L72" i="4"/>
  <c r="J72" i="4"/>
  <c r="C72" i="4"/>
  <c r="X71" i="4"/>
  <c r="V71" i="4"/>
  <c r="T71" i="4"/>
  <c r="R71" i="4"/>
  <c r="P71" i="4"/>
  <c r="N71" i="4"/>
  <c r="L71" i="4"/>
  <c r="J71" i="4"/>
  <c r="C71" i="4"/>
  <c r="X70" i="4"/>
  <c r="V70" i="4"/>
  <c r="T70" i="4"/>
  <c r="R70" i="4"/>
  <c r="P70" i="4"/>
  <c r="N70" i="4"/>
  <c r="L70" i="4"/>
  <c r="J70" i="4"/>
  <c r="C70" i="4"/>
  <c r="X69" i="4"/>
  <c r="V69" i="4"/>
  <c r="T69" i="4"/>
  <c r="R69" i="4"/>
  <c r="P69" i="4"/>
  <c r="N69" i="4"/>
  <c r="L69" i="4"/>
  <c r="J69" i="4"/>
  <c r="C69" i="4"/>
  <c r="X68" i="4"/>
  <c r="V68" i="4"/>
  <c r="T68" i="4"/>
  <c r="R68" i="4"/>
  <c r="P68" i="4"/>
  <c r="N68" i="4"/>
  <c r="L68" i="4"/>
  <c r="J68" i="4"/>
  <c r="C68" i="4"/>
  <c r="X67" i="4"/>
  <c r="V67" i="4"/>
  <c r="T67" i="4"/>
  <c r="R67" i="4"/>
  <c r="P67" i="4"/>
  <c r="N67" i="4"/>
  <c r="L67" i="4"/>
  <c r="J67" i="4"/>
  <c r="C67" i="4"/>
  <c r="X66" i="4"/>
  <c r="V66" i="4"/>
  <c r="T66" i="4"/>
  <c r="R66" i="4"/>
  <c r="P66" i="4"/>
  <c r="N66" i="4"/>
  <c r="L66" i="4"/>
  <c r="J66" i="4"/>
  <c r="C66" i="4"/>
  <c r="X65" i="4"/>
  <c r="V65" i="4"/>
  <c r="T65" i="4"/>
  <c r="R65" i="4"/>
  <c r="P65" i="4"/>
  <c r="N65" i="4"/>
  <c r="L65" i="4"/>
  <c r="J65" i="4"/>
  <c r="C65" i="4"/>
  <c r="X64" i="4"/>
  <c r="V64" i="4"/>
  <c r="T64" i="4"/>
  <c r="R64" i="4"/>
  <c r="P64" i="4"/>
  <c r="N64" i="4"/>
  <c r="L64" i="4"/>
  <c r="J64" i="4"/>
  <c r="C64" i="4"/>
  <c r="X63" i="4"/>
  <c r="V63" i="4"/>
  <c r="T63" i="4"/>
  <c r="R63" i="4"/>
  <c r="P63" i="4"/>
  <c r="N63" i="4"/>
  <c r="L63" i="4"/>
  <c r="J63" i="4"/>
  <c r="C63" i="4"/>
  <c r="X62" i="4"/>
  <c r="V62" i="4"/>
  <c r="T62" i="4"/>
  <c r="R62" i="4"/>
  <c r="P62" i="4"/>
  <c r="N62" i="4"/>
  <c r="L62" i="4"/>
  <c r="J62" i="4"/>
  <c r="C62" i="4"/>
  <c r="X61" i="4"/>
  <c r="V61" i="4"/>
  <c r="T61" i="4"/>
  <c r="R61" i="4"/>
  <c r="P61" i="4"/>
  <c r="N61" i="4"/>
  <c r="L61" i="4"/>
  <c r="J61" i="4"/>
  <c r="C61" i="4"/>
  <c r="X60" i="4"/>
  <c r="V60" i="4"/>
  <c r="T60" i="4"/>
  <c r="R60" i="4"/>
  <c r="P60" i="4"/>
  <c r="N60" i="4"/>
  <c r="L60" i="4"/>
  <c r="J60" i="4"/>
  <c r="C60" i="4"/>
  <c r="X59" i="4"/>
  <c r="V59" i="4"/>
  <c r="T59" i="4"/>
  <c r="R59" i="4"/>
  <c r="P59" i="4"/>
  <c r="N59" i="4"/>
  <c r="L59" i="4"/>
  <c r="J59" i="4"/>
  <c r="C59" i="4"/>
  <c r="X58" i="4"/>
  <c r="V58" i="4"/>
  <c r="T58" i="4"/>
  <c r="R58" i="4"/>
  <c r="P58" i="4"/>
  <c r="N58" i="4"/>
  <c r="L58" i="4"/>
  <c r="J58" i="4"/>
  <c r="C58" i="4"/>
  <c r="X57" i="4"/>
  <c r="V57" i="4"/>
  <c r="T57" i="4"/>
  <c r="R57" i="4"/>
  <c r="P57" i="4"/>
  <c r="N57" i="4"/>
  <c r="L57" i="4"/>
  <c r="J57" i="4"/>
  <c r="C57" i="4"/>
  <c r="X56" i="4"/>
  <c r="V56" i="4"/>
  <c r="T56" i="4"/>
  <c r="R56" i="4"/>
  <c r="P56" i="4"/>
  <c r="N56" i="4"/>
  <c r="L56" i="4"/>
  <c r="J56" i="4"/>
  <c r="C56" i="4"/>
  <c r="X55" i="4"/>
  <c r="V55" i="4"/>
  <c r="T55" i="4"/>
  <c r="R55" i="4"/>
  <c r="P55" i="4"/>
  <c r="N55" i="4"/>
  <c r="L55" i="4"/>
  <c r="J55" i="4"/>
  <c r="C55" i="4"/>
  <c r="X54" i="4"/>
  <c r="V54" i="4"/>
  <c r="T54" i="4"/>
  <c r="R54" i="4"/>
  <c r="P54" i="4"/>
  <c r="N54" i="4"/>
  <c r="L54" i="4"/>
  <c r="J54" i="4"/>
  <c r="C54" i="4"/>
  <c r="X53" i="4"/>
  <c r="V53" i="4"/>
  <c r="T53" i="4"/>
  <c r="R53" i="4"/>
  <c r="P53" i="4"/>
  <c r="N53" i="4"/>
  <c r="L53" i="4"/>
  <c r="J53" i="4"/>
  <c r="C53" i="4"/>
  <c r="X52" i="4"/>
  <c r="V52" i="4"/>
  <c r="T52" i="4"/>
  <c r="R52" i="4"/>
  <c r="P52" i="4"/>
  <c r="N52" i="4"/>
  <c r="L52" i="4"/>
  <c r="J52" i="4"/>
  <c r="C52" i="4"/>
  <c r="X51" i="4"/>
  <c r="V51" i="4"/>
  <c r="T51" i="4"/>
  <c r="R51" i="4"/>
  <c r="P51" i="4"/>
  <c r="N51" i="4"/>
  <c r="L51" i="4"/>
  <c r="J51" i="4"/>
  <c r="C51" i="4"/>
  <c r="X50" i="4"/>
  <c r="V50" i="4"/>
  <c r="T50" i="4"/>
  <c r="R50" i="4"/>
  <c r="P50" i="4"/>
  <c r="N50" i="4"/>
  <c r="L50" i="4"/>
  <c r="J50" i="4"/>
  <c r="C50" i="4"/>
  <c r="X49" i="4"/>
  <c r="V49" i="4"/>
  <c r="T49" i="4"/>
  <c r="R49" i="4"/>
  <c r="P49" i="4"/>
  <c r="N49" i="4"/>
  <c r="L49" i="4"/>
  <c r="J49" i="4"/>
  <c r="C49" i="4"/>
  <c r="X48" i="4"/>
  <c r="V48" i="4"/>
  <c r="T48" i="4"/>
  <c r="R48" i="4"/>
  <c r="P48" i="4"/>
  <c r="N48" i="4"/>
  <c r="L48" i="4"/>
  <c r="J48" i="4"/>
  <c r="C48" i="4"/>
  <c r="X47" i="4"/>
  <c r="V47" i="4"/>
  <c r="T47" i="4"/>
  <c r="R47" i="4"/>
  <c r="P47" i="4"/>
  <c r="N47" i="4"/>
  <c r="L47" i="4"/>
  <c r="J47" i="4"/>
  <c r="C47" i="4"/>
  <c r="X46" i="4"/>
  <c r="V46" i="4"/>
  <c r="T46" i="4"/>
  <c r="R46" i="4"/>
  <c r="P46" i="4"/>
  <c r="N46" i="4"/>
  <c r="L46" i="4"/>
  <c r="J46" i="4"/>
  <c r="C46" i="4"/>
  <c r="X45" i="4"/>
  <c r="V45" i="4"/>
  <c r="T45" i="4"/>
  <c r="R45" i="4"/>
  <c r="P45" i="4"/>
  <c r="N45" i="4"/>
  <c r="L45" i="4"/>
  <c r="J45" i="4"/>
  <c r="C45" i="4"/>
  <c r="X44" i="4"/>
  <c r="V44" i="4"/>
  <c r="T44" i="4"/>
  <c r="R44" i="4"/>
  <c r="P44" i="4"/>
  <c r="N44" i="4"/>
  <c r="L44" i="4"/>
  <c r="J44" i="4"/>
  <c r="C44" i="4"/>
  <c r="X43" i="4"/>
  <c r="V43" i="4"/>
  <c r="T43" i="4"/>
  <c r="R43" i="4"/>
  <c r="P43" i="4"/>
  <c r="N43" i="4"/>
  <c r="L43" i="4"/>
  <c r="J43" i="4"/>
  <c r="C43" i="4"/>
  <c r="X42" i="4"/>
  <c r="V42" i="4"/>
  <c r="T42" i="4"/>
  <c r="R42" i="4"/>
  <c r="P42" i="4"/>
  <c r="N42" i="4"/>
  <c r="L42" i="4"/>
  <c r="J42" i="4"/>
  <c r="C42" i="4"/>
  <c r="X41" i="4"/>
  <c r="V41" i="4"/>
  <c r="T41" i="4"/>
  <c r="R41" i="4"/>
  <c r="P41" i="4"/>
  <c r="N41" i="4"/>
  <c r="L41" i="4"/>
  <c r="J41" i="4"/>
  <c r="C41" i="4"/>
  <c r="X40" i="4"/>
  <c r="V40" i="4"/>
  <c r="T40" i="4"/>
  <c r="R40" i="4"/>
  <c r="P40" i="4"/>
  <c r="N40" i="4"/>
  <c r="L40" i="4"/>
  <c r="J40" i="4"/>
  <c r="C40" i="4"/>
  <c r="X39" i="4"/>
  <c r="V39" i="4"/>
  <c r="T39" i="4"/>
  <c r="R39" i="4"/>
  <c r="P39" i="4"/>
  <c r="N39" i="4"/>
  <c r="L39" i="4"/>
  <c r="J39" i="4"/>
  <c r="C39" i="4"/>
  <c r="X38" i="4"/>
  <c r="V38" i="4"/>
  <c r="T38" i="4"/>
  <c r="R38" i="4"/>
  <c r="P38" i="4"/>
  <c r="N38" i="4"/>
  <c r="L38" i="4"/>
  <c r="J38" i="4"/>
  <c r="C38" i="4"/>
  <c r="X37" i="4"/>
  <c r="V37" i="4"/>
  <c r="T37" i="4"/>
  <c r="R37" i="4"/>
  <c r="P37" i="4"/>
  <c r="N37" i="4"/>
  <c r="L37" i="4"/>
  <c r="J37" i="4"/>
  <c r="X36" i="4"/>
  <c r="V36" i="4"/>
  <c r="T36" i="4"/>
  <c r="R36" i="4"/>
  <c r="P36" i="4"/>
  <c r="N36" i="4"/>
  <c r="L36" i="4"/>
  <c r="J36" i="4"/>
  <c r="X35" i="4"/>
  <c r="V35" i="4"/>
  <c r="T35" i="4"/>
  <c r="R35" i="4"/>
  <c r="P35" i="4"/>
  <c r="N35" i="4"/>
  <c r="L35" i="4"/>
  <c r="J35" i="4"/>
  <c r="X34" i="4"/>
  <c r="V34" i="4"/>
  <c r="T34" i="4"/>
  <c r="R34" i="4"/>
  <c r="P34" i="4"/>
  <c r="N34" i="4"/>
  <c r="L34" i="4"/>
  <c r="J34" i="4"/>
  <c r="X33" i="4"/>
  <c r="V33" i="4"/>
  <c r="T33" i="4"/>
  <c r="R33" i="4"/>
  <c r="P33" i="4"/>
  <c r="N33" i="4"/>
  <c r="L33" i="4"/>
  <c r="J33" i="4"/>
  <c r="X32" i="4"/>
  <c r="V32" i="4"/>
  <c r="T32" i="4"/>
  <c r="R32" i="4"/>
  <c r="P32" i="4"/>
  <c r="N32" i="4"/>
  <c r="L32" i="4"/>
  <c r="J32" i="4"/>
  <c r="X31" i="4"/>
  <c r="V31" i="4"/>
  <c r="T31" i="4"/>
  <c r="R31" i="4"/>
  <c r="P31" i="4"/>
  <c r="N31" i="4"/>
  <c r="L31" i="4"/>
  <c r="J31" i="4"/>
  <c r="X30" i="4"/>
  <c r="V30" i="4"/>
  <c r="T30" i="4"/>
  <c r="R30" i="4"/>
  <c r="P30" i="4"/>
  <c r="N30" i="4"/>
  <c r="L30" i="4"/>
  <c r="J30" i="4"/>
  <c r="X29" i="4"/>
  <c r="V29" i="4"/>
  <c r="T29" i="4"/>
  <c r="R29" i="4"/>
  <c r="P29" i="4"/>
  <c r="N29" i="4"/>
  <c r="L29" i="4"/>
  <c r="J29" i="4"/>
  <c r="X28" i="4"/>
  <c r="V28" i="4"/>
  <c r="T28" i="4"/>
  <c r="R28" i="4"/>
  <c r="P28" i="4"/>
  <c r="N28" i="4"/>
  <c r="L28" i="4"/>
  <c r="J28" i="4"/>
  <c r="X27" i="4"/>
  <c r="V27" i="4"/>
  <c r="T27" i="4"/>
  <c r="R27" i="4"/>
  <c r="P27" i="4"/>
  <c r="N27" i="4"/>
  <c r="L27" i="4"/>
  <c r="J27" i="4"/>
  <c r="X26" i="4"/>
  <c r="V26" i="4"/>
  <c r="T26" i="4"/>
  <c r="R26" i="4"/>
  <c r="P26" i="4"/>
  <c r="N26" i="4"/>
  <c r="L26" i="4"/>
  <c r="J26" i="4"/>
  <c r="X25" i="4"/>
  <c r="V25" i="4"/>
  <c r="T25" i="4"/>
  <c r="R25" i="4"/>
  <c r="P25" i="4"/>
  <c r="N25" i="4"/>
  <c r="L25" i="4"/>
  <c r="J25" i="4"/>
  <c r="X24" i="4"/>
  <c r="V24" i="4"/>
  <c r="T24" i="4"/>
  <c r="R24" i="4"/>
  <c r="P24" i="4"/>
  <c r="N24" i="4"/>
  <c r="L24" i="4"/>
  <c r="J24" i="4"/>
  <c r="X23" i="4"/>
  <c r="V23" i="4"/>
  <c r="T23" i="4"/>
  <c r="R23" i="4"/>
  <c r="P23" i="4"/>
  <c r="N23" i="4"/>
  <c r="L23" i="4"/>
  <c r="J23" i="4"/>
  <c r="X22" i="4"/>
  <c r="V22" i="4"/>
  <c r="T22" i="4"/>
  <c r="R22" i="4"/>
  <c r="P22" i="4"/>
  <c r="N22" i="4"/>
  <c r="L22" i="4"/>
  <c r="J22" i="4"/>
  <c r="X21" i="4"/>
  <c r="V21" i="4"/>
  <c r="T21" i="4"/>
  <c r="R21" i="4"/>
  <c r="P21" i="4"/>
  <c r="N21" i="4"/>
  <c r="L21" i="4"/>
  <c r="J21" i="4"/>
  <c r="X20" i="4"/>
  <c r="V20" i="4"/>
  <c r="T20" i="4"/>
  <c r="R20" i="4"/>
  <c r="P20" i="4"/>
  <c r="N20" i="4"/>
  <c r="L20" i="4"/>
  <c r="J20" i="4"/>
  <c r="X19" i="4"/>
  <c r="V19" i="4"/>
  <c r="T19" i="4"/>
  <c r="R19" i="4"/>
  <c r="P19" i="4"/>
  <c r="N19" i="4"/>
  <c r="L19" i="4"/>
  <c r="J19" i="4"/>
  <c r="X18" i="4"/>
  <c r="V18" i="4"/>
  <c r="T18" i="4"/>
  <c r="R18" i="4"/>
  <c r="P18" i="4"/>
  <c r="N18" i="4"/>
  <c r="L18" i="4"/>
  <c r="J18" i="4"/>
  <c r="X17" i="4"/>
  <c r="V17" i="4"/>
  <c r="T17" i="4"/>
  <c r="R17" i="4"/>
  <c r="P17" i="4"/>
  <c r="N17" i="4"/>
  <c r="L17" i="4"/>
  <c r="J17" i="4"/>
  <c r="X16" i="4"/>
  <c r="V16" i="4"/>
  <c r="T16" i="4"/>
  <c r="R16" i="4"/>
  <c r="P16" i="4"/>
  <c r="N16" i="4"/>
  <c r="L16" i="4"/>
  <c r="J16" i="4"/>
  <c r="X15" i="4"/>
  <c r="V15" i="4"/>
  <c r="T15" i="4"/>
  <c r="R15" i="4"/>
  <c r="P15" i="4"/>
  <c r="N15" i="4"/>
  <c r="L15" i="4"/>
  <c r="J15" i="4"/>
  <c r="X14" i="4"/>
  <c r="V14" i="4"/>
  <c r="T14" i="4"/>
  <c r="R14" i="4"/>
  <c r="P14" i="4"/>
  <c r="N14" i="4"/>
  <c r="L14" i="4"/>
  <c r="J14" i="4"/>
  <c r="X13" i="4"/>
  <c r="V13" i="4"/>
  <c r="T13" i="4"/>
  <c r="R13" i="4"/>
  <c r="P13" i="4"/>
  <c r="N13" i="4"/>
  <c r="L13" i="4"/>
  <c r="J13" i="4"/>
  <c r="X12" i="4"/>
  <c r="V12" i="4"/>
  <c r="T12" i="4"/>
  <c r="R12" i="4"/>
  <c r="P12" i="4"/>
  <c r="N12" i="4"/>
  <c r="L12" i="4"/>
  <c r="J12" i="4"/>
  <c r="F12" i="4"/>
  <c r="G12" i="4" s="1"/>
  <c r="H12" i="4" s="1"/>
  <c r="X11" i="4"/>
  <c r="V11" i="4"/>
  <c r="T11" i="4"/>
  <c r="R11" i="4"/>
  <c r="P11" i="4"/>
  <c r="N11" i="4"/>
  <c r="L11" i="4"/>
  <c r="J11" i="4"/>
  <c r="G11" i="4"/>
  <c r="H11" i="4" s="1"/>
  <c r="F11" i="4"/>
  <c r="B8" i="4"/>
  <c r="X52" i="3"/>
  <c r="V52" i="3"/>
  <c r="T52" i="3"/>
  <c r="R52" i="3"/>
  <c r="P52" i="3"/>
  <c r="N52" i="3"/>
  <c r="L52" i="3"/>
  <c r="J52" i="3"/>
  <c r="G52" i="3"/>
  <c r="H52" i="3" s="1"/>
  <c r="F52" i="3"/>
  <c r="C52" i="3"/>
  <c r="X51" i="3"/>
  <c r="V51" i="3"/>
  <c r="T51" i="3"/>
  <c r="R51" i="3"/>
  <c r="P51" i="3"/>
  <c r="N51" i="3"/>
  <c r="L51" i="3"/>
  <c r="J51" i="3"/>
  <c r="G51" i="3"/>
  <c r="H51" i="3" s="1"/>
  <c r="F51" i="3"/>
  <c r="C51" i="3"/>
  <c r="X50" i="3"/>
  <c r="V50" i="3"/>
  <c r="T50" i="3"/>
  <c r="R50" i="3"/>
  <c r="P50" i="3"/>
  <c r="N50" i="3"/>
  <c r="L50" i="3"/>
  <c r="J50" i="3"/>
  <c r="G50" i="3"/>
  <c r="H50" i="3" s="1"/>
  <c r="F50" i="3"/>
  <c r="C50" i="3"/>
  <c r="X49" i="3"/>
  <c r="V49" i="3"/>
  <c r="T49" i="3"/>
  <c r="R49" i="3"/>
  <c r="P49" i="3"/>
  <c r="N49" i="3"/>
  <c r="L49" i="3"/>
  <c r="J49" i="3"/>
  <c r="G49" i="3"/>
  <c r="H49" i="3" s="1"/>
  <c r="F49" i="3"/>
  <c r="C49" i="3"/>
  <c r="X48" i="3"/>
  <c r="V48" i="3"/>
  <c r="T48" i="3"/>
  <c r="R48" i="3"/>
  <c r="P48" i="3"/>
  <c r="N48" i="3"/>
  <c r="L48" i="3"/>
  <c r="J48" i="3"/>
  <c r="G48" i="3"/>
  <c r="H48" i="3" s="1"/>
  <c r="F48" i="3"/>
  <c r="C48" i="3"/>
  <c r="X47" i="3"/>
  <c r="V47" i="3"/>
  <c r="T47" i="3"/>
  <c r="R47" i="3"/>
  <c r="P47" i="3"/>
  <c r="N47" i="3"/>
  <c r="L47" i="3"/>
  <c r="J47" i="3"/>
  <c r="G47" i="3"/>
  <c r="H47" i="3" s="1"/>
  <c r="F47" i="3"/>
  <c r="C47" i="3"/>
  <c r="X46" i="3"/>
  <c r="V46" i="3"/>
  <c r="T46" i="3"/>
  <c r="R46" i="3"/>
  <c r="P46" i="3"/>
  <c r="N46" i="3"/>
  <c r="L46" i="3"/>
  <c r="J46" i="3"/>
  <c r="G46" i="3"/>
  <c r="H46" i="3" s="1"/>
  <c r="F46" i="3"/>
  <c r="C46" i="3"/>
  <c r="X45" i="3"/>
  <c r="V45" i="3"/>
  <c r="T45" i="3"/>
  <c r="R45" i="3"/>
  <c r="P45" i="3"/>
  <c r="N45" i="3"/>
  <c r="L45" i="3"/>
  <c r="J45" i="3"/>
  <c r="G45" i="3"/>
  <c r="H45" i="3" s="1"/>
  <c r="F45" i="3"/>
  <c r="C45" i="3"/>
  <c r="X44" i="3"/>
  <c r="V44" i="3"/>
  <c r="T44" i="3"/>
  <c r="R44" i="3"/>
  <c r="P44" i="3"/>
  <c r="N44" i="3"/>
  <c r="L44" i="3"/>
  <c r="J44" i="3"/>
  <c r="G44" i="3"/>
  <c r="H44" i="3" s="1"/>
  <c r="F44" i="3"/>
  <c r="C44" i="3"/>
  <c r="X43" i="3"/>
  <c r="V43" i="3"/>
  <c r="T43" i="3"/>
  <c r="R43" i="3"/>
  <c r="P43" i="3"/>
  <c r="N43" i="3"/>
  <c r="L43" i="3"/>
  <c r="J43" i="3"/>
  <c r="G43" i="3"/>
  <c r="H43" i="3" s="1"/>
  <c r="F43" i="3"/>
  <c r="C43" i="3"/>
  <c r="X42" i="3"/>
  <c r="V42" i="3"/>
  <c r="T42" i="3"/>
  <c r="R42" i="3"/>
  <c r="P42" i="3"/>
  <c r="N42" i="3"/>
  <c r="L42" i="3"/>
  <c r="J42" i="3"/>
  <c r="G42" i="3"/>
  <c r="H42" i="3" s="1"/>
  <c r="F42" i="3"/>
  <c r="C42" i="3"/>
  <c r="X41" i="3"/>
  <c r="V41" i="3"/>
  <c r="T41" i="3"/>
  <c r="R41" i="3"/>
  <c r="P41" i="3"/>
  <c r="N41" i="3"/>
  <c r="L41" i="3"/>
  <c r="J41" i="3"/>
  <c r="G41" i="3"/>
  <c r="H41" i="3" s="1"/>
  <c r="F41" i="3"/>
  <c r="C41" i="3"/>
  <c r="X40" i="3"/>
  <c r="V40" i="3"/>
  <c r="T40" i="3"/>
  <c r="R40" i="3"/>
  <c r="P40" i="3"/>
  <c r="N40" i="3"/>
  <c r="L40" i="3"/>
  <c r="J40" i="3"/>
  <c r="G40" i="3"/>
  <c r="H40" i="3" s="1"/>
  <c r="F40" i="3"/>
  <c r="C40" i="3"/>
  <c r="X39" i="3"/>
  <c r="V39" i="3"/>
  <c r="T39" i="3"/>
  <c r="R39" i="3"/>
  <c r="P39" i="3"/>
  <c r="N39" i="3"/>
  <c r="L39" i="3"/>
  <c r="J39" i="3"/>
  <c r="G39" i="3"/>
  <c r="H39" i="3" s="1"/>
  <c r="F39" i="3"/>
  <c r="C39" i="3"/>
  <c r="X38" i="3"/>
  <c r="V38" i="3"/>
  <c r="T38" i="3"/>
  <c r="R38" i="3"/>
  <c r="P38" i="3"/>
  <c r="N38" i="3"/>
  <c r="L38" i="3"/>
  <c r="J38" i="3"/>
  <c r="G38" i="3"/>
  <c r="H38" i="3" s="1"/>
  <c r="F38" i="3"/>
  <c r="C38" i="3"/>
  <c r="X37" i="3"/>
  <c r="V37" i="3"/>
  <c r="T37" i="3"/>
  <c r="R37" i="3"/>
  <c r="P37" i="3"/>
  <c r="N37" i="3"/>
  <c r="L37" i="3"/>
  <c r="J37" i="3"/>
  <c r="G37" i="3"/>
  <c r="H37" i="3" s="1"/>
  <c r="F37" i="3"/>
  <c r="C37" i="3"/>
  <c r="X36" i="3"/>
  <c r="V36" i="3"/>
  <c r="T36" i="3"/>
  <c r="R36" i="3"/>
  <c r="P36" i="3"/>
  <c r="N36" i="3"/>
  <c r="L36" i="3"/>
  <c r="J36" i="3"/>
  <c r="G36" i="3"/>
  <c r="H36" i="3" s="1"/>
  <c r="F36" i="3"/>
  <c r="C36" i="3"/>
  <c r="X35" i="3"/>
  <c r="V35" i="3"/>
  <c r="T35" i="3"/>
  <c r="R35" i="3"/>
  <c r="P35" i="3"/>
  <c r="N35" i="3"/>
  <c r="L35" i="3"/>
  <c r="J35" i="3"/>
  <c r="G35" i="3"/>
  <c r="H35" i="3" s="1"/>
  <c r="F35" i="3"/>
  <c r="C35" i="3"/>
  <c r="X34" i="3"/>
  <c r="V34" i="3"/>
  <c r="T34" i="3"/>
  <c r="R34" i="3"/>
  <c r="P34" i="3"/>
  <c r="N34" i="3"/>
  <c r="L34" i="3"/>
  <c r="J34" i="3"/>
  <c r="G34" i="3"/>
  <c r="H34" i="3" s="1"/>
  <c r="F34" i="3"/>
  <c r="C34" i="3"/>
  <c r="X33" i="3"/>
  <c r="V33" i="3"/>
  <c r="T33" i="3"/>
  <c r="R33" i="3"/>
  <c r="P33" i="3"/>
  <c r="N33" i="3"/>
  <c r="L33" i="3"/>
  <c r="J33" i="3"/>
  <c r="G33" i="3"/>
  <c r="H33" i="3" s="1"/>
  <c r="F33" i="3"/>
  <c r="C33" i="3"/>
  <c r="X32" i="3"/>
  <c r="V32" i="3"/>
  <c r="T32" i="3"/>
  <c r="R32" i="3"/>
  <c r="P32" i="3"/>
  <c r="N32" i="3"/>
  <c r="L32" i="3"/>
  <c r="J32" i="3"/>
  <c r="G32" i="3"/>
  <c r="H32" i="3" s="1"/>
  <c r="F32" i="3"/>
  <c r="C32" i="3"/>
  <c r="X31" i="3"/>
  <c r="V31" i="3"/>
  <c r="T31" i="3"/>
  <c r="R31" i="3"/>
  <c r="P31" i="3"/>
  <c r="N31" i="3"/>
  <c r="L31" i="3"/>
  <c r="J31" i="3"/>
  <c r="G31" i="3"/>
  <c r="H31" i="3" s="1"/>
  <c r="F31" i="3"/>
  <c r="C31" i="3"/>
  <c r="X30" i="3"/>
  <c r="V30" i="3"/>
  <c r="T30" i="3"/>
  <c r="R30" i="3"/>
  <c r="P30" i="3"/>
  <c r="N30" i="3"/>
  <c r="L30" i="3"/>
  <c r="J30" i="3"/>
  <c r="G30" i="3"/>
  <c r="H30" i="3" s="1"/>
  <c r="F30" i="3"/>
  <c r="C30" i="3"/>
  <c r="X29" i="3"/>
  <c r="V29" i="3"/>
  <c r="T29" i="3"/>
  <c r="R29" i="3"/>
  <c r="P29" i="3"/>
  <c r="N29" i="3"/>
  <c r="L29" i="3"/>
  <c r="J29" i="3"/>
  <c r="G29" i="3"/>
  <c r="H29" i="3" s="1"/>
  <c r="F29" i="3"/>
  <c r="C29" i="3"/>
  <c r="X28" i="3"/>
  <c r="V28" i="3"/>
  <c r="T28" i="3"/>
  <c r="R28" i="3"/>
  <c r="P28" i="3"/>
  <c r="N28" i="3"/>
  <c r="L28" i="3"/>
  <c r="J28" i="3"/>
  <c r="G28" i="3"/>
  <c r="H28" i="3" s="1"/>
  <c r="F28" i="3"/>
  <c r="C28" i="3"/>
  <c r="X27" i="3"/>
  <c r="V27" i="3"/>
  <c r="T27" i="3"/>
  <c r="R27" i="3"/>
  <c r="P27" i="3"/>
  <c r="N27" i="3"/>
  <c r="L27" i="3"/>
  <c r="J27" i="3"/>
  <c r="G27" i="3"/>
  <c r="H27" i="3" s="1"/>
  <c r="F27" i="3"/>
  <c r="C27" i="3"/>
  <c r="X26" i="3"/>
  <c r="V26" i="3"/>
  <c r="T26" i="3"/>
  <c r="R26" i="3"/>
  <c r="P26" i="3"/>
  <c r="N26" i="3"/>
  <c r="L26" i="3"/>
  <c r="J26" i="3"/>
  <c r="G26" i="3"/>
  <c r="H26" i="3" s="1"/>
  <c r="F26" i="3"/>
  <c r="C26" i="3"/>
  <c r="X25" i="3"/>
  <c r="V25" i="3"/>
  <c r="T25" i="3"/>
  <c r="R25" i="3"/>
  <c r="P25" i="3"/>
  <c r="N25" i="3"/>
  <c r="L25" i="3"/>
  <c r="J25" i="3"/>
  <c r="G25" i="3"/>
  <c r="H25" i="3" s="1"/>
  <c r="F25" i="3"/>
  <c r="C25" i="3"/>
  <c r="X24" i="3"/>
  <c r="V24" i="3"/>
  <c r="T24" i="3"/>
  <c r="R24" i="3"/>
  <c r="P24" i="3"/>
  <c r="N24" i="3"/>
  <c r="L24" i="3"/>
  <c r="J24" i="3"/>
  <c r="G24" i="3"/>
  <c r="H24" i="3" s="1"/>
  <c r="F24" i="3"/>
  <c r="C24" i="3"/>
  <c r="X23" i="3"/>
  <c r="V23" i="3"/>
  <c r="T23" i="3"/>
  <c r="R23" i="3"/>
  <c r="P23" i="3"/>
  <c r="N23" i="3"/>
  <c r="L23" i="3"/>
  <c r="J23" i="3"/>
  <c r="G23" i="3"/>
  <c r="H23" i="3" s="1"/>
  <c r="F23" i="3"/>
  <c r="C23" i="3"/>
  <c r="X22" i="3"/>
  <c r="V22" i="3"/>
  <c r="T22" i="3"/>
  <c r="R22" i="3"/>
  <c r="P22" i="3"/>
  <c r="N22" i="3"/>
  <c r="L22" i="3"/>
  <c r="J22" i="3"/>
  <c r="G22" i="3"/>
  <c r="H22" i="3" s="1"/>
  <c r="F22" i="3"/>
  <c r="C22" i="3"/>
  <c r="X21" i="3"/>
  <c r="V21" i="3"/>
  <c r="T21" i="3"/>
  <c r="R21" i="3"/>
  <c r="P21" i="3"/>
  <c r="N21" i="3"/>
  <c r="L21" i="3"/>
  <c r="J21" i="3"/>
  <c r="G21" i="3"/>
  <c r="H21" i="3" s="1"/>
  <c r="F21" i="3"/>
  <c r="C21" i="3"/>
  <c r="X20" i="3"/>
  <c r="V20" i="3"/>
  <c r="T20" i="3"/>
  <c r="R20" i="3"/>
  <c r="P20" i="3"/>
  <c r="N20" i="3"/>
  <c r="L20" i="3"/>
  <c r="J20" i="3"/>
  <c r="G20" i="3"/>
  <c r="H20" i="3" s="1"/>
  <c r="F20" i="3"/>
  <c r="X19" i="3"/>
  <c r="V19" i="3"/>
  <c r="T19" i="3"/>
  <c r="R19" i="3"/>
  <c r="P19" i="3"/>
  <c r="N19" i="3"/>
  <c r="L19" i="3"/>
  <c r="J19" i="3"/>
  <c r="G19" i="3"/>
  <c r="H19" i="3" s="1"/>
  <c r="F19" i="3"/>
  <c r="X18" i="3"/>
  <c r="V18" i="3"/>
  <c r="T18" i="3"/>
  <c r="R18" i="3"/>
  <c r="P18" i="3"/>
  <c r="N18" i="3"/>
  <c r="L18" i="3"/>
  <c r="J18" i="3"/>
  <c r="G18" i="3"/>
  <c r="H18" i="3" s="1"/>
  <c r="F18" i="3"/>
  <c r="X17" i="3"/>
  <c r="V17" i="3"/>
  <c r="T17" i="3"/>
  <c r="R17" i="3"/>
  <c r="P17" i="3"/>
  <c r="N17" i="3"/>
  <c r="L17" i="3"/>
  <c r="J17" i="3"/>
  <c r="G17" i="3"/>
  <c r="H17" i="3" s="1"/>
  <c r="F17" i="3"/>
  <c r="X16" i="3"/>
  <c r="V16" i="3"/>
  <c r="T16" i="3"/>
  <c r="R16" i="3"/>
  <c r="P16" i="3"/>
  <c r="N16" i="3"/>
  <c r="L16" i="3"/>
  <c r="J16" i="3"/>
  <c r="G16" i="3"/>
  <c r="H16" i="3" s="1"/>
  <c r="F16" i="3"/>
  <c r="X15" i="3"/>
  <c r="V15" i="3"/>
  <c r="T15" i="3"/>
  <c r="R15" i="3"/>
  <c r="P15" i="3"/>
  <c r="N15" i="3"/>
  <c r="L15" i="3"/>
  <c r="J15" i="3"/>
  <c r="G15" i="3"/>
  <c r="H15" i="3" s="1"/>
  <c r="F15" i="3"/>
  <c r="X14" i="3"/>
  <c r="V14" i="3"/>
  <c r="T14" i="3"/>
  <c r="R14" i="3"/>
  <c r="P14" i="3"/>
  <c r="N14" i="3"/>
  <c r="L14" i="3"/>
  <c r="J14" i="3"/>
  <c r="G14" i="3"/>
  <c r="H14" i="3" s="1"/>
  <c r="F14" i="3"/>
  <c r="X13" i="3"/>
  <c r="V13" i="3"/>
  <c r="T13" i="3"/>
  <c r="R13" i="3"/>
  <c r="P13" i="3"/>
  <c r="N13" i="3"/>
  <c r="L13" i="3"/>
  <c r="J13" i="3"/>
  <c r="G13" i="3"/>
  <c r="H13" i="3" s="1"/>
  <c r="F13" i="3"/>
  <c r="X12" i="3"/>
  <c r="V12" i="3"/>
  <c r="T12" i="3"/>
  <c r="R12" i="3"/>
  <c r="P12" i="3"/>
  <c r="N12" i="3"/>
  <c r="L12" i="3"/>
  <c r="J12" i="3"/>
  <c r="G12" i="3"/>
  <c r="H12" i="3" s="1"/>
  <c r="F12" i="3"/>
  <c r="X11" i="3"/>
  <c r="V11" i="3"/>
  <c r="T11" i="3"/>
  <c r="R11" i="3"/>
  <c r="P11" i="3"/>
  <c r="N11" i="3"/>
  <c r="L11" i="3"/>
  <c r="J11" i="3"/>
  <c r="G11" i="3"/>
  <c r="H11" i="3" s="1"/>
  <c r="F11" i="3"/>
  <c r="B8" i="3"/>
  <c r="X39" i="2"/>
  <c r="V39" i="2"/>
  <c r="T39" i="2"/>
  <c r="R39" i="2"/>
  <c r="P39" i="2"/>
  <c r="N39" i="2"/>
  <c r="L39" i="2"/>
  <c r="J39" i="2"/>
  <c r="X38" i="2"/>
  <c r="V38" i="2"/>
  <c r="T38" i="2"/>
  <c r="R38" i="2"/>
  <c r="P38" i="2"/>
  <c r="N38" i="2"/>
  <c r="L38" i="2"/>
  <c r="J38" i="2"/>
  <c r="X37" i="2"/>
  <c r="V37" i="2"/>
  <c r="T37" i="2"/>
  <c r="R37" i="2"/>
  <c r="P37" i="2"/>
  <c r="N37" i="2"/>
  <c r="L37" i="2"/>
  <c r="J37" i="2"/>
  <c r="X36" i="2"/>
  <c r="V36" i="2"/>
  <c r="T36" i="2"/>
  <c r="R36" i="2"/>
  <c r="P36" i="2"/>
  <c r="N36" i="2"/>
  <c r="L36" i="2"/>
  <c r="J36" i="2"/>
  <c r="X35" i="2"/>
  <c r="V35" i="2"/>
  <c r="T35" i="2"/>
  <c r="R35" i="2"/>
  <c r="P35" i="2"/>
  <c r="N35" i="2"/>
  <c r="L35" i="2"/>
  <c r="J35" i="2"/>
  <c r="X34" i="2"/>
  <c r="V34" i="2"/>
  <c r="T34" i="2"/>
  <c r="R34" i="2"/>
  <c r="P34" i="2"/>
  <c r="N34" i="2"/>
  <c r="L34" i="2"/>
  <c r="J34" i="2"/>
  <c r="X33" i="2"/>
  <c r="V33" i="2"/>
  <c r="T33" i="2"/>
  <c r="R33" i="2"/>
  <c r="P33" i="2"/>
  <c r="N33" i="2"/>
  <c r="L33" i="2"/>
  <c r="J33" i="2"/>
  <c r="X32" i="2"/>
  <c r="V32" i="2"/>
  <c r="T32" i="2"/>
  <c r="R32" i="2"/>
  <c r="P32" i="2"/>
  <c r="N32" i="2"/>
  <c r="L32" i="2"/>
  <c r="J32" i="2"/>
  <c r="X31" i="2"/>
  <c r="V31" i="2"/>
  <c r="T31" i="2"/>
  <c r="R31" i="2"/>
  <c r="P31" i="2"/>
  <c r="N31" i="2"/>
  <c r="L31" i="2"/>
  <c r="J31" i="2"/>
  <c r="X30" i="2"/>
  <c r="V30" i="2"/>
  <c r="T30" i="2"/>
  <c r="R30" i="2"/>
  <c r="P30" i="2"/>
  <c r="N30" i="2"/>
  <c r="L30" i="2"/>
  <c r="J30" i="2"/>
  <c r="X29" i="2"/>
  <c r="V29" i="2"/>
  <c r="T29" i="2"/>
  <c r="R29" i="2"/>
  <c r="P29" i="2"/>
  <c r="N29" i="2"/>
  <c r="L29" i="2"/>
  <c r="J29" i="2"/>
  <c r="X28" i="2"/>
  <c r="V28" i="2"/>
  <c r="T28" i="2"/>
  <c r="R28" i="2"/>
  <c r="P28" i="2"/>
  <c r="N28" i="2"/>
  <c r="L28" i="2"/>
  <c r="J28" i="2"/>
  <c r="X27" i="2"/>
  <c r="V27" i="2"/>
  <c r="T27" i="2"/>
  <c r="R27" i="2"/>
  <c r="P27" i="2"/>
  <c r="N27" i="2"/>
  <c r="L27" i="2"/>
  <c r="J27" i="2"/>
  <c r="X26" i="2"/>
  <c r="V26" i="2"/>
  <c r="T26" i="2"/>
  <c r="R26" i="2"/>
  <c r="P26" i="2"/>
  <c r="N26" i="2"/>
  <c r="L26" i="2"/>
  <c r="J26" i="2"/>
  <c r="X25" i="2"/>
  <c r="V25" i="2"/>
  <c r="T25" i="2"/>
  <c r="R25" i="2"/>
  <c r="P25" i="2"/>
  <c r="N25" i="2"/>
  <c r="L25" i="2"/>
  <c r="J25" i="2"/>
  <c r="X24" i="2"/>
  <c r="V24" i="2"/>
  <c r="T24" i="2"/>
  <c r="R24" i="2"/>
  <c r="P24" i="2"/>
  <c r="N24" i="2"/>
  <c r="L24" i="2"/>
  <c r="J24" i="2"/>
  <c r="X23" i="2"/>
  <c r="V23" i="2"/>
  <c r="T23" i="2"/>
  <c r="R23" i="2"/>
  <c r="P23" i="2"/>
  <c r="N23" i="2"/>
  <c r="L23" i="2"/>
  <c r="J23" i="2"/>
  <c r="X22" i="2"/>
  <c r="V22" i="2"/>
  <c r="T22" i="2"/>
  <c r="R22" i="2"/>
  <c r="P22" i="2"/>
  <c r="N22" i="2"/>
  <c r="L22" i="2"/>
  <c r="J22" i="2"/>
  <c r="X21" i="2"/>
  <c r="V21" i="2"/>
  <c r="T21" i="2"/>
  <c r="R21" i="2"/>
  <c r="P21" i="2"/>
  <c r="N21" i="2"/>
  <c r="L21" i="2"/>
  <c r="J21" i="2"/>
  <c r="X20" i="2"/>
  <c r="V20" i="2"/>
  <c r="T20" i="2"/>
  <c r="R20" i="2"/>
  <c r="P20" i="2"/>
  <c r="N20" i="2"/>
  <c r="L20" i="2"/>
  <c r="J20" i="2"/>
  <c r="X19" i="2"/>
  <c r="V19" i="2"/>
  <c r="T19" i="2"/>
  <c r="R19" i="2"/>
  <c r="P19" i="2"/>
  <c r="N19" i="2"/>
  <c r="L19" i="2"/>
  <c r="J19" i="2"/>
  <c r="X18" i="2"/>
  <c r="V18" i="2"/>
  <c r="T18" i="2"/>
  <c r="R18" i="2"/>
  <c r="P18" i="2"/>
  <c r="N18" i="2"/>
  <c r="L18" i="2"/>
  <c r="J18" i="2"/>
  <c r="X17" i="2"/>
  <c r="V17" i="2"/>
  <c r="T17" i="2"/>
  <c r="R17" i="2"/>
  <c r="P17" i="2"/>
  <c r="N17" i="2"/>
  <c r="L17" i="2"/>
  <c r="J17" i="2"/>
  <c r="X16" i="2"/>
  <c r="V16" i="2"/>
  <c r="T16" i="2"/>
  <c r="R16" i="2"/>
  <c r="P16" i="2"/>
  <c r="N16" i="2"/>
  <c r="L16" i="2"/>
  <c r="J16" i="2"/>
  <c r="X15" i="2"/>
  <c r="V15" i="2"/>
  <c r="T15" i="2"/>
  <c r="R15" i="2"/>
  <c r="P15" i="2"/>
  <c r="N15" i="2"/>
  <c r="L15" i="2"/>
  <c r="J15" i="2"/>
  <c r="X14" i="2"/>
  <c r="V14" i="2"/>
  <c r="T14" i="2"/>
  <c r="R14" i="2"/>
  <c r="P14" i="2"/>
  <c r="N14" i="2"/>
  <c r="L14" i="2"/>
  <c r="J14" i="2"/>
  <c r="X13" i="2"/>
  <c r="V13" i="2"/>
  <c r="T13" i="2"/>
  <c r="R13" i="2"/>
  <c r="P13" i="2"/>
  <c r="N13" i="2"/>
  <c r="L13" i="2"/>
  <c r="J13" i="2"/>
  <c r="X12" i="2"/>
  <c r="V12" i="2"/>
  <c r="T12" i="2"/>
  <c r="R12" i="2"/>
  <c r="P12" i="2"/>
  <c r="L12" i="2"/>
  <c r="J12" i="2"/>
  <c r="X11" i="2"/>
  <c r="V11" i="2"/>
  <c r="T11" i="2"/>
  <c r="R11" i="2"/>
  <c r="P11" i="2"/>
  <c r="N11" i="2"/>
  <c r="L11" i="2"/>
  <c r="J11" i="2"/>
  <c r="F11" i="2"/>
  <c r="G11" i="2" s="1"/>
  <c r="H11" i="2" s="1"/>
  <c r="B8" i="2"/>
  <c r="G31" i="1"/>
  <c r="F31" i="1"/>
  <c r="E31" i="1"/>
  <c r="C31" i="1"/>
  <c r="G30" i="1"/>
  <c r="F30" i="1"/>
  <c r="E30" i="1"/>
  <c r="C30" i="1"/>
  <c r="G29" i="1"/>
  <c r="F29" i="1"/>
  <c r="E29" i="1"/>
  <c r="C29" i="1"/>
  <c r="G28" i="1"/>
  <c r="F28" i="1"/>
  <c r="E28" i="1"/>
  <c r="C28" i="1"/>
  <c r="G27" i="1"/>
  <c r="F27" i="1"/>
  <c r="E27" i="1"/>
  <c r="C27" i="1"/>
  <c r="G26" i="1"/>
  <c r="F26" i="1"/>
  <c r="E26" i="1"/>
  <c r="C26" i="1"/>
  <c r="E25" i="1"/>
  <c r="C25" i="1"/>
  <c r="G24" i="1"/>
  <c r="F24" i="1"/>
  <c r="E24" i="1"/>
  <c r="C24" i="1"/>
  <c r="E23" i="1"/>
  <c r="C23" i="1"/>
  <c r="F18" i="1"/>
  <c r="G18" i="1" s="1"/>
  <c r="E18" i="1"/>
  <c r="B18" i="1"/>
  <c r="F17" i="1"/>
  <c r="G17" i="1" s="1"/>
  <c r="E17" i="1"/>
  <c r="B17" i="1"/>
  <c r="F16" i="1"/>
  <c r="G16" i="1" s="1"/>
  <c r="E16" i="1"/>
  <c r="B16" i="1"/>
  <c r="F15" i="1"/>
  <c r="G15" i="1" s="1"/>
  <c r="E15" i="1"/>
  <c r="B15" i="1"/>
  <c r="F14" i="1"/>
  <c r="G14" i="1" s="1"/>
  <c r="E14" i="1"/>
  <c r="B14" i="1"/>
  <c r="F13" i="1"/>
  <c r="G13" i="1" s="1"/>
  <c r="E13" i="1"/>
  <c r="B13" i="1"/>
  <c r="F12" i="1"/>
  <c r="G12" i="1" s="1"/>
  <c r="E12" i="1"/>
  <c r="B12" i="1"/>
  <c r="F11" i="1"/>
  <c r="G11" i="1" s="1"/>
  <c r="E11" i="1"/>
  <c r="B11" i="1"/>
  <c r="F10" i="1"/>
  <c r="G10" i="1" s="1"/>
  <c r="E10" i="1"/>
  <c r="B10" i="1"/>
  <c r="F9" i="1"/>
  <c r="G9" i="1" s="1"/>
  <c r="E9" i="1"/>
  <c r="B9" i="1"/>
  <c r="F8" i="1"/>
  <c r="G8" i="1" s="1"/>
  <c r="E8" i="1"/>
  <c r="B8" i="1"/>
  <c r="F7" i="1"/>
  <c r="G7" i="1" s="1"/>
  <c r="E7" i="1"/>
  <c r="B7" i="1"/>
  <c r="F71" i="4" l="1"/>
  <c r="F70" i="4"/>
  <c r="F69" i="4"/>
  <c r="F65" i="4"/>
  <c r="G65" i="4" s="1"/>
  <c r="H65" i="4" s="1"/>
  <c r="F63" i="4"/>
  <c r="G63" i="4" s="1"/>
  <c r="H63" i="4" s="1"/>
  <c r="F61" i="4"/>
  <c r="G61" i="4" s="1"/>
  <c r="H61" i="4" s="1"/>
  <c r="F59" i="4"/>
  <c r="G59" i="4" s="1"/>
  <c r="H59" i="4" s="1"/>
  <c r="F56" i="4"/>
  <c r="G56" i="4" s="1"/>
  <c r="H56" i="4" s="1"/>
  <c r="F53" i="4"/>
  <c r="G53" i="4" s="1"/>
  <c r="H53" i="4" s="1"/>
  <c r="F51" i="4"/>
  <c r="G51" i="4" s="1"/>
  <c r="H51" i="4" s="1"/>
  <c r="F50" i="4"/>
  <c r="G50" i="4" s="1"/>
  <c r="H50" i="4" s="1"/>
  <c r="F47" i="4"/>
  <c r="G47" i="4" s="1"/>
  <c r="H47" i="4" s="1"/>
  <c r="F44" i="4"/>
  <c r="G44" i="4" s="1"/>
  <c r="H44" i="4" s="1"/>
  <c r="F42" i="4"/>
  <c r="G42" i="4" s="1"/>
  <c r="H42" i="4" s="1"/>
  <c r="F40" i="4"/>
  <c r="G40" i="4" s="1"/>
  <c r="H40" i="4" s="1"/>
  <c r="F38" i="4"/>
  <c r="G38" i="4" s="1"/>
  <c r="H38" i="4" s="1"/>
  <c r="F36" i="4"/>
  <c r="G36" i="4" s="1"/>
  <c r="H36" i="4" s="1"/>
  <c r="F35" i="4"/>
  <c r="G35" i="4" s="1"/>
  <c r="H35" i="4" s="1"/>
  <c r="F33" i="4"/>
  <c r="G33" i="4" s="1"/>
  <c r="H33" i="4" s="1"/>
  <c r="F31" i="4"/>
  <c r="G31" i="4" s="1"/>
  <c r="H31" i="4" s="1"/>
  <c r="F25" i="4"/>
  <c r="G25" i="4" s="1"/>
  <c r="H25" i="4" s="1"/>
  <c r="F23" i="4"/>
  <c r="G23" i="4" s="1"/>
  <c r="H23" i="4" s="1"/>
  <c r="F17" i="4"/>
  <c r="G17" i="4" s="1"/>
  <c r="H17" i="4" s="1"/>
  <c r="F13" i="4"/>
  <c r="G13" i="4" s="1"/>
  <c r="H13" i="4" s="1"/>
  <c r="G69" i="4"/>
  <c r="H69" i="4" s="1"/>
  <c r="F68" i="4"/>
  <c r="G68" i="4" s="1"/>
  <c r="H68" i="4" s="1"/>
  <c r="F67" i="4"/>
  <c r="G67" i="4" s="1"/>
  <c r="H67" i="4" s="1"/>
  <c r="F64" i="4"/>
  <c r="G64" i="4" s="1"/>
  <c r="H64" i="4" s="1"/>
  <c r="F62" i="4"/>
  <c r="G62" i="4" s="1"/>
  <c r="H62" i="4" s="1"/>
  <c r="F60" i="4"/>
  <c r="G60" i="4" s="1"/>
  <c r="H60" i="4" s="1"/>
  <c r="F58" i="4"/>
  <c r="G58" i="4" s="1"/>
  <c r="H58" i="4" s="1"/>
  <c r="F57" i="4"/>
  <c r="G57" i="4" s="1"/>
  <c r="H57" i="4" s="1"/>
  <c r="F55" i="4"/>
  <c r="G55" i="4" s="1"/>
  <c r="H55" i="4" s="1"/>
  <c r="F54" i="4"/>
  <c r="G54" i="4" s="1"/>
  <c r="H54" i="4" s="1"/>
  <c r="F52" i="4"/>
  <c r="G52" i="4" s="1"/>
  <c r="H52" i="4" s="1"/>
  <c r="F49" i="4"/>
  <c r="G49" i="4" s="1"/>
  <c r="H49" i="4" s="1"/>
  <c r="F48" i="4"/>
  <c r="G48" i="4" s="1"/>
  <c r="H48" i="4" s="1"/>
  <c r="F45" i="4"/>
  <c r="G45" i="4" s="1"/>
  <c r="H45" i="4" s="1"/>
  <c r="F43" i="4"/>
  <c r="G43" i="4" s="1"/>
  <c r="H43" i="4" s="1"/>
  <c r="F41" i="4"/>
  <c r="G41" i="4" s="1"/>
  <c r="H41" i="4" s="1"/>
  <c r="F39" i="4"/>
  <c r="G39" i="4" s="1"/>
  <c r="H39" i="4" s="1"/>
  <c r="F37" i="4"/>
  <c r="G37" i="4" s="1"/>
  <c r="H37" i="4" s="1"/>
  <c r="F32" i="4"/>
  <c r="G32" i="4" s="1"/>
  <c r="H32" i="4" s="1"/>
  <c r="F29" i="4"/>
  <c r="G29" i="4" s="1"/>
  <c r="H29" i="4" s="1"/>
  <c r="F27" i="4"/>
  <c r="G27" i="4" s="1"/>
  <c r="H27" i="4" s="1"/>
  <c r="F21" i="4"/>
  <c r="G21" i="4" s="1"/>
  <c r="H21" i="4" s="1"/>
  <c r="F19" i="4"/>
  <c r="G19" i="4" s="1"/>
  <c r="H19" i="4" s="1"/>
  <c r="F14" i="4"/>
  <c r="G14" i="4" s="1"/>
  <c r="H14" i="4" s="1"/>
  <c r="F25" i="1"/>
  <c r="F66" i="4"/>
  <c r="G66" i="4" s="1"/>
  <c r="H66" i="4" s="1"/>
  <c r="F30" i="4"/>
  <c r="G30" i="4" s="1"/>
  <c r="H30" i="4" s="1"/>
  <c r="F26" i="4"/>
  <c r="G26" i="4" s="1"/>
  <c r="H26" i="4" s="1"/>
  <c r="F22" i="4"/>
  <c r="G22" i="4" s="1"/>
  <c r="H22" i="4" s="1"/>
  <c r="F18" i="4"/>
  <c r="G18" i="4" s="1"/>
  <c r="H18" i="4" s="1"/>
  <c r="F15" i="4"/>
  <c r="G15" i="4" s="1"/>
  <c r="H15" i="4" s="1"/>
  <c r="F46" i="4"/>
  <c r="G46" i="4" s="1"/>
  <c r="H46" i="4" s="1"/>
  <c r="F34" i="4"/>
  <c r="G34" i="4" s="1"/>
  <c r="H34" i="4" s="1"/>
  <c r="F28" i="4"/>
  <c r="G28" i="4" s="1"/>
  <c r="H28" i="4" s="1"/>
  <c r="F24" i="4"/>
  <c r="G24" i="4" s="1"/>
  <c r="H24" i="4" s="1"/>
  <c r="F20" i="4"/>
  <c r="G20" i="4" s="1"/>
  <c r="H20" i="4" s="1"/>
  <c r="F16" i="4"/>
  <c r="G16" i="4" s="1"/>
  <c r="H16" i="4" s="1"/>
  <c r="G25" i="1"/>
  <c r="F88" i="4"/>
  <c r="G88" i="4" s="1"/>
  <c r="H88" i="4" s="1"/>
  <c r="F82" i="4"/>
  <c r="G82" i="4" s="1"/>
  <c r="H82" i="4" s="1"/>
  <c r="F79" i="4"/>
  <c r="F78" i="4"/>
  <c r="G78" i="4" s="1"/>
  <c r="H78" i="4" s="1"/>
  <c r="F91" i="4"/>
  <c r="G91" i="4" s="1"/>
  <c r="H91" i="4" s="1"/>
  <c r="F89" i="4"/>
  <c r="G89" i="4" s="1"/>
  <c r="H89" i="4" s="1"/>
  <c r="F87" i="4"/>
  <c r="G87" i="4" s="1"/>
  <c r="H87" i="4" s="1"/>
  <c r="F83" i="4"/>
  <c r="G83" i="4" s="1"/>
  <c r="H83" i="4" s="1"/>
  <c r="G79" i="4"/>
  <c r="H79" i="4" s="1"/>
  <c r="F76" i="4"/>
  <c r="G76" i="4" s="1"/>
  <c r="H76" i="4" s="1"/>
  <c r="F75" i="4"/>
  <c r="G75" i="4" s="1"/>
  <c r="H75" i="4" s="1"/>
  <c r="G70" i="4"/>
  <c r="H70" i="4" s="1"/>
  <c r="F73" i="4"/>
  <c r="G73" i="4" s="1"/>
  <c r="H73" i="4" s="1"/>
  <c r="G71" i="4"/>
  <c r="H71" i="4" s="1"/>
  <c r="F90" i="4"/>
  <c r="G90" i="4" s="1"/>
  <c r="H90" i="4" s="1"/>
  <c r="F85" i="4"/>
  <c r="G85" i="4" s="1"/>
  <c r="H85" i="4" s="1"/>
  <c r="F84" i="4"/>
  <c r="G84" i="4" s="1"/>
  <c r="H84" i="4" s="1"/>
  <c r="F81" i="4"/>
  <c r="G81" i="4" s="1"/>
  <c r="H81" i="4" s="1"/>
  <c r="F80" i="4"/>
  <c r="G80" i="4" s="1"/>
  <c r="H80" i="4" s="1"/>
  <c r="F77" i="4"/>
  <c r="G77" i="4" s="1"/>
  <c r="H77" i="4" s="1"/>
  <c r="F74" i="4"/>
  <c r="G74" i="4" s="1"/>
  <c r="H74" i="4" s="1"/>
  <c r="F72" i="4"/>
  <c r="G72" i="4" s="1"/>
  <c r="H72" i="4" s="1"/>
  <c r="F86" i="4"/>
  <c r="G86" i="4" s="1"/>
  <c r="H86" i="4" s="1"/>
  <c r="F22" i="2"/>
  <c r="G22" i="2" s="1"/>
  <c r="H22" i="2" s="1"/>
  <c r="F21" i="2"/>
  <c r="G21" i="2" s="1"/>
  <c r="H21" i="2" s="1"/>
  <c r="F16" i="2"/>
  <c r="G16" i="2" s="1"/>
  <c r="H16" i="2" s="1"/>
  <c r="F15" i="2"/>
  <c r="G15" i="2" s="1"/>
  <c r="H15" i="2" s="1"/>
  <c r="F24" i="2"/>
  <c r="G24" i="2" s="1"/>
  <c r="H24" i="2" s="1"/>
  <c r="F18" i="2"/>
  <c r="G18" i="2" s="1"/>
  <c r="H18" i="2" s="1"/>
  <c r="F14" i="2"/>
  <c r="G14" i="2" s="1"/>
  <c r="H14" i="2" s="1"/>
  <c r="F23" i="2"/>
  <c r="G23" i="2" s="1"/>
  <c r="H23" i="2" s="1"/>
  <c r="F20" i="2"/>
  <c r="G20" i="2" s="1"/>
  <c r="H20" i="2" s="1"/>
  <c r="F13" i="2"/>
  <c r="G13" i="2" s="1"/>
  <c r="H13" i="2" s="1"/>
  <c r="F23" i="1"/>
  <c r="F26" i="2"/>
  <c r="G26" i="2" s="1"/>
  <c r="H26" i="2" s="1"/>
  <c r="F17" i="2"/>
  <c r="G17" i="2" s="1"/>
  <c r="H17" i="2" s="1"/>
  <c r="F25" i="2"/>
  <c r="G25" i="2" s="1"/>
  <c r="H25" i="2" s="1"/>
  <c r="F19" i="2"/>
  <c r="G19" i="2" s="1"/>
  <c r="H19" i="2" s="1"/>
  <c r="F12" i="2"/>
  <c r="G12" i="2" s="1"/>
  <c r="H12" i="2" s="1"/>
  <c r="G23" i="1" s="1"/>
  <c r="F34" i="2"/>
  <c r="G34" i="2" s="1"/>
  <c r="H34" i="2" s="1"/>
  <c r="F32" i="2"/>
  <c r="G32" i="2" s="1"/>
  <c r="H32" i="2" s="1"/>
  <c r="F39" i="2"/>
  <c r="G39" i="2" s="1"/>
  <c r="H39" i="2" s="1"/>
  <c r="F35" i="2"/>
  <c r="G35" i="2" s="1"/>
  <c r="H35" i="2" s="1"/>
  <c r="F33" i="2"/>
  <c r="F31" i="2"/>
  <c r="G31" i="2" s="1"/>
  <c r="H31" i="2" s="1"/>
  <c r="F36" i="2"/>
  <c r="G36" i="2" s="1"/>
  <c r="H36" i="2" s="1"/>
  <c r="F30" i="2"/>
  <c r="G30" i="2" s="1"/>
  <c r="H30" i="2" s="1"/>
  <c r="F28" i="2"/>
  <c r="G28" i="2" s="1"/>
  <c r="H28" i="2" s="1"/>
  <c r="F38" i="2"/>
  <c r="G38" i="2" s="1"/>
  <c r="H38" i="2" s="1"/>
  <c r="F37" i="2"/>
  <c r="G37" i="2" s="1"/>
  <c r="H37" i="2" s="1"/>
  <c r="G33" i="2"/>
  <c r="H33" i="2" s="1"/>
  <c r="F29" i="2"/>
  <c r="G29" i="2" s="1"/>
  <c r="H29" i="2" s="1"/>
  <c r="F27" i="2"/>
  <c r="G27" i="2" s="1"/>
  <c r="H27" i="2" s="1"/>
  <c r="C27" i="8"/>
  <c r="C29" i="8"/>
  <c r="C28" i="8"/>
  <c r="C18" i="8"/>
  <c r="C22" i="8"/>
  <c r="C20" i="8"/>
  <c r="C23" i="8"/>
  <c r="C19" i="8"/>
  <c r="C24" i="8"/>
  <c r="C25" i="8"/>
  <c r="C17" i="8"/>
  <c r="C26" i="8"/>
  <c r="C16" i="8"/>
  <c r="C21" i="8"/>
  <c r="C15" i="8"/>
  <c r="C14" i="8"/>
  <c r="C13" i="8"/>
  <c r="C12" i="8"/>
  <c r="C11" i="8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11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36" i="4"/>
  <c r="C35" i="4"/>
  <c r="C34" i="4"/>
  <c r="C33" i="4"/>
  <c r="C32" i="4"/>
  <c r="C31" i="4"/>
  <c r="C30" i="4"/>
  <c r="C29" i="4"/>
  <c r="C28" i="4"/>
  <c r="C27" i="4"/>
  <c r="C17" i="4"/>
  <c r="C16" i="4"/>
  <c r="C15" i="4"/>
  <c r="C14" i="4"/>
  <c r="C13" i="4"/>
  <c r="C11" i="4"/>
  <c r="C12" i="4"/>
  <c r="C19" i="4"/>
  <c r="C20" i="4"/>
  <c r="C21" i="4"/>
  <c r="C18" i="4"/>
  <c r="C22" i="4"/>
  <c r="C23" i="4"/>
  <c r="C24" i="4"/>
  <c r="C25" i="4"/>
  <c r="C26" i="4"/>
  <c r="C37" i="4"/>
  <c r="C11" i="3"/>
  <c r="C16" i="3"/>
  <c r="C19" i="3"/>
  <c r="C15" i="3"/>
  <c r="C20" i="3"/>
  <c r="C14" i="3"/>
  <c r="C13" i="3"/>
  <c r="C12" i="3"/>
  <c r="C17" i="3"/>
  <c r="C18" i="3"/>
  <c r="C39" i="2"/>
  <c r="C38" i="2"/>
  <c r="C37" i="2"/>
  <c r="C35" i="2"/>
  <c r="C16" i="2"/>
  <c r="C34" i="2"/>
  <c r="C33" i="2"/>
  <c r="C32" i="2"/>
  <c r="C23" i="2"/>
  <c r="C21" i="2"/>
  <c r="C24" i="2"/>
  <c r="C13" i="2"/>
  <c r="C25" i="2"/>
  <c r="C19" i="2"/>
  <c r="C26" i="2"/>
  <c r="C27" i="2"/>
  <c r="C17" i="2"/>
  <c r="C22" i="2"/>
  <c r="C36" i="2"/>
  <c r="C15" i="2"/>
  <c r="C20" i="2"/>
  <c r="C14" i="2"/>
  <c r="C12" i="2"/>
  <c r="C18" i="2"/>
  <c r="C11" i="2"/>
  <c r="C31" i="2"/>
  <c r="C28" i="2"/>
  <c r="C29" i="2"/>
  <c r="C30" i="2"/>
  <c r="D14" i="1"/>
  <c r="D7" i="1"/>
  <c r="D17" i="1"/>
  <c r="D18" i="1"/>
  <c r="D9" i="1"/>
  <c r="D12" i="1"/>
  <c r="D16" i="1"/>
  <c r="D11" i="1"/>
  <c r="D15" i="1"/>
  <c r="D10" i="1"/>
  <c r="D8" i="1"/>
  <c r="D13" i="1"/>
  <c r="E11" i="8" l="1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41" i="4"/>
  <c r="E60" i="4"/>
  <c r="E66" i="4"/>
  <c r="E74" i="4"/>
  <c r="E80" i="4"/>
  <c r="E84" i="4"/>
  <c r="E87" i="4"/>
  <c r="E88" i="4"/>
  <c r="E43" i="4"/>
  <c r="E51" i="4"/>
  <c r="E53" i="4"/>
  <c r="E68" i="4"/>
  <c r="E71" i="4"/>
  <c r="E76" i="4"/>
  <c r="E86" i="4"/>
  <c r="E38" i="4"/>
  <c r="E40" i="4"/>
  <c r="E54" i="4"/>
  <c r="E57" i="4"/>
  <c r="E58" i="4"/>
  <c r="E62" i="4"/>
  <c r="E63" i="4"/>
  <c r="E64" i="4"/>
  <c r="E69" i="4"/>
  <c r="E79" i="4"/>
  <c r="E81" i="4"/>
  <c r="E82" i="4"/>
  <c r="E83" i="4"/>
  <c r="E90" i="4"/>
  <c r="E39" i="4"/>
  <c r="E44" i="4"/>
  <c r="E49" i="4"/>
  <c r="E65" i="4"/>
  <c r="E73" i="4"/>
  <c r="E45" i="4"/>
  <c r="E47" i="4"/>
  <c r="E50" i="4"/>
  <c r="E56" i="4"/>
  <c r="E59" i="4"/>
  <c r="E67" i="4"/>
  <c r="E72" i="4"/>
  <c r="E75" i="4"/>
  <c r="E77" i="4"/>
  <c r="E78" i="4"/>
  <c r="E85" i="4"/>
  <c r="E89" i="4"/>
  <c r="E42" i="4"/>
  <c r="E46" i="4"/>
  <c r="E48" i="4"/>
  <c r="E52" i="4"/>
  <c r="E55" i="4"/>
  <c r="E61" i="4"/>
  <c r="E70" i="4"/>
  <c r="E91" i="4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</calcChain>
</file>

<file path=xl/sharedStrings.xml><?xml version="1.0" encoding="utf-8"?>
<sst xmlns="http://schemas.openxmlformats.org/spreadsheetml/2006/main" count="505" uniqueCount="167">
  <si>
    <t>Tablero 4DX — GBM Nicaragua</t>
  </si>
  <si>
    <t>WIG de la compañía: Generar $1,000,000 de utilidad neta después de impuestos (NAT) en el 2027</t>
  </si>
  <si>
    <t>Meta anual NAT:</t>
  </si>
  <si>
    <t>Mes</t>
  </si>
  <si>
    <t>Meta mensual</t>
  </si>
  <si>
    <t>NAT real</t>
  </si>
  <si>
    <t>Meta acum.</t>
  </si>
  <si>
    <t>Real acum.</t>
  </si>
  <si>
    <t>% avance</t>
  </si>
  <si>
    <t>Estado</t>
  </si>
  <si>
    <t>WIGs de soporte — estado al último dato ingresado</t>
  </si>
  <si>
    <t>#</t>
  </si>
  <si>
    <t>WIG de soporte</t>
  </si>
  <si>
    <t>Dueño</t>
  </si>
  <si>
    <t>Equipo</t>
  </si>
  <si>
    <t>Meta</t>
  </si>
  <si>
    <t>Último real</t>
  </si>
  <si>
    <t>Ir a pestaña</t>
  </si>
  <si>
    <t>Incrementar el Parque de Smart User en 500 equipos en el 2026</t>
  </si>
  <si>
    <t>Pre-Sales, Del - DEX</t>
  </si>
  <si>
    <t>1. Smart User 500</t>
  </si>
  <si>
    <t>Lograr un Monthly Value de $X en advisory en el primer trimestre de 2027</t>
  </si>
  <si>
    <t>Ventas, Customer Success, Pre-Sales, Del - TSS</t>
  </si>
  <si>
    <t>2. MV Advisory</t>
  </si>
  <si>
    <t>Reconocer 10 negocios mayores a $30K de GP en el 2027</t>
  </si>
  <si>
    <t>Ventas, Pre-Sales</t>
  </si>
  <si>
    <t>3. Negocios +30K GP</t>
  </si>
  <si>
    <t>Cumplir el 100% de entregas y colocaciones en tiempo y forma</t>
  </si>
  <si>
    <t>Finanzas</t>
  </si>
  <si>
    <t>4. Entregas 100%</t>
  </si>
  <si>
    <t>Incrementar el MV de servicios basados en el DC GBM San Marcos en $20,000</t>
  </si>
  <si>
    <t>Pre-Sales, Del - DC</t>
  </si>
  <si>
    <t>5. MV Datacenter</t>
  </si>
  <si>
    <t>Tener cero contratos expired en al menos 16 de los próximos 18 meses</t>
  </si>
  <si>
    <t>Customer Success, Del - DEX, Del - TSS, Del - DC</t>
  </si>
  <si>
    <t>6. Cero Expired</t>
  </si>
  <si>
    <t>Incrementar el MV de Digital Solutions en $30K/mes al 1ro de mayo 2027</t>
  </si>
  <si>
    <t>Ventas, Del - DS</t>
  </si>
  <si>
    <t>7. MV Digital Sol</t>
  </si>
  <si>
    <t>Lograr un GP consolidado de 16% en el 2027</t>
  </si>
  <si>
    <t>Finanzas (todas las áreas aportan)</t>
  </si>
  <si>
    <t>8. GP 16%</t>
  </si>
  <si>
    <t>Incrementar el CSAT de X a Y, sosteniéndolo 4 meses consecutivos</t>
  </si>
  <si>
    <t>Customer Success (todas las áreas de entrega aportan)</t>
  </si>
  <si>
    <t>9. CSAT</t>
  </si>
  <si>
    <t>WIG 1 — Incrementar el Parque de Smart User en 500 equipos en el 2026</t>
  </si>
  <si>
    <t>Indicador lag:</t>
  </si>
  <si>
    <t>Equipos Smart User colocados (acumulado). 500 equipos a $40/mes = $6.4K MRR adicional en GP.</t>
  </si>
  <si>
    <t>De X a Y:</t>
  </si>
  <si>
    <t>De 0 a 500 equipos colocados, antes del 31 de diciembre de 2026.</t>
  </si>
  <si>
    <t>Dueño:</t>
  </si>
  <si>
    <t>Por asignar</t>
  </si>
  <si>
    <t>Equipo:</t>
  </si>
  <si>
    <t>Meta:</t>
  </si>
  <si>
    <t>Inicio:</t>
  </si>
  <si>
    <t>Fin:</t>
  </si>
  <si>
    <t>Leads:</t>
  </si>
  <si>
    <t>Hasta 8 indicadores predictivos a la derecha. L1–L2 = apuesta principal del equipo; L3–L8 = indicadores de apoyo. Nombre (fila 8) y meta semanal (fila 9) editables en azul.</t>
  </si>
  <si>
    <t>Periodos:</t>
  </si>
  <si>
    <t>Lead →</t>
  </si>
  <si>
    <t>L1. Compromisos de asignación firmados (equipos)</t>
  </si>
  <si>
    <t>L2. Demos / POCs activos (Promerica, Disnorte, otros)</t>
  </si>
  <si>
    <t>L3. Presentaciones de oferta Smart User realizadas</t>
  </si>
  <si>
    <t>L4. Equipos cotizados en la semana</t>
  </si>
  <si>
    <t>L5. Equipos en bodega listos para colocar</t>
  </si>
  <si>
    <t>L6. Clientes nuevos contactados con la oferta</t>
  </si>
  <si>
    <t>L7. % equipos colocados en ≤2 semanas tras firma</t>
  </si>
  <si>
    <t>(Disponible)</t>
  </si>
  <si>
    <t>Celdas azules = se digitan cada lunes. Celdas negras = fórmulas, no tocar.</t>
  </si>
  <si>
    <t>Meta →</t>
  </si>
  <si>
    <t>Semana</t>
  </si>
  <si>
    <t>Meta semana</t>
  </si>
  <si>
    <t>Real</t>
  </si>
  <si>
    <t>%</t>
  </si>
  <si>
    <t>WIG 2 — Lograr un Monthly Value de $X en advisory en el primer trimestre de 2027</t>
  </si>
  <si>
    <t>MV de horas advisory de ingenieros locales vendidas (USD acumulado). Costo fijo ya cubierto = mayor utilidad.</t>
  </si>
  <si>
    <t>De $0 a la meta de MV advisory, antes del 31 de marzo de 2027. (Definir $X en la celda Meta)</t>
  </si>
  <si>
    <t>L1. Propuestas de advisory presentadas</t>
  </si>
  <si>
    <t>L2. Horas advisory cotizadas</t>
  </si>
  <si>
    <t>L3. Reuniones de venta consultiva con clientes</t>
  </si>
  <si>
    <t>L4. Assessments / health checks ofrecidos</t>
  </si>
  <si>
    <t>L5. % utilización de ingenieros locales en advisory</t>
  </si>
  <si>
    <t>L6. Opps de advisory activas en pipeline</t>
  </si>
  <si>
    <t>L7. Contratos advisory firmados en la semana</t>
  </si>
  <si>
    <t>WIG 3 — Reconocer 10 negocios mayores a $30K de GP en el 2027</t>
  </si>
  <si>
    <t>Negocios con GP &gt; $30K reconocidos (acumulado). Negocios grandes que mueven el NAT.</t>
  </si>
  <si>
    <t>De 0 a 10 negocios &gt; $30K GP reconocidos, antes del 31 de diciembre de 2027.</t>
  </si>
  <si>
    <t>L1. Opps &gt; $30K GP activas en pipeline</t>
  </si>
  <si>
    <t>L2. Opps nuevas ingresadas en la semana</t>
  </si>
  <si>
    <t>L3. Propuestas &gt; $30K presentadas</t>
  </si>
  <si>
    <t>L4. Reuniones C-level realizadas</t>
  </si>
  <si>
    <t>L5. Leads activas al cierre de la semana</t>
  </si>
  <si>
    <t>L6. Opps &gt; $30K avanzadas de etapa</t>
  </si>
  <si>
    <t>L7. Win rate de opps &gt; $30K (acumulado)</t>
  </si>
  <si>
    <t>WIG 4 — Cumplir el 100% de entregas y colocaciones en tiempo y forma</t>
  </si>
  <si>
    <t>% de colocaciones y entregas de la semana realizadas en tiempo y forma.</t>
  </si>
  <si>
    <t>Sostener 100% de cumplimiento semanal durante todo el periodo.</t>
  </si>
  <si>
    <t>L1. % entregas programadas con checklist completo</t>
  </si>
  <si>
    <t>L2. Riesgos de entrega escalados ≥1 semana antes</t>
  </si>
  <si>
    <t>L3. % órdenes de compra liberadas a tiempo</t>
  </si>
  <si>
    <t>L4. % inventario confirmado ≥5 días antes</t>
  </si>
  <si>
    <t>L5. Coordinaciones logísticas confirmadas</t>
  </si>
  <si>
    <t>L6. % facturas emitidas ≤48h tras la entrega</t>
  </si>
  <si>
    <t>Brecha vs meta</t>
  </si>
  <si>
    <t>WIG 5 — Incrementar el MV de servicios basados en el DC GBM San Marcos en $20,000</t>
  </si>
  <si>
    <t>MV nuevo firmado de servicios basados desde el datacenter (USD acumulado).</t>
  </si>
  <si>
    <t>De $0 a +$20,000 de MV incremental, antes del 31 de diciembre de 2027.</t>
  </si>
  <si>
    <t>L1. Propuestas de servicios DC presentadas</t>
  </si>
  <si>
    <t>L2. Workloads nuevos aprovisionados / migrados</t>
  </si>
  <si>
    <t>L3. Assessments de migración realizados</t>
  </si>
  <si>
    <t>L4. Opps DC activas en pipeline</t>
  </si>
  <si>
    <t>L5. Clientes contactados con oferta DC</t>
  </si>
  <si>
    <t>L6. % capacidad DC documentada y actualizada</t>
  </si>
  <si>
    <t>WIG 6 — Tener cero contratos expired en al menos 16 de los próximos 18 meses</t>
  </si>
  <si>
    <t>Contratos en estado Expired / On-Hold al cierre de la semana (meta: 0).</t>
  </si>
  <si>
    <t>De N a 0 contratos expired, sosteniéndolo en 16 de los próximos 18 meses (jun 2026 – dic 2027).</t>
  </si>
  <si>
    <t>L1. % contratos por vencer en 90 días con plan</t>
  </si>
  <si>
    <t>L2. Renovaciones cerradas a tiempo en la semana</t>
  </si>
  <si>
    <t>L3. Cotizaciones de renovación enviadas ≥60 días antes</t>
  </si>
  <si>
    <t>L4. QBRs con clientes en riesgo de no renovar</t>
  </si>
  <si>
    <t>L5. % contratos on-hold con plan de reactivación</t>
  </si>
  <si>
    <t>L6. Forecast de renovaciones actualizado (1 = sí)</t>
  </si>
  <si>
    <t>WIG 7 — Incrementar el MV de Digital Solutions en $30K/mes al 1ro de mayo 2027</t>
  </si>
  <si>
    <t>MV incremental firmado de servicios Digital Solutions (SOC y Célula), USD acumulado.</t>
  </si>
  <si>
    <t>De $0 a +$30,000 de MV mensual, antes del 1 de mayo de 2027.</t>
  </si>
  <si>
    <t>L1. Opps SOC / Célula activas en pipeline</t>
  </si>
  <si>
    <t>L2. Propuestas DS presentadas</t>
  </si>
  <si>
    <t>L3. Demos / PoV de SOC ejecutados</t>
  </si>
  <si>
    <t>L4. Workshops de células de desarrollo</t>
  </si>
  <si>
    <t>L5. Casos de éxito / referencias compartidas</t>
  </si>
  <si>
    <t>L6. Opps DS avanzadas de etapa</t>
  </si>
  <si>
    <t>WIG 8 — Lograr un GP consolidado de 16% en el 2027</t>
  </si>
  <si>
    <t>GP consolidado del mes (%).</t>
  </si>
  <si>
    <t>De GP actual a 16% consolidado sostenido en 2027.</t>
  </si>
  <si>
    <t>Hasta 8 indicadores predictivos a la derecha. L1–L2 = apuesta principal del equipo; L3–L8 = indicadores de apoyo. Nombre (fila 8) y meta mensual (fila 9) editables en azul.</t>
  </si>
  <si>
    <t>L1. % distribuciones del mes vs plan de baja distribución</t>
  </si>
  <si>
    <t>L2. % reservas (inventario + ITA + IR) bajo el tope del plan</t>
  </si>
  <si>
    <t>L3. % negocios cotizados con GP ≥ margen mínimo</t>
  </si>
  <si>
    <t>L4. Acciones de recuperación de margen ejecutadas</t>
  </si>
  <si>
    <t>L5. Revisiones de pricing realizadas en el mes</t>
  </si>
  <si>
    <t>L6. % proyectos con revisión de rentabilidad mensual</t>
  </si>
  <si>
    <t>WIG 9 — Incrementar el CSAT de X a Y, sosteniéndolo 4 meses consecutivos</t>
  </si>
  <si>
    <t>CSAT del mes (puntaje de encuestas de satisfacción).</t>
  </si>
  <si>
    <t>De X a Y, con 4 meses consecutivos en la meta. (Definir X y Y en la celda Meta)</t>
  </si>
  <si>
    <t>L1. % encuestas CSAT enviadas y respondidas</t>
  </si>
  <si>
    <t>L2. QBRs / touchpoints de CS ejecutados</t>
  </si>
  <si>
    <t>L3. % detractores con plan de acción en ≤5 días</t>
  </si>
  <si>
    <t>L4. % casos críticos resueltos dentro del SLA</t>
  </si>
  <si>
    <t>L5. Llamadas proactivas de CSM en el mes</t>
  </si>
  <si>
    <t>L6. Promotores contactados para referencia</t>
  </si>
  <si>
    <t>Cómo usar este tablero 4DX</t>
  </si>
  <si>
    <t>RITUAL DEL LUNES (antes de la reunión de WIG):</t>
  </si>
  <si>
    <t>1. Cada dueño de WIG abre su pestaña y digita en las celdas AZULES de la semana: el resultado real del lag (columna "Real") y el real de cada lead measure (columnas "Real" bajo cada lead, a la derecha).</t>
  </si>
  <si>
    <t>2. Finanzas digita el NAT del mes en el Dashboard (columna "NAT real") cuando cierre el mes.</t>
  </si>
  <si>
    <t>3. El Dashboard se actualiza solo, y el marcador del televisor se refresca arrastrando este archivo a la pantalla.</t>
  </si>
  <si>
    <t>4. Suban el archivo actualizado a Claude cada lunes y pidan el marcador semanal para la reunión de cadencia.</t>
  </si>
  <si>
    <t>LEAD MEASURES (hasta 8 por WIG):</t>
  </si>
  <si>
    <t>• Cada WIG tiene hasta 8 indicadores predictivos en columnas a la derecha: el nombre (fila 8) y la meta semanal/mensual (fila 9) son editables en azul.</t>
  </si>
  <si>
    <t>• Los leads L1 y L2 son la apuesta principal: ahí el equipo rinde cuentas con compromisos semanales. L3–L8 son indicadores de apoyo que explican el resultado.</t>
  </si>
  <si>
    <t>• El % de cada lead se calcula automáticamente contra su meta. Dejar la meta vacía desactiva el lead ("(Disponible)").</t>
  </si>
  <si>
    <t>• Definan todos los leads en positivo (más = mejor) para que el % se lea igual en todos.</t>
  </si>
  <si>
    <t>CÓDIGO DE COLORES:</t>
  </si>
  <si>
    <t>• Texto AZUL = celdas de entrada. Texto NEGRO = fórmulas (no tocar). Texto VERDE = vínculos entre pestañas.</t>
  </si>
  <si>
    <t>• Fondo AMARILLO = supuestos pendientes de definir (dueños, metas "X" de los WIGs 2 y 9).</t>
  </si>
  <si>
    <t>• Estado: En meta ≥ 95% del plan · Riesgo 80–95% · Atrasado &lt; 80%.</t>
  </si>
  <si>
    <t>PRINCIPIO 4DX:</t>
  </si>
  <si>
    <t>Las lead measures son predictivas e influenciables por el equipo; el lag solo se mueve si las leads se cumplen. En la cadencia semanal cada quien rinde cuentas de sus compromisos sobre las leads, no sobre el 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</si>
</sst>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0.0"/>
    <numFmt numFmtId="167" formatCode="dd\-mmm\-yy"/>
  </numFmts>
  <fonts count="16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1F3864"/>
      <name val="Arial"/>
      <charset val="1"/>
    </font>
    <font>
      <sz val="10"/>
      <color rgb="FF008000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4"/>
      <color rgb="FF1F3864"/>
      <name val="Arial"/>
      <charset val="1"/>
    </font>
    <font>
      <sz val="9"/>
      <color rgb="FF0000FF"/>
      <name val="Arial"/>
      <charset val="1"/>
    </font>
    <font>
      <i/>
      <sz val="9"/>
      <color rgb="FF808080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496"/>
        <b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165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164" fontId="4" fillId="2" borderId="0" xfId="0" applyNumberFormat="1" applyFont="1" applyFill="1"/>
    <xf numFmtId="0" fontId="5" fillId="3" borderId="1" xfId="0" applyFont="1" applyFill="1" applyBorder="1" applyAlignment="1">
      <alignment horizontal="center" vertical="center"/>
    </xf>
    <xf numFmtId="17" fontId="6" fillId="0" borderId="1" xfId="0" applyNumberFormat="1" applyFont="1" applyBorder="1"/>
    <xf numFmtId="164" fontId="0" fillId="0" borderId="1" xfId="0" applyNumberFormat="1" applyBorder="1"/>
    <xf numFmtId="164" fontId="4" fillId="0" borderId="1" xfId="0" applyNumberFormat="1" applyFont="1" applyBorder="1"/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6" fillId="4" borderId="1" xfId="0" applyNumberFormat="1" applyFont="1" applyFill="1" applyBorder="1"/>
    <xf numFmtId="164" fontId="0" fillId="4" borderId="1" xfId="0" applyNumberFormat="1" applyFill="1" applyBorder="1"/>
    <xf numFmtId="165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vertical="top" wrapText="1"/>
    </xf>
    <xf numFmtId="0" fontId="8" fillId="0" borderId="1" xfId="0" applyFont="1" applyBorder="1"/>
    <xf numFmtId="0" fontId="9" fillId="0" borderId="1" xfId="0" applyFont="1" applyBorder="1" applyAlignment="1">
      <alignment vertical="top" wrapText="1"/>
    </xf>
    <xf numFmtId="3" fontId="8" fillId="0" borderId="1" xfId="0" applyNumberFormat="1" applyFont="1" applyBorder="1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vertical="top" wrapText="1"/>
    </xf>
    <xf numFmtId="0" fontId="8" fillId="4" borderId="1" xfId="0" applyFont="1" applyFill="1" applyBorder="1"/>
    <xf numFmtId="0" fontId="9" fillId="4" borderId="1" xfId="0" applyFont="1" applyFill="1" applyBorder="1" applyAlignment="1">
      <alignment vertical="top" wrapText="1"/>
    </xf>
    <xf numFmtId="164" fontId="8" fillId="4" borderId="1" xfId="0" applyNumberFormat="1" applyFont="1" applyFill="1" applyBorder="1"/>
    <xf numFmtId="0" fontId="8" fillId="4" borderId="1" xfId="0" applyFont="1" applyFill="1" applyBorder="1" applyAlignment="1">
      <alignment horizontal="center" vertical="center"/>
    </xf>
    <xf numFmtId="0" fontId="10" fillId="4" borderId="1" xfId="0" applyFont="1" applyFill="1" applyBorder="1"/>
    <xf numFmtId="165" fontId="8" fillId="4" borderId="1" xfId="0" applyNumberFormat="1" applyFont="1" applyFill="1" applyBorder="1"/>
    <xf numFmtId="164" fontId="8" fillId="0" borderId="1" xfId="0" applyNumberFormat="1" applyFont="1" applyBorder="1"/>
    <xf numFmtId="3" fontId="8" fillId="4" borderId="1" xfId="0" applyNumberFormat="1" applyFont="1" applyFill="1" applyBorder="1"/>
    <xf numFmtId="166" fontId="8" fillId="0" borderId="1" xfId="0" applyNumberFormat="1" applyFont="1" applyBorder="1"/>
    <xf numFmtId="0" fontId="9" fillId="0" borderId="0" xfId="0" applyFont="1"/>
    <xf numFmtId="0" fontId="4" fillId="2" borderId="0" xfId="0" applyFont="1" applyFill="1"/>
    <xf numFmtId="3" fontId="4" fillId="0" borderId="0" xfId="0" applyNumberFormat="1" applyFont="1"/>
    <xf numFmtId="167" fontId="4" fillId="0" borderId="0" xfId="0" applyNumberFormat="1" applyFont="1"/>
    <xf numFmtId="0" fontId="6" fillId="0" borderId="0" xfId="0" applyFont="1"/>
    <xf numFmtId="0" fontId="3" fillId="0" borderId="0" xfId="0" applyFont="1" applyAlignment="1">
      <alignment horizontal="right" vertical="center"/>
    </xf>
    <xf numFmtId="0" fontId="13" fillId="0" borderId="0" xfId="0" applyFont="1"/>
    <xf numFmtId="0" fontId="14" fillId="5" borderId="1" xfId="0" applyFont="1" applyFill="1" applyBorder="1" applyAlignment="1">
      <alignment horizontal="center" vertical="center"/>
    </xf>
    <xf numFmtId="167" fontId="6" fillId="0" borderId="1" xfId="0" applyNumberFormat="1" applyFont="1" applyBorder="1"/>
    <xf numFmtId="3" fontId="6" fillId="0" borderId="1" xfId="0" applyNumberFormat="1" applyFont="1" applyBorder="1"/>
    <xf numFmtId="0" fontId="4" fillId="0" borderId="1" xfId="0" applyFont="1" applyBorder="1"/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7" fontId="6" fillId="4" borderId="1" xfId="0" applyNumberFormat="1" applyFont="1" applyFill="1" applyBorder="1"/>
    <xf numFmtId="3" fontId="6" fillId="4" borderId="1" xfId="0" applyNumberFormat="1" applyFont="1" applyFill="1" applyBorder="1"/>
    <xf numFmtId="165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15" fillId="4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/>
    <xf numFmtId="164" fontId="6" fillId="4" borderId="1" xfId="0" applyNumberFormat="1" applyFont="1" applyFill="1" applyBorder="1"/>
    <xf numFmtId="165" fontId="4" fillId="0" borderId="0" xfId="0" applyNumberFormat="1" applyFont="1"/>
    <xf numFmtId="165" fontId="6" fillId="0" borderId="1" xfId="0" applyNumberFormat="1" applyFont="1" applyBorder="1"/>
    <xf numFmtId="165" fontId="6" fillId="4" borderId="1" xfId="0" applyNumberFormat="1" applyFont="1" applyFill="1" applyBorder="1"/>
    <xf numFmtId="164" fontId="4" fillId="0" borderId="0" xfId="0" applyNumberFormat="1" applyFont="1"/>
    <xf numFmtId="3" fontId="6" fillId="0" borderId="1" xfId="0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/>
    <xf numFmtId="166" fontId="6" fillId="0" borderId="1" xfId="0" applyNumberFormat="1" applyFont="1" applyBorder="1"/>
    <xf numFmtId="166" fontId="6" fillId="0" borderId="1" xfId="0" applyNumberFormat="1" applyFont="1" applyBorder="1" applyAlignment="1">
      <alignment horizontal="center" vertical="center"/>
    </xf>
    <xf numFmtId="166" fontId="6" fillId="4" borderId="1" xfId="0" applyNumberFormat="1" applyFont="1" applyFill="1" applyBorder="1"/>
    <xf numFmtId="166" fontId="6" fillId="4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3" fontId="4" fillId="0" borderId="1" xfId="0" applyNumberFormat="1" applyFont="1" applyBorder="1"/>
  </cellXfs>
  <cellStyles count="1">
    <cellStyle name="Normal" xfId="0" builtinId="0"/>
  </cellStyles>
  <dxfs count="33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A6A6A6"/>
      <rgbColor rgb="FF993366"/>
      <rgbColor rgb="FFF2F2F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61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NAT 2027 — Meta vs Real (acumulado)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Dashboard!$D$6</c:f>
              <c:strCache>
                <c:ptCount val="1"/>
                <c:pt idx="0">
                  <c:v>Meta acum.</c:v>
                </c:pt>
              </c:strCache>
            </c:strRef>
          </c:tx>
          <c:spPr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Dashboard!$A$7:$A$18</c:f>
              <c:numCache>
                <c:formatCode>mmm\-yy</c:formatCode>
                <c:ptCount val="12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</c:numCache>
            </c:numRef>
          </c:cat>
          <c:val>
            <c:numRef>
              <c:f>Dashboard!$D$7:$D$18</c:f>
              <c:numCache>
                <c:formatCode>\$#,##0</c:formatCode>
                <c:ptCount val="12"/>
                <c:pt idx="0">
                  <c:v>83333.333333333328</c:v>
                </c:pt>
                <c:pt idx="1">
                  <c:v>166666.66666666666</c:v>
                </c:pt>
                <c:pt idx="2">
                  <c:v>250000</c:v>
                </c:pt>
                <c:pt idx="3">
                  <c:v>333333.33333333331</c:v>
                </c:pt>
                <c:pt idx="4">
                  <c:v>416666.66666666663</c:v>
                </c:pt>
                <c:pt idx="5">
                  <c:v>499999.99999999994</c:v>
                </c:pt>
                <c:pt idx="6">
                  <c:v>583333.33333333326</c:v>
                </c:pt>
                <c:pt idx="7">
                  <c:v>666666.66666666663</c:v>
                </c:pt>
                <c:pt idx="8">
                  <c:v>750000</c:v>
                </c:pt>
                <c:pt idx="9">
                  <c:v>833333.33333333337</c:v>
                </c:pt>
                <c:pt idx="10">
                  <c:v>916666.66666666674</c:v>
                </c:pt>
                <c:pt idx="11">
                  <c:v>1000000.0000000001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04-4008-8EBD-5EB3C3D8233C}"/>
            </c:ext>
          </c:extLst>
        </c:ser>
        <c:ser>
          <c:idx val="1"/>
          <c:order val="1"/>
          <c:tx>
            <c:strRef>
              <c:f>Dashboard!$E$6</c:f>
              <c:strCache>
                <c:ptCount val="1"/>
                <c:pt idx="0">
                  <c:v>Real acum.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Dashboard!$A$7:$A$18</c:f>
              <c:numCache>
                <c:formatCode>mmm\-yy</c:formatCode>
                <c:ptCount val="12"/>
                <c:pt idx="0">
                  <c:v>46388</c:v>
                </c:pt>
                <c:pt idx="1">
                  <c:v>46419</c:v>
                </c:pt>
                <c:pt idx="2">
                  <c:v>46447</c:v>
                </c:pt>
                <c:pt idx="3">
                  <c:v>46478</c:v>
                </c:pt>
                <c:pt idx="4">
                  <c:v>46508</c:v>
                </c:pt>
                <c:pt idx="5">
                  <c:v>46539</c:v>
                </c:pt>
                <c:pt idx="6">
                  <c:v>46569</c:v>
                </c:pt>
                <c:pt idx="7">
                  <c:v>46600</c:v>
                </c:pt>
                <c:pt idx="8">
                  <c:v>46631</c:v>
                </c:pt>
                <c:pt idx="9">
                  <c:v>46661</c:v>
                </c:pt>
                <c:pt idx="10">
                  <c:v>46692</c:v>
                </c:pt>
                <c:pt idx="11">
                  <c:v>46722</c:v>
                </c:pt>
              </c:numCache>
            </c:numRef>
          </c:cat>
          <c:val>
            <c:numRef>
              <c:f>Dashboard!$E$7:$E$18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04-4008-8EBD-5EB3C3D82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726652"/>
        <c:axId val="56076281"/>
      </c:lineChart>
      <c:dateAx>
        <c:axId val="797266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56076281"/>
        <c:crosses val="autoZero"/>
        <c:auto val="1"/>
        <c:lblOffset val="100"/>
        <c:baseTimeUnit val="months"/>
      </c:dateAx>
      <c:valAx>
        <c:axId val="56076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797266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NI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NI" sz="1800" b="1" strike="noStrike" spc="-1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Smart User 500'!$E$10</c:f>
              <c:strCache>
                <c:ptCount val="1"/>
                <c:pt idx="0">
                  <c:v>Meta acum.</c:v>
                </c:pt>
              </c:strCache>
            </c:strRef>
          </c:tx>
          <c:spPr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'1. Smart User 500'!$B$11:$B$39</c:f>
              <c:numCache>
                <c:formatCode>dd\-mmm\-yy</c:formatCode>
                <c:ptCount val="29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</c:numCache>
            </c:numRef>
          </c:cat>
          <c:val>
            <c:numRef>
              <c:f>'1. Smart User 500'!$E$11:$E$39</c:f>
              <c:numCache>
                <c:formatCode>#,##0</c:formatCode>
                <c:ptCount val="29"/>
                <c:pt idx="0">
                  <c:v>17.241379310344829</c:v>
                </c:pt>
                <c:pt idx="1">
                  <c:v>34.482758620689658</c:v>
                </c:pt>
                <c:pt idx="2">
                  <c:v>51.724137931034491</c:v>
                </c:pt>
                <c:pt idx="3">
                  <c:v>68.965517241379317</c:v>
                </c:pt>
                <c:pt idx="4">
                  <c:v>86.206896551724142</c:v>
                </c:pt>
                <c:pt idx="5">
                  <c:v>103.44827586206897</c:v>
                </c:pt>
                <c:pt idx="6">
                  <c:v>120.68965517241379</c:v>
                </c:pt>
                <c:pt idx="7">
                  <c:v>137.93103448275863</c:v>
                </c:pt>
                <c:pt idx="8">
                  <c:v>155.17241379310346</c:v>
                </c:pt>
                <c:pt idx="9">
                  <c:v>172.41379310344828</c:v>
                </c:pt>
                <c:pt idx="10">
                  <c:v>189.65517241379311</c:v>
                </c:pt>
                <c:pt idx="11">
                  <c:v>206.89655172413794</c:v>
                </c:pt>
                <c:pt idx="12">
                  <c:v>224.13793103448276</c:v>
                </c:pt>
                <c:pt idx="13">
                  <c:v>241.37931034482759</c:v>
                </c:pt>
                <c:pt idx="14">
                  <c:v>258.62068965517244</c:v>
                </c:pt>
                <c:pt idx="15">
                  <c:v>275.86206896551727</c:v>
                </c:pt>
                <c:pt idx="16">
                  <c:v>293.10344827586209</c:v>
                </c:pt>
                <c:pt idx="17">
                  <c:v>310.34482758620692</c:v>
                </c:pt>
                <c:pt idx="18">
                  <c:v>327.58620689655174</c:v>
                </c:pt>
                <c:pt idx="19">
                  <c:v>344.82758620689657</c:v>
                </c:pt>
                <c:pt idx="20">
                  <c:v>362.06896551724139</c:v>
                </c:pt>
                <c:pt idx="21">
                  <c:v>379.31034482758622</c:v>
                </c:pt>
                <c:pt idx="22">
                  <c:v>396.55172413793105</c:v>
                </c:pt>
                <c:pt idx="23">
                  <c:v>413.79310344827587</c:v>
                </c:pt>
                <c:pt idx="24">
                  <c:v>431.0344827586207</c:v>
                </c:pt>
                <c:pt idx="25">
                  <c:v>448.27586206896552</c:v>
                </c:pt>
                <c:pt idx="26">
                  <c:v>465.51724137931035</c:v>
                </c:pt>
                <c:pt idx="27">
                  <c:v>482.75862068965517</c:v>
                </c:pt>
                <c:pt idx="28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E5-4F60-A7CA-FB97A7A755A5}"/>
            </c:ext>
          </c:extLst>
        </c:ser>
        <c:ser>
          <c:idx val="1"/>
          <c:order val="1"/>
          <c:tx>
            <c:strRef>
              <c:f>'1. Smart User 500'!$F$10</c:f>
              <c:strCache>
                <c:ptCount val="1"/>
                <c:pt idx="0">
                  <c:v>Real acum.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'1. Smart User 500'!$B$11:$B$39</c:f>
              <c:numCache>
                <c:formatCode>dd\-mmm\-yy</c:formatCode>
                <c:ptCount val="29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</c:numCache>
            </c:numRef>
          </c:cat>
          <c:val>
            <c:numRef>
              <c:f>'1. Smart User 500'!$F$11:$F$39</c:f>
              <c:numCache>
                <c:formatCode>#,##0</c:formatCode>
                <c:ptCount val="29"/>
                <c:pt idx="0">
                  <c:v>22</c:v>
                </c:pt>
                <c:pt idx="1">
                  <c:v>33.01</c:v>
                </c:pt>
                <c:pt idx="2">
                  <c:v>33.01</c:v>
                </c:pt>
                <c:pt idx="3">
                  <c:v>33.01</c:v>
                </c:pt>
                <c:pt idx="4">
                  <c:v>33.01</c:v>
                </c:pt>
                <c:pt idx="5">
                  <c:v>33.01</c:v>
                </c:pt>
                <c:pt idx="6">
                  <c:v>33.01</c:v>
                </c:pt>
                <c:pt idx="7">
                  <c:v>33.01</c:v>
                </c:pt>
                <c:pt idx="8">
                  <c:v>33.01</c:v>
                </c:pt>
                <c:pt idx="9">
                  <c:v>33.01</c:v>
                </c:pt>
                <c:pt idx="10">
                  <c:v>33.01</c:v>
                </c:pt>
                <c:pt idx="11">
                  <c:v>33.01</c:v>
                </c:pt>
                <c:pt idx="12">
                  <c:v>33.01</c:v>
                </c:pt>
                <c:pt idx="13">
                  <c:v>33.01</c:v>
                </c:pt>
                <c:pt idx="14">
                  <c:v>33.01</c:v>
                </c:pt>
                <c:pt idx="15">
                  <c:v>33.01</c:v>
                </c:pt>
                <c:pt idx="16">
                  <c:v>33.01</c:v>
                </c:pt>
                <c:pt idx="17">
                  <c:v>33.01</c:v>
                </c:pt>
                <c:pt idx="18">
                  <c:v>33.01</c:v>
                </c:pt>
                <c:pt idx="19">
                  <c:v>33.01</c:v>
                </c:pt>
                <c:pt idx="20">
                  <c:v>33.01</c:v>
                </c:pt>
                <c:pt idx="21">
                  <c:v>33.01</c:v>
                </c:pt>
                <c:pt idx="22">
                  <c:v>33.01</c:v>
                </c:pt>
                <c:pt idx="23">
                  <c:v>33.01</c:v>
                </c:pt>
                <c:pt idx="24">
                  <c:v>33.01</c:v>
                </c:pt>
                <c:pt idx="25">
                  <c:v>33.01</c:v>
                </c:pt>
                <c:pt idx="26">
                  <c:v>33.01</c:v>
                </c:pt>
                <c:pt idx="27">
                  <c:v>33.01</c:v>
                </c:pt>
                <c:pt idx="28">
                  <c:v>33.01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E5-4F60-A7CA-FB97A7A75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303812"/>
        <c:axId val="47482958"/>
      </c:lineChart>
      <c:dateAx>
        <c:axId val="67303812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47482958"/>
        <c:crosses val="autoZero"/>
        <c:auto val="1"/>
        <c:lblOffset val="100"/>
        <c:baseTimeUnit val="days"/>
      </c:dateAx>
      <c:valAx>
        <c:axId val="47482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67303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NI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MV Advisory'!$E$10</c:f>
              <c:strCache>
                <c:ptCount val="1"/>
                <c:pt idx="0">
                  <c:v>Meta acum.</c:v>
                </c:pt>
              </c:strCache>
            </c:strRef>
          </c:tx>
          <c:spPr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MV Advisory'!$B$11:$B$52</c:f>
              <c:numCache>
                <c:formatCode>dd\-mmm\-yy</c:formatCode>
                <c:ptCount val="42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</c:numCache>
            </c:numRef>
          </c:cat>
          <c:val>
            <c:numRef>
              <c:f>'2. MV Advisory'!$E$11:$E$52</c:f>
              <c:numCache>
                <c:formatCode>\$#,##0</c:formatCode>
                <c:ptCount val="42"/>
                <c:pt idx="0">
                  <c:v>238.0952380952381</c:v>
                </c:pt>
                <c:pt idx="1">
                  <c:v>476.1904761904762</c:v>
                </c:pt>
                <c:pt idx="2">
                  <c:v>714.28571428571433</c:v>
                </c:pt>
                <c:pt idx="3">
                  <c:v>952.38095238095241</c:v>
                </c:pt>
                <c:pt idx="4">
                  <c:v>1190.4761904761906</c:v>
                </c:pt>
                <c:pt idx="5">
                  <c:v>1428.5714285714287</c:v>
                </c:pt>
                <c:pt idx="6">
                  <c:v>1666.6666666666667</c:v>
                </c:pt>
                <c:pt idx="7">
                  <c:v>1904.7619047619048</c:v>
                </c:pt>
                <c:pt idx="8">
                  <c:v>2142.8571428571431</c:v>
                </c:pt>
                <c:pt idx="9">
                  <c:v>2380.9523809523812</c:v>
                </c:pt>
                <c:pt idx="10">
                  <c:v>2619.0476190476193</c:v>
                </c:pt>
                <c:pt idx="11">
                  <c:v>2857.1428571428573</c:v>
                </c:pt>
                <c:pt idx="12">
                  <c:v>3095.2380952380954</c:v>
                </c:pt>
                <c:pt idx="13">
                  <c:v>3333.3333333333335</c:v>
                </c:pt>
                <c:pt idx="14">
                  <c:v>3571.4285714285716</c:v>
                </c:pt>
                <c:pt idx="15">
                  <c:v>3809.5238095238096</c:v>
                </c:pt>
                <c:pt idx="16">
                  <c:v>4047.6190476190477</c:v>
                </c:pt>
                <c:pt idx="17">
                  <c:v>4285.7142857142862</c:v>
                </c:pt>
                <c:pt idx="18">
                  <c:v>4523.8095238095248</c:v>
                </c:pt>
                <c:pt idx="19">
                  <c:v>4761.9047619047633</c:v>
                </c:pt>
                <c:pt idx="20">
                  <c:v>5000.0000000000018</c:v>
                </c:pt>
                <c:pt idx="21">
                  <c:v>5238.0952380952403</c:v>
                </c:pt>
                <c:pt idx="22">
                  <c:v>5476.1904761904789</c:v>
                </c:pt>
                <c:pt idx="23">
                  <c:v>5714.2857142857174</c:v>
                </c:pt>
                <c:pt idx="24">
                  <c:v>5952.3809523809559</c:v>
                </c:pt>
                <c:pt idx="25">
                  <c:v>6190.4761904761945</c:v>
                </c:pt>
                <c:pt idx="26">
                  <c:v>6428.571428571433</c:v>
                </c:pt>
                <c:pt idx="27">
                  <c:v>6666.6666666666715</c:v>
                </c:pt>
                <c:pt idx="28">
                  <c:v>6904.76190476191</c:v>
                </c:pt>
                <c:pt idx="29">
                  <c:v>7142.8571428571486</c:v>
                </c:pt>
                <c:pt idx="30">
                  <c:v>7380.9523809523871</c:v>
                </c:pt>
                <c:pt idx="31">
                  <c:v>7619.0476190476256</c:v>
                </c:pt>
                <c:pt idx="32">
                  <c:v>7857.1428571428642</c:v>
                </c:pt>
                <c:pt idx="33">
                  <c:v>8095.2380952381027</c:v>
                </c:pt>
                <c:pt idx="34">
                  <c:v>8333.3333333333412</c:v>
                </c:pt>
                <c:pt idx="35">
                  <c:v>8571.4285714285797</c:v>
                </c:pt>
                <c:pt idx="36">
                  <c:v>8809.5238095238183</c:v>
                </c:pt>
                <c:pt idx="37">
                  <c:v>9047.6190476190568</c:v>
                </c:pt>
                <c:pt idx="38">
                  <c:v>9285.7142857142953</c:v>
                </c:pt>
                <c:pt idx="39">
                  <c:v>9523.8095238095339</c:v>
                </c:pt>
                <c:pt idx="40">
                  <c:v>9761.9047619047724</c:v>
                </c:pt>
                <c:pt idx="41">
                  <c:v>10000.000000000011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74-4BE0-986C-865959D4E93B}"/>
            </c:ext>
          </c:extLst>
        </c:ser>
        <c:ser>
          <c:idx val="1"/>
          <c:order val="1"/>
          <c:tx>
            <c:strRef>
              <c:f>'2. MV Advisory'!$F$10</c:f>
              <c:strCache>
                <c:ptCount val="1"/>
                <c:pt idx="0">
                  <c:v>Real acum.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MV Advisory'!$B$11:$B$52</c:f>
              <c:numCache>
                <c:formatCode>dd\-mmm\-yy</c:formatCode>
                <c:ptCount val="42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</c:numCache>
            </c:numRef>
          </c:cat>
          <c:val>
            <c:numRef>
              <c:f>'2. MV Advisory'!$F$11:$F$52</c:f>
              <c:numCache>
                <c:formatCode>\$#,##0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74-4BE0-986C-865959D4E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713831"/>
        <c:axId val="51955920"/>
      </c:lineChart>
      <c:dateAx>
        <c:axId val="44713831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51955920"/>
        <c:crosses val="autoZero"/>
        <c:auto val="1"/>
        <c:lblOffset val="100"/>
        <c:baseTimeUnit val="days"/>
      </c:dateAx>
      <c:valAx>
        <c:axId val="51955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44713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NI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NI" sz="1800" b="1" strike="noStrike" spc="-1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Negocios +30K GP'!$E$10</c:f>
              <c:strCache>
                <c:ptCount val="1"/>
                <c:pt idx="0">
                  <c:v>Meta acum.</c:v>
                </c:pt>
              </c:strCache>
            </c:strRef>
          </c:tx>
          <c:spPr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 Negocios +30K GP'!$B$11:$B$91</c:f>
              <c:numCache>
                <c:formatCode>dd\-mmm\-yy</c:formatCode>
                <c:ptCount val="81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  <c:pt idx="42">
                  <c:v>46482</c:v>
                </c:pt>
                <c:pt idx="43">
                  <c:v>46489</c:v>
                </c:pt>
                <c:pt idx="44">
                  <c:v>46496</c:v>
                </c:pt>
                <c:pt idx="45">
                  <c:v>46503</c:v>
                </c:pt>
                <c:pt idx="46">
                  <c:v>46510</c:v>
                </c:pt>
                <c:pt idx="47">
                  <c:v>46517</c:v>
                </c:pt>
                <c:pt idx="48">
                  <c:v>46524</c:v>
                </c:pt>
                <c:pt idx="49">
                  <c:v>46531</c:v>
                </c:pt>
                <c:pt idx="50">
                  <c:v>46538</c:v>
                </c:pt>
                <c:pt idx="51">
                  <c:v>46545</c:v>
                </c:pt>
                <c:pt idx="52">
                  <c:v>46552</c:v>
                </c:pt>
                <c:pt idx="53">
                  <c:v>46559</c:v>
                </c:pt>
                <c:pt idx="54">
                  <c:v>46566</c:v>
                </c:pt>
                <c:pt idx="55">
                  <c:v>46573</c:v>
                </c:pt>
                <c:pt idx="56">
                  <c:v>46580</c:v>
                </c:pt>
                <c:pt idx="57">
                  <c:v>46587</c:v>
                </c:pt>
                <c:pt idx="58">
                  <c:v>46594</c:v>
                </c:pt>
                <c:pt idx="59">
                  <c:v>46601</c:v>
                </c:pt>
                <c:pt idx="60">
                  <c:v>46608</c:v>
                </c:pt>
                <c:pt idx="61">
                  <c:v>46615</c:v>
                </c:pt>
                <c:pt idx="62">
                  <c:v>46622</c:v>
                </c:pt>
                <c:pt idx="63">
                  <c:v>46629</c:v>
                </c:pt>
                <c:pt idx="64">
                  <c:v>46636</c:v>
                </c:pt>
                <c:pt idx="65">
                  <c:v>46643</c:v>
                </c:pt>
                <c:pt idx="66">
                  <c:v>46650</c:v>
                </c:pt>
                <c:pt idx="67">
                  <c:v>46657</c:v>
                </c:pt>
                <c:pt idx="68">
                  <c:v>46664</c:v>
                </c:pt>
                <c:pt idx="69">
                  <c:v>46671</c:v>
                </c:pt>
                <c:pt idx="70">
                  <c:v>46678</c:v>
                </c:pt>
                <c:pt idx="71">
                  <c:v>46685</c:v>
                </c:pt>
                <c:pt idx="72">
                  <c:v>46692</c:v>
                </c:pt>
                <c:pt idx="73">
                  <c:v>46699</c:v>
                </c:pt>
                <c:pt idx="74">
                  <c:v>46706</c:v>
                </c:pt>
                <c:pt idx="75">
                  <c:v>46713</c:v>
                </c:pt>
                <c:pt idx="76">
                  <c:v>46720</c:v>
                </c:pt>
                <c:pt idx="77">
                  <c:v>46727</c:v>
                </c:pt>
                <c:pt idx="78">
                  <c:v>46734</c:v>
                </c:pt>
                <c:pt idx="79">
                  <c:v>46741</c:v>
                </c:pt>
                <c:pt idx="80">
                  <c:v>46748</c:v>
                </c:pt>
              </c:numCache>
            </c:numRef>
          </c:cat>
          <c:val>
            <c:numRef>
              <c:f>'3. Negocios +30K GP'!$E$11:$E$91</c:f>
              <c:numCache>
                <c:formatCode>#,##0</c:formatCode>
                <c:ptCount val="81"/>
                <c:pt idx="0">
                  <c:v>0.12345679012345678</c:v>
                </c:pt>
                <c:pt idx="1">
                  <c:v>0.24691358024691357</c:v>
                </c:pt>
                <c:pt idx="2">
                  <c:v>0.37037037037037035</c:v>
                </c:pt>
                <c:pt idx="3">
                  <c:v>0.49382716049382713</c:v>
                </c:pt>
                <c:pt idx="4">
                  <c:v>0.61728395061728392</c:v>
                </c:pt>
                <c:pt idx="5">
                  <c:v>0.7407407407407407</c:v>
                </c:pt>
                <c:pt idx="6">
                  <c:v>0.86419753086419748</c:v>
                </c:pt>
                <c:pt idx="7">
                  <c:v>0.98765432098765427</c:v>
                </c:pt>
                <c:pt idx="8">
                  <c:v>1.1111111111111112</c:v>
                </c:pt>
                <c:pt idx="9">
                  <c:v>1.2345679012345681</c:v>
                </c:pt>
                <c:pt idx="10">
                  <c:v>1.3580246913580249</c:v>
                </c:pt>
                <c:pt idx="11">
                  <c:v>1.4814814814814818</c:v>
                </c:pt>
                <c:pt idx="12">
                  <c:v>1.6049382716049387</c:v>
                </c:pt>
                <c:pt idx="13">
                  <c:v>1.7283950617283956</c:v>
                </c:pt>
                <c:pt idx="14">
                  <c:v>1.8518518518518525</c:v>
                </c:pt>
                <c:pt idx="15">
                  <c:v>1.9753086419753094</c:v>
                </c:pt>
                <c:pt idx="16">
                  <c:v>2.0987654320987663</c:v>
                </c:pt>
                <c:pt idx="17">
                  <c:v>2.2222222222222232</c:v>
                </c:pt>
                <c:pt idx="18">
                  <c:v>2.3456790123456801</c:v>
                </c:pt>
                <c:pt idx="19">
                  <c:v>2.469135802469137</c:v>
                </c:pt>
                <c:pt idx="20">
                  <c:v>2.5925925925925939</c:v>
                </c:pt>
                <c:pt idx="21">
                  <c:v>2.7160493827160508</c:v>
                </c:pt>
                <c:pt idx="22">
                  <c:v>2.8395061728395077</c:v>
                </c:pt>
                <c:pt idx="23">
                  <c:v>2.9629629629629646</c:v>
                </c:pt>
                <c:pt idx="24">
                  <c:v>3.0864197530864215</c:v>
                </c:pt>
                <c:pt idx="25">
                  <c:v>3.2098765432098784</c:v>
                </c:pt>
                <c:pt idx="26">
                  <c:v>3.3333333333333353</c:v>
                </c:pt>
                <c:pt idx="27">
                  <c:v>3.4567901234567922</c:v>
                </c:pt>
                <c:pt idx="28">
                  <c:v>3.580246913580249</c:v>
                </c:pt>
                <c:pt idx="29">
                  <c:v>3.7037037037037059</c:v>
                </c:pt>
                <c:pt idx="30">
                  <c:v>3.8271604938271628</c:v>
                </c:pt>
                <c:pt idx="31">
                  <c:v>3.9506172839506197</c:v>
                </c:pt>
                <c:pt idx="32">
                  <c:v>4.0740740740740762</c:v>
                </c:pt>
                <c:pt idx="33">
                  <c:v>4.1975308641975326</c:v>
                </c:pt>
                <c:pt idx="34">
                  <c:v>4.3209876543209891</c:v>
                </c:pt>
                <c:pt idx="35">
                  <c:v>4.4444444444444455</c:v>
                </c:pt>
                <c:pt idx="36">
                  <c:v>4.567901234567902</c:v>
                </c:pt>
                <c:pt idx="37">
                  <c:v>4.6913580246913584</c:v>
                </c:pt>
                <c:pt idx="38">
                  <c:v>4.8148148148148149</c:v>
                </c:pt>
                <c:pt idx="39">
                  <c:v>4.9382716049382713</c:v>
                </c:pt>
                <c:pt idx="40">
                  <c:v>5.0617283950617278</c:v>
                </c:pt>
                <c:pt idx="41">
                  <c:v>5.1851851851851842</c:v>
                </c:pt>
                <c:pt idx="42">
                  <c:v>5.3086419753086407</c:v>
                </c:pt>
                <c:pt idx="43">
                  <c:v>5.4320987654320971</c:v>
                </c:pt>
                <c:pt idx="44">
                  <c:v>5.5555555555555536</c:v>
                </c:pt>
                <c:pt idx="45">
                  <c:v>5.67901234567901</c:v>
                </c:pt>
                <c:pt idx="46">
                  <c:v>5.8024691358024665</c:v>
                </c:pt>
                <c:pt idx="47">
                  <c:v>5.9259259259259229</c:v>
                </c:pt>
                <c:pt idx="48">
                  <c:v>6.0493827160493794</c:v>
                </c:pt>
                <c:pt idx="49">
                  <c:v>6.1728395061728358</c:v>
                </c:pt>
                <c:pt idx="50">
                  <c:v>6.2962962962962923</c:v>
                </c:pt>
                <c:pt idx="51">
                  <c:v>6.4197530864197487</c:v>
                </c:pt>
                <c:pt idx="52">
                  <c:v>6.5432098765432052</c:v>
                </c:pt>
                <c:pt idx="53">
                  <c:v>6.6666666666666616</c:v>
                </c:pt>
                <c:pt idx="54">
                  <c:v>6.7901234567901181</c:v>
                </c:pt>
                <c:pt idx="55">
                  <c:v>6.9135802469135745</c:v>
                </c:pt>
                <c:pt idx="56">
                  <c:v>7.037037037037031</c:v>
                </c:pt>
                <c:pt idx="57">
                  <c:v>7.1604938271604874</c:v>
                </c:pt>
                <c:pt idx="58">
                  <c:v>7.2839506172839439</c:v>
                </c:pt>
                <c:pt idx="59">
                  <c:v>7.4074074074074003</c:v>
                </c:pt>
                <c:pt idx="60">
                  <c:v>7.5308641975308568</c:v>
                </c:pt>
                <c:pt idx="61">
                  <c:v>7.6543209876543132</c:v>
                </c:pt>
                <c:pt idx="62">
                  <c:v>7.7777777777777697</c:v>
                </c:pt>
                <c:pt idx="63">
                  <c:v>7.9012345679012261</c:v>
                </c:pt>
                <c:pt idx="64">
                  <c:v>8.0246913580246826</c:v>
                </c:pt>
                <c:pt idx="65">
                  <c:v>8.1481481481481399</c:v>
                </c:pt>
                <c:pt idx="66">
                  <c:v>8.2716049382715973</c:v>
                </c:pt>
                <c:pt idx="67">
                  <c:v>8.3950617283950546</c:v>
                </c:pt>
                <c:pt idx="68">
                  <c:v>8.5185185185185119</c:v>
                </c:pt>
                <c:pt idx="69">
                  <c:v>8.6419753086419693</c:v>
                </c:pt>
                <c:pt idx="70">
                  <c:v>8.7654320987654266</c:v>
                </c:pt>
                <c:pt idx="71">
                  <c:v>8.888888888888884</c:v>
                </c:pt>
                <c:pt idx="72">
                  <c:v>9.0123456790123413</c:v>
                </c:pt>
                <c:pt idx="73">
                  <c:v>9.1358024691357986</c:v>
                </c:pt>
                <c:pt idx="74">
                  <c:v>9.259259259259256</c:v>
                </c:pt>
                <c:pt idx="75">
                  <c:v>9.3827160493827133</c:v>
                </c:pt>
                <c:pt idx="76">
                  <c:v>9.5061728395061706</c:v>
                </c:pt>
                <c:pt idx="77">
                  <c:v>9.629629629629628</c:v>
                </c:pt>
                <c:pt idx="78">
                  <c:v>9.7530864197530853</c:v>
                </c:pt>
                <c:pt idx="79">
                  <c:v>9.8765432098765427</c:v>
                </c:pt>
                <c:pt idx="80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86-4337-8F46-F982B9E50AF6}"/>
            </c:ext>
          </c:extLst>
        </c:ser>
        <c:ser>
          <c:idx val="1"/>
          <c:order val="1"/>
          <c:tx>
            <c:strRef>
              <c:f>'3. Negocios +30K GP'!$F$10</c:f>
              <c:strCache>
                <c:ptCount val="1"/>
                <c:pt idx="0">
                  <c:v>Real acum.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'3. Negocios +30K GP'!$B$11:$B$91</c:f>
              <c:numCache>
                <c:formatCode>dd\-mmm\-yy</c:formatCode>
                <c:ptCount val="81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  <c:pt idx="42">
                  <c:v>46482</c:v>
                </c:pt>
                <c:pt idx="43">
                  <c:v>46489</c:v>
                </c:pt>
                <c:pt idx="44">
                  <c:v>46496</c:v>
                </c:pt>
                <c:pt idx="45">
                  <c:v>46503</c:v>
                </c:pt>
                <c:pt idx="46">
                  <c:v>46510</c:v>
                </c:pt>
                <c:pt idx="47">
                  <c:v>46517</c:v>
                </c:pt>
                <c:pt idx="48">
                  <c:v>46524</c:v>
                </c:pt>
                <c:pt idx="49">
                  <c:v>46531</c:v>
                </c:pt>
                <c:pt idx="50">
                  <c:v>46538</c:v>
                </c:pt>
                <c:pt idx="51">
                  <c:v>46545</c:v>
                </c:pt>
                <c:pt idx="52">
                  <c:v>46552</c:v>
                </c:pt>
                <c:pt idx="53">
                  <c:v>46559</c:v>
                </c:pt>
                <c:pt idx="54">
                  <c:v>46566</c:v>
                </c:pt>
                <c:pt idx="55">
                  <c:v>46573</c:v>
                </c:pt>
                <c:pt idx="56">
                  <c:v>46580</c:v>
                </c:pt>
                <c:pt idx="57">
                  <c:v>46587</c:v>
                </c:pt>
                <c:pt idx="58">
                  <c:v>46594</c:v>
                </c:pt>
                <c:pt idx="59">
                  <c:v>46601</c:v>
                </c:pt>
                <c:pt idx="60">
                  <c:v>46608</c:v>
                </c:pt>
                <c:pt idx="61">
                  <c:v>46615</c:v>
                </c:pt>
                <c:pt idx="62">
                  <c:v>46622</c:v>
                </c:pt>
                <c:pt idx="63">
                  <c:v>46629</c:v>
                </c:pt>
                <c:pt idx="64">
                  <c:v>46636</c:v>
                </c:pt>
                <c:pt idx="65">
                  <c:v>46643</c:v>
                </c:pt>
                <c:pt idx="66">
                  <c:v>46650</c:v>
                </c:pt>
                <c:pt idx="67">
                  <c:v>46657</c:v>
                </c:pt>
                <c:pt idx="68">
                  <c:v>46664</c:v>
                </c:pt>
                <c:pt idx="69">
                  <c:v>46671</c:v>
                </c:pt>
                <c:pt idx="70">
                  <c:v>46678</c:v>
                </c:pt>
                <c:pt idx="71">
                  <c:v>46685</c:v>
                </c:pt>
                <c:pt idx="72">
                  <c:v>46692</c:v>
                </c:pt>
                <c:pt idx="73">
                  <c:v>46699</c:v>
                </c:pt>
                <c:pt idx="74">
                  <c:v>46706</c:v>
                </c:pt>
                <c:pt idx="75">
                  <c:v>46713</c:v>
                </c:pt>
                <c:pt idx="76">
                  <c:v>46720</c:v>
                </c:pt>
                <c:pt idx="77">
                  <c:v>46727</c:v>
                </c:pt>
                <c:pt idx="78">
                  <c:v>46734</c:v>
                </c:pt>
                <c:pt idx="79">
                  <c:v>46741</c:v>
                </c:pt>
                <c:pt idx="80">
                  <c:v>46748</c:v>
                </c:pt>
              </c:numCache>
            </c:numRef>
          </c:cat>
          <c:val>
            <c:numRef>
              <c:f>'3. Negocios +30K GP'!$F$11:$F$91</c:f>
              <c:numCache>
                <c:formatCode>#,##0</c:formatCode>
                <c:ptCount val="81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86-4337-8F46-F982B9E50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629097"/>
        <c:axId val="42926048"/>
      </c:lineChart>
      <c:dateAx>
        <c:axId val="10629097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42926048"/>
        <c:crosses val="autoZero"/>
        <c:auto val="1"/>
        <c:lblOffset val="100"/>
        <c:baseTimeUnit val="days"/>
      </c:dateAx>
      <c:valAx>
        <c:axId val="42926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106290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NI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Entregas 100%'!$C$10</c:f>
              <c:strCache>
                <c:ptCount val="1"/>
                <c:pt idx="0">
                  <c:v>Meta</c:v>
                </c:pt>
              </c:strCache>
            </c:strRef>
          </c:tx>
          <c:spPr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'4. Entregas 100%'!$B$11:$B$91</c:f>
              <c:numCache>
                <c:formatCode>dd\-mmm\-yy</c:formatCode>
                <c:ptCount val="81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  <c:pt idx="42">
                  <c:v>46482</c:v>
                </c:pt>
                <c:pt idx="43">
                  <c:v>46489</c:v>
                </c:pt>
                <c:pt idx="44">
                  <c:v>46496</c:v>
                </c:pt>
                <c:pt idx="45">
                  <c:v>46503</c:v>
                </c:pt>
                <c:pt idx="46">
                  <c:v>46510</c:v>
                </c:pt>
                <c:pt idx="47">
                  <c:v>46517</c:v>
                </c:pt>
                <c:pt idx="48">
                  <c:v>46524</c:v>
                </c:pt>
                <c:pt idx="49">
                  <c:v>46531</c:v>
                </c:pt>
                <c:pt idx="50">
                  <c:v>46538</c:v>
                </c:pt>
                <c:pt idx="51">
                  <c:v>46545</c:v>
                </c:pt>
                <c:pt idx="52">
                  <c:v>46552</c:v>
                </c:pt>
                <c:pt idx="53">
                  <c:v>46559</c:v>
                </c:pt>
                <c:pt idx="54">
                  <c:v>46566</c:v>
                </c:pt>
                <c:pt idx="55">
                  <c:v>46573</c:v>
                </c:pt>
                <c:pt idx="56">
                  <c:v>46580</c:v>
                </c:pt>
                <c:pt idx="57">
                  <c:v>46587</c:v>
                </c:pt>
                <c:pt idx="58">
                  <c:v>46594</c:v>
                </c:pt>
                <c:pt idx="59">
                  <c:v>46601</c:v>
                </c:pt>
                <c:pt idx="60">
                  <c:v>46608</c:v>
                </c:pt>
                <c:pt idx="61">
                  <c:v>46615</c:v>
                </c:pt>
                <c:pt idx="62">
                  <c:v>46622</c:v>
                </c:pt>
                <c:pt idx="63">
                  <c:v>46629</c:v>
                </c:pt>
                <c:pt idx="64">
                  <c:v>46636</c:v>
                </c:pt>
                <c:pt idx="65">
                  <c:v>46643</c:v>
                </c:pt>
                <c:pt idx="66">
                  <c:v>46650</c:v>
                </c:pt>
                <c:pt idx="67">
                  <c:v>46657</c:v>
                </c:pt>
                <c:pt idx="68">
                  <c:v>46664</c:v>
                </c:pt>
                <c:pt idx="69">
                  <c:v>46671</c:v>
                </c:pt>
                <c:pt idx="70">
                  <c:v>46678</c:v>
                </c:pt>
                <c:pt idx="71">
                  <c:v>46685</c:v>
                </c:pt>
                <c:pt idx="72">
                  <c:v>46692</c:v>
                </c:pt>
                <c:pt idx="73">
                  <c:v>46699</c:v>
                </c:pt>
                <c:pt idx="74">
                  <c:v>46706</c:v>
                </c:pt>
                <c:pt idx="75">
                  <c:v>46713</c:v>
                </c:pt>
                <c:pt idx="76">
                  <c:v>46720</c:v>
                </c:pt>
                <c:pt idx="77">
                  <c:v>46727</c:v>
                </c:pt>
                <c:pt idx="78">
                  <c:v>46734</c:v>
                </c:pt>
                <c:pt idx="79">
                  <c:v>46741</c:v>
                </c:pt>
                <c:pt idx="80">
                  <c:v>46748</c:v>
                </c:pt>
              </c:numCache>
            </c:numRef>
          </c:cat>
          <c:val>
            <c:numRef>
              <c:f>'4. Entregas 100%'!$C$11:$C$91</c:f>
              <c:numCache>
                <c:formatCode>0.0%</c:formatCode>
                <c:ptCount val="8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FD-4465-A88D-02385FA465E5}"/>
            </c:ext>
          </c:extLst>
        </c:ser>
        <c:ser>
          <c:idx val="1"/>
          <c:order val="1"/>
          <c:tx>
            <c:strRef>
              <c:f>'4. Entregas 100%'!$D$10</c:f>
              <c:strCache>
                <c:ptCount val="1"/>
                <c:pt idx="0">
                  <c:v>Real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'4. Entregas 100%'!$B$11:$B$91</c:f>
              <c:numCache>
                <c:formatCode>dd\-mmm\-yy</c:formatCode>
                <c:ptCount val="81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  <c:pt idx="42">
                  <c:v>46482</c:v>
                </c:pt>
                <c:pt idx="43">
                  <c:v>46489</c:v>
                </c:pt>
                <c:pt idx="44">
                  <c:v>46496</c:v>
                </c:pt>
                <c:pt idx="45">
                  <c:v>46503</c:v>
                </c:pt>
                <c:pt idx="46">
                  <c:v>46510</c:v>
                </c:pt>
                <c:pt idx="47">
                  <c:v>46517</c:v>
                </c:pt>
                <c:pt idx="48">
                  <c:v>46524</c:v>
                </c:pt>
                <c:pt idx="49">
                  <c:v>46531</c:v>
                </c:pt>
                <c:pt idx="50">
                  <c:v>46538</c:v>
                </c:pt>
                <c:pt idx="51">
                  <c:v>46545</c:v>
                </c:pt>
                <c:pt idx="52">
                  <c:v>46552</c:v>
                </c:pt>
                <c:pt idx="53">
                  <c:v>46559</c:v>
                </c:pt>
                <c:pt idx="54">
                  <c:v>46566</c:v>
                </c:pt>
                <c:pt idx="55">
                  <c:v>46573</c:v>
                </c:pt>
                <c:pt idx="56">
                  <c:v>46580</c:v>
                </c:pt>
                <c:pt idx="57">
                  <c:v>46587</c:v>
                </c:pt>
                <c:pt idx="58">
                  <c:v>46594</c:v>
                </c:pt>
                <c:pt idx="59">
                  <c:v>46601</c:v>
                </c:pt>
                <c:pt idx="60">
                  <c:v>46608</c:v>
                </c:pt>
                <c:pt idx="61">
                  <c:v>46615</c:v>
                </c:pt>
                <c:pt idx="62">
                  <c:v>46622</c:v>
                </c:pt>
                <c:pt idx="63">
                  <c:v>46629</c:v>
                </c:pt>
                <c:pt idx="64">
                  <c:v>46636</c:v>
                </c:pt>
                <c:pt idx="65">
                  <c:v>46643</c:v>
                </c:pt>
                <c:pt idx="66">
                  <c:v>46650</c:v>
                </c:pt>
                <c:pt idx="67">
                  <c:v>46657</c:v>
                </c:pt>
                <c:pt idx="68">
                  <c:v>46664</c:v>
                </c:pt>
                <c:pt idx="69">
                  <c:v>46671</c:v>
                </c:pt>
                <c:pt idx="70">
                  <c:v>46678</c:v>
                </c:pt>
                <c:pt idx="71">
                  <c:v>46685</c:v>
                </c:pt>
                <c:pt idx="72">
                  <c:v>46692</c:v>
                </c:pt>
                <c:pt idx="73">
                  <c:v>46699</c:v>
                </c:pt>
                <c:pt idx="74">
                  <c:v>46706</c:v>
                </c:pt>
                <c:pt idx="75">
                  <c:v>46713</c:v>
                </c:pt>
                <c:pt idx="76">
                  <c:v>46720</c:v>
                </c:pt>
                <c:pt idx="77">
                  <c:v>46727</c:v>
                </c:pt>
                <c:pt idx="78">
                  <c:v>46734</c:v>
                </c:pt>
                <c:pt idx="79">
                  <c:v>46741</c:v>
                </c:pt>
                <c:pt idx="80">
                  <c:v>46748</c:v>
                </c:pt>
              </c:numCache>
            </c:numRef>
          </c:cat>
          <c:val>
            <c:numRef>
              <c:f>'4. Entregas 100%'!$D$11:$D$91</c:f>
              <c:numCache>
                <c:formatCode>General</c:formatCode>
                <c:ptCount val="8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FD-4465-A88D-02385FA46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214081"/>
        <c:axId val="70998388"/>
      </c:lineChart>
      <c:dateAx>
        <c:axId val="92214081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70998388"/>
        <c:crosses val="autoZero"/>
        <c:auto val="1"/>
        <c:lblOffset val="100"/>
        <c:baseTimeUnit val="days"/>
      </c:dateAx>
      <c:valAx>
        <c:axId val="70998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922140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NI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MV Datacenter'!$E$10</c:f>
              <c:strCache>
                <c:ptCount val="1"/>
                <c:pt idx="0">
                  <c:v>Meta acum.</c:v>
                </c:pt>
              </c:strCache>
            </c:strRef>
          </c:tx>
          <c:spPr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'5. MV Datacenter'!$B$11:$B$91</c:f>
              <c:numCache>
                <c:formatCode>dd\-mmm\-yy</c:formatCode>
                <c:ptCount val="81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  <c:pt idx="42">
                  <c:v>46482</c:v>
                </c:pt>
                <c:pt idx="43">
                  <c:v>46489</c:v>
                </c:pt>
                <c:pt idx="44">
                  <c:v>46496</c:v>
                </c:pt>
                <c:pt idx="45">
                  <c:v>46503</c:v>
                </c:pt>
                <c:pt idx="46">
                  <c:v>46510</c:v>
                </c:pt>
                <c:pt idx="47">
                  <c:v>46517</c:v>
                </c:pt>
                <c:pt idx="48">
                  <c:v>46524</c:v>
                </c:pt>
                <c:pt idx="49">
                  <c:v>46531</c:v>
                </c:pt>
                <c:pt idx="50">
                  <c:v>46538</c:v>
                </c:pt>
                <c:pt idx="51">
                  <c:v>46545</c:v>
                </c:pt>
                <c:pt idx="52">
                  <c:v>46552</c:v>
                </c:pt>
                <c:pt idx="53">
                  <c:v>46559</c:v>
                </c:pt>
                <c:pt idx="54">
                  <c:v>46566</c:v>
                </c:pt>
                <c:pt idx="55">
                  <c:v>46573</c:v>
                </c:pt>
                <c:pt idx="56">
                  <c:v>46580</c:v>
                </c:pt>
                <c:pt idx="57">
                  <c:v>46587</c:v>
                </c:pt>
                <c:pt idx="58">
                  <c:v>46594</c:v>
                </c:pt>
                <c:pt idx="59">
                  <c:v>46601</c:v>
                </c:pt>
                <c:pt idx="60">
                  <c:v>46608</c:v>
                </c:pt>
                <c:pt idx="61">
                  <c:v>46615</c:v>
                </c:pt>
                <c:pt idx="62">
                  <c:v>46622</c:v>
                </c:pt>
                <c:pt idx="63">
                  <c:v>46629</c:v>
                </c:pt>
                <c:pt idx="64">
                  <c:v>46636</c:v>
                </c:pt>
                <c:pt idx="65">
                  <c:v>46643</c:v>
                </c:pt>
                <c:pt idx="66">
                  <c:v>46650</c:v>
                </c:pt>
                <c:pt idx="67">
                  <c:v>46657</c:v>
                </c:pt>
                <c:pt idx="68">
                  <c:v>46664</c:v>
                </c:pt>
                <c:pt idx="69">
                  <c:v>46671</c:v>
                </c:pt>
                <c:pt idx="70">
                  <c:v>46678</c:v>
                </c:pt>
                <c:pt idx="71">
                  <c:v>46685</c:v>
                </c:pt>
                <c:pt idx="72">
                  <c:v>46692</c:v>
                </c:pt>
                <c:pt idx="73">
                  <c:v>46699</c:v>
                </c:pt>
                <c:pt idx="74">
                  <c:v>46706</c:v>
                </c:pt>
                <c:pt idx="75">
                  <c:v>46713</c:v>
                </c:pt>
                <c:pt idx="76">
                  <c:v>46720</c:v>
                </c:pt>
                <c:pt idx="77">
                  <c:v>46727</c:v>
                </c:pt>
                <c:pt idx="78">
                  <c:v>46734</c:v>
                </c:pt>
                <c:pt idx="79">
                  <c:v>46741</c:v>
                </c:pt>
                <c:pt idx="80">
                  <c:v>46748</c:v>
                </c:pt>
              </c:numCache>
            </c:numRef>
          </c:cat>
          <c:val>
            <c:numRef>
              <c:f>'5. MV Datacenter'!$E$11:$E$91</c:f>
              <c:numCache>
                <c:formatCode>\$#,##0</c:formatCode>
                <c:ptCount val="81"/>
                <c:pt idx="0">
                  <c:v>246.91358024691357</c:v>
                </c:pt>
                <c:pt idx="1">
                  <c:v>493.82716049382714</c:v>
                </c:pt>
                <c:pt idx="2">
                  <c:v>740.74074074074065</c:v>
                </c:pt>
                <c:pt idx="3">
                  <c:v>987.65432098765427</c:v>
                </c:pt>
                <c:pt idx="4">
                  <c:v>1234.5679012345679</c:v>
                </c:pt>
                <c:pt idx="5">
                  <c:v>1481.4814814814815</c:v>
                </c:pt>
                <c:pt idx="6">
                  <c:v>1728.3950617283951</c:v>
                </c:pt>
                <c:pt idx="7">
                  <c:v>1975.3086419753088</c:v>
                </c:pt>
                <c:pt idx="8">
                  <c:v>2222.2222222222222</c:v>
                </c:pt>
                <c:pt idx="9">
                  <c:v>2469.1358024691358</c:v>
                </c:pt>
                <c:pt idx="10">
                  <c:v>2716.0493827160494</c:v>
                </c:pt>
                <c:pt idx="11">
                  <c:v>2962.962962962963</c:v>
                </c:pt>
                <c:pt idx="12">
                  <c:v>3209.8765432098767</c:v>
                </c:pt>
                <c:pt idx="13">
                  <c:v>3456.7901234567903</c:v>
                </c:pt>
                <c:pt idx="14">
                  <c:v>3703.7037037037039</c:v>
                </c:pt>
                <c:pt idx="15">
                  <c:v>3950.6172839506175</c:v>
                </c:pt>
                <c:pt idx="16">
                  <c:v>4197.5308641975307</c:v>
                </c:pt>
                <c:pt idx="17">
                  <c:v>4444.4444444444443</c:v>
                </c:pt>
                <c:pt idx="18">
                  <c:v>4691.358024691358</c:v>
                </c:pt>
                <c:pt idx="19">
                  <c:v>4938.2716049382716</c:v>
                </c:pt>
                <c:pt idx="20">
                  <c:v>5185.1851851851852</c:v>
                </c:pt>
                <c:pt idx="21">
                  <c:v>5432.0987654320988</c:v>
                </c:pt>
                <c:pt idx="22">
                  <c:v>5679.0123456790125</c:v>
                </c:pt>
                <c:pt idx="23">
                  <c:v>5925.9259259259261</c:v>
                </c:pt>
                <c:pt idx="24">
                  <c:v>6172.8395061728397</c:v>
                </c:pt>
                <c:pt idx="25">
                  <c:v>6419.7530864197533</c:v>
                </c:pt>
                <c:pt idx="26">
                  <c:v>6666.666666666667</c:v>
                </c:pt>
                <c:pt idx="27">
                  <c:v>6913.5802469135806</c:v>
                </c:pt>
                <c:pt idx="28">
                  <c:v>7160.4938271604942</c:v>
                </c:pt>
                <c:pt idx="29">
                  <c:v>7407.4074074074078</c:v>
                </c:pt>
                <c:pt idx="30">
                  <c:v>7654.3209876543215</c:v>
                </c:pt>
                <c:pt idx="31">
                  <c:v>7901.2345679012351</c:v>
                </c:pt>
                <c:pt idx="32">
                  <c:v>8148.1481481481487</c:v>
                </c:pt>
                <c:pt idx="33">
                  <c:v>8395.0617283950614</c:v>
                </c:pt>
                <c:pt idx="34">
                  <c:v>8641.9753086419751</c:v>
                </c:pt>
                <c:pt idx="35">
                  <c:v>8888.8888888888887</c:v>
                </c:pt>
                <c:pt idx="36">
                  <c:v>9135.8024691358023</c:v>
                </c:pt>
                <c:pt idx="37">
                  <c:v>9382.7160493827159</c:v>
                </c:pt>
                <c:pt idx="38">
                  <c:v>9629.6296296296296</c:v>
                </c:pt>
                <c:pt idx="39">
                  <c:v>9876.5432098765432</c:v>
                </c:pt>
                <c:pt idx="40">
                  <c:v>10123.456790123457</c:v>
                </c:pt>
                <c:pt idx="41">
                  <c:v>10370.37037037037</c:v>
                </c:pt>
                <c:pt idx="42">
                  <c:v>10617.283950617284</c:v>
                </c:pt>
                <c:pt idx="43">
                  <c:v>10864.197530864198</c:v>
                </c:pt>
                <c:pt idx="44">
                  <c:v>11111.111111111111</c:v>
                </c:pt>
                <c:pt idx="45">
                  <c:v>11358.024691358025</c:v>
                </c:pt>
                <c:pt idx="46">
                  <c:v>11604.938271604939</c:v>
                </c:pt>
                <c:pt idx="47">
                  <c:v>11851.851851851852</c:v>
                </c:pt>
                <c:pt idx="48">
                  <c:v>12098.765432098766</c:v>
                </c:pt>
                <c:pt idx="49">
                  <c:v>12345.679012345679</c:v>
                </c:pt>
                <c:pt idx="50">
                  <c:v>12592.592592592593</c:v>
                </c:pt>
                <c:pt idx="51">
                  <c:v>12839.506172839507</c:v>
                </c:pt>
                <c:pt idx="52">
                  <c:v>13086.41975308642</c:v>
                </c:pt>
                <c:pt idx="53">
                  <c:v>13333.333333333334</c:v>
                </c:pt>
                <c:pt idx="54">
                  <c:v>13580.246913580248</c:v>
                </c:pt>
                <c:pt idx="55">
                  <c:v>13827.160493827161</c:v>
                </c:pt>
                <c:pt idx="56">
                  <c:v>14074.074074074075</c:v>
                </c:pt>
                <c:pt idx="57">
                  <c:v>14320.987654320988</c:v>
                </c:pt>
                <c:pt idx="58">
                  <c:v>14567.901234567902</c:v>
                </c:pt>
                <c:pt idx="59">
                  <c:v>14814.814814814816</c:v>
                </c:pt>
                <c:pt idx="60">
                  <c:v>15061.728395061729</c:v>
                </c:pt>
                <c:pt idx="61">
                  <c:v>15308.641975308643</c:v>
                </c:pt>
                <c:pt idx="62">
                  <c:v>15555.555555555557</c:v>
                </c:pt>
                <c:pt idx="63">
                  <c:v>15802.46913580247</c:v>
                </c:pt>
                <c:pt idx="64">
                  <c:v>16049.382716049384</c:v>
                </c:pt>
                <c:pt idx="65">
                  <c:v>16296.296296296297</c:v>
                </c:pt>
                <c:pt idx="66">
                  <c:v>16543.209876543209</c:v>
                </c:pt>
                <c:pt idx="67">
                  <c:v>16790.123456790123</c:v>
                </c:pt>
                <c:pt idx="68">
                  <c:v>17037.037037037036</c:v>
                </c:pt>
                <c:pt idx="69">
                  <c:v>17283.95061728395</c:v>
                </c:pt>
                <c:pt idx="70">
                  <c:v>17530.864197530864</c:v>
                </c:pt>
                <c:pt idx="71">
                  <c:v>17777.777777777777</c:v>
                </c:pt>
                <c:pt idx="72">
                  <c:v>18024.691358024691</c:v>
                </c:pt>
                <c:pt idx="73">
                  <c:v>18271.604938271605</c:v>
                </c:pt>
                <c:pt idx="74">
                  <c:v>18518.518518518518</c:v>
                </c:pt>
                <c:pt idx="75">
                  <c:v>18765.432098765432</c:v>
                </c:pt>
                <c:pt idx="76">
                  <c:v>19012.345679012345</c:v>
                </c:pt>
                <c:pt idx="77">
                  <c:v>19259.259259259259</c:v>
                </c:pt>
                <c:pt idx="78">
                  <c:v>19506.172839506173</c:v>
                </c:pt>
                <c:pt idx="79">
                  <c:v>19753.086419753086</c:v>
                </c:pt>
                <c:pt idx="80">
                  <c:v>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41-4B0A-B1CE-C351AD17683B}"/>
            </c:ext>
          </c:extLst>
        </c:ser>
        <c:ser>
          <c:idx val="1"/>
          <c:order val="1"/>
          <c:tx>
            <c:strRef>
              <c:f>'5. MV Datacenter'!$F$10</c:f>
              <c:strCache>
                <c:ptCount val="1"/>
                <c:pt idx="0">
                  <c:v>Real acum.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'5. MV Datacenter'!$B$11:$B$91</c:f>
              <c:numCache>
                <c:formatCode>dd\-mmm\-yy</c:formatCode>
                <c:ptCount val="81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  <c:pt idx="42">
                  <c:v>46482</c:v>
                </c:pt>
                <c:pt idx="43">
                  <c:v>46489</c:v>
                </c:pt>
                <c:pt idx="44">
                  <c:v>46496</c:v>
                </c:pt>
                <c:pt idx="45">
                  <c:v>46503</c:v>
                </c:pt>
                <c:pt idx="46">
                  <c:v>46510</c:v>
                </c:pt>
                <c:pt idx="47">
                  <c:v>46517</c:v>
                </c:pt>
                <c:pt idx="48">
                  <c:v>46524</c:v>
                </c:pt>
                <c:pt idx="49">
                  <c:v>46531</c:v>
                </c:pt>
                <c:pt idx="50">
                  <c:v>46538</c:v>
                </c:pt>
                <c:pt idx="51">
                  <c:v>46545</c:v>
                </c:pt>
                <c:pt idx="52">
                  <c:v>46552</c:v>
                </c:pt>
                <c:pt idx="53">
                  <c:v>46559</c:v>
                </c:pt>
                <c:pt idx="54">
                  <c:v>46566</c:v>
                </c:pt>
                <c:pt idx="55">
                  <c:v>46573</c:v>
                </c:pt>
                <c:pt idx="56">
                  <c:v>46580</c:v>
                </c:pt>
                <c:pt idx="57">
                  <c:v>46587</c:v>
                </c:pt>
                <c:pt idx="58">
                  <c:v>46594</c:v>
                </c:pt>
                <c:pt idx="59">
                  <c:v>46601</c:v>
                </c:pt>
                <c:pt idx="60">
                  <c:v>46608</c:v>
                </c:pt>
                <c:pt idx="61">
                  <c:v>46615</c:v>
                </c:pt>
                <c:pt idx="62">
                  <c:v>46622</c:v>
                </c:pt>
                <c:pt idx="63">
                  <c:v>46629</c:v>
                </c:pt>
                <c:pt idx="64">
                  <c:v>46636</c:v>
                </c:pt>
                <c:pt idx="65">
                  <c:v>46643</c:v>
                </c:pt>
                <c:pt idx="66">
                  <c:v>46650</c:v>
                </c:pt>
                <c:pt idx="67">
                  <c:v>46657</c:v>
                </c:pt>
                <c:pt idx="68">
                  <c:v>46664</c:v>
                </c:pt>
                <c:pt idx="69">
                  <c:v>46671</c:v>
                </c:pt>
                <c:pt idx="70">
                  <c:v>46678</c:v>
                </c:pt>
                <c:pt idx="71">
                  <c:v>46685</c:v>
                </c:pt>
                <c:pt idx="72">
                  <c:v>46692</c:v>
                </c:pt>
                <c:pt idx="73">
                  <c:v>46699</c:v>
                </c:pt>
                <c:pt idx="74">
                  <c:v>46706</c:v>
                </c:pt>
                <c:pt idx="75">
                  <c:v>46713</c:v>
                </c:pt>
                <c:pt idx="76">
                  <c:v>46720</c:v>
                </c:pt>
                <c:pt idx="77">
                  <c:v>46727</c:v>
                </c:pt>
                <c:pt idx="78">
                  <c:v>46734</c:v>
                </c:pt>
                <c:pt idx="79">
                  <c:v>46741</c:v>
                </c:pt>
                <c:pt idx="80">
                  <c:v>46748</c:v>
                </c:pt>
              </c:numCache>
            </c:numRef>
          </c:cat>
          <c:val>
            <c:numRef>
              <c:f>'5. MV Datacenter'!$F$11:$F$91</c:f>
              <c:numCache>
                <c:formatCode>\$#,##0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641-4B0A-B1CE-C351AD176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740540"/>
        <c:axId val="60761385"/>
      </c:lineChart>
      <c:dateAx>
        <c:axId val="55740540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60761385"/>
        <c:crosses val="autoZero"/>
        <c:auto val="1"/>
        <c:lblOffset val="100"/>
        <c:baseTimeUnit val="days"/>
      </c:dateAx>
      <c:valAx>
        <c:axId val="60761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557405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NI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Cero Expired'!$C$10</c:f>
              <c:strCache>
                <c:ptCount val="1"/>
                <c:pt idx="0">
                  <c:v>Meta</c:v>
                </c:pt>
              </c:strCache>
            </c:strRef>
          </c:tx>
          <c:spPr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'6. Cero Expired'!$B$11:$B$91</c:f>
              <c:numCache>
                <c:formatCode>dd\-mmm\-yy</c:formatCode>
                <c:ptCount val="81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  <c:pt idx="42">
                  <c:v>46482</c:v>
                </c:pt>
                <c:pt idx="43">
                  <c:v>46489</c:v>
                </c:pt>
                <c:pt idx="44">
                  <c:v>46496</c:v>
                </c:pt>
                <c:pt idx="45">
                  <c:v>46503</c:v>
                </c:pt>
                <c:pt idx="46">
                  <c:v>46510</c:v>
                </c:pt>
                <c:pt idx="47">
                  <c:v>46517</c:v>
                </c:pt>
                <c:pt idx="48">
                  <c:v>46524</c:v>
                </c:pt>
                <c:pt idx="49">
                  <c:v>46531</c:v>
                </c:pt>
                <c:pt idx="50">
                  <c:v>46538</c:v>
                </c:pt>
                <c:pt idx="51">
                  <c:v>46545</c:v>
                </c:pt>
                <c:pt idx="52">
                  <c:v>46552</c:v>
                </c:pt>
                <c:pt idx="53">
                  <c:v>46559</c:v>
                </c:pt>
                <c:pt idx="54">
                  <c:v>46566</c:v>
                </c:pt>
                <c:pt idx="55">
                  <c:v>46573</c:v>
                </c:pt>
                <c:pt idx="56">
                  <c:v>46580</c:v>
                </c:pt>
                <c:pt idx="57">
                  <c:v>46587</c:v>
                </c:pt>
                <c:pt idx="58">
                  <c:v>46594</c:v>
                </c:pt>
                <c:pt idx="59">
                  <c:v>46601</c:v>
                </c:pt>
                <c:pt idx="60">
                  <c:v>46608</c:v>
                </c:pt>
                <c:pt idx="61">
                  <c:v>46615</c:v>
                </c:pt>
                <c:pt idx="62">
                  <c:v>46622</c:v>
                </c:pt>
                <c:pt idx="63">
                  <c:v>46629</c:v>
                </c:pt>
                <c:pt idx="64">
                  <c:v>46636</c:v>
                </c:pt>
                <c:pt idx="65">
                  <c:v>46643</c:v>
                </c:pt>
                <c:pt idx="66">
                  <c:v>46650</c:v>
                </c:pt>
                <c:pt idx="67">
                  <c:v>46657</c:v>
                </c:pt>
                <c:pt idx="68">
                  <c:v>46664</c:v>
                </c:pt>
                <c:pt idx="69">
                  <c:v>46671</c:v>
                </c:pt>
                <c:pt idx="70">
                  <c:v>46678</c:v>
                </c:pt>
                <c:pt idx="71">
                  <c:v>46685</c:v>
                </c:pt>
                <c:pt idx="72">
                  <c:v>46692</c:v>
                </c:pt>
                <c:pt idx="73">
                  <c:v>46699</c:v>
                </c:pt>
                <c:pt idx="74">
                  <c:v>46706</c:v>
                </c:pt>
                <c:pt idx="75">
                  <c:v>46713</c:v>
                </c:pt>
                <c:pt idx="76">
                  <c:v>46720</c:v>
                </c:pt>
                <c:pt idx="77">
                  <c:v>46727</c:v>
                </c:pt>
                <c:pt idx="78">
                  <c:v>46734</c:v>
                </c:pt>
                <c:pt idx="79">
                  <c:v>46741</c:v>
                </c:pt>
                <c:pt idx="80">
                  <c:v>46748</c:v>
                </c:pt>
              </c:numCache>
            </c:numRef>
          </c:cat>
          <c:val>
            <c:numRef>
              <c:f>'6. Cero Expired'!$C$11:$C$91</c:f>
              <c:numCache>
                <c:formatCode>#,##0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2C-4B1F-B7A1-147BF291D01F}"/>
            </c:ext>
          </c:extLst>
        </c:ser>
        <c:ser>
          <c:idx val="1"/>
          <c:order val="1"/>
          <c:tx>
            <c:strRef>
              <c:f>'6. Cero Expired'!$D$10</c:f>
              <c:strCache>
                <c:ptCount val="1"/>
                <c:pt idx="0">
                  <c:v>Real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'6. Cero Expired'!$B$11:$B$91</c:f>
              <c:numCache>
                <c:formatCode>dd\-mmm\-yy</c:formatCode>
                <c:ptCount val="81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  <c:pt idx="42">
                  <c:v>46482</c:v>
                </c:pt>
                <c:pt idx="43">
                  <c:v>46489</c:v>
                </c:pt>
                <c:pt idx="44">
                  <c:v>46496</c:v>
                </c:pt>
                <c:pt idx="45">
                  <c:v>46503</c:v>
                </c:pt>
                <c:pt idx="46">
                  <c:v>46510</c:v>
                </c:pt>
                <c:pt idx="47">
                  <c:v>46517</c:v>
                </c:pt>
                <c:pt idx="48">
                  <c:v>46524</c:v>
                </c:pt>
                <c:pt idx="49">
                  <c:v>46531</c:v>
                </c:pt>
                <c:pt idx="50">
                  <c:v>46538</c:v>
                </c:pt>
                <c:pt idx="51">
                  <c:v>46545</c:v>
                </c:pt>
                <c:pt idx="52">
                  <c:v>46552</c:v>
                </c:pt>
                <c:pt idx="53">
                  <c:v>46559</c:v>
                </c:pt>
                <c:pt idx="54">
                  <c:v>46566</c:v>
                </c:pt>
                <c:pt idx="55">
                  <c:v>46573</c:v>
                </c:pt>
                <c:pt idx="56">
                  <c:v>46580</c:v>
                </c:pt>
                <c:pt idx="57">
                  <c:v>46587</c:v>
                </c:pt>
                <c:pt idx="58">
                  <c:v>46594</c:v>
                </c:pt>
                <c:pt idx="59">
                  <c:v>46601</c:v>
                </c:pt>
                <c:pt idx="60">
                  <c:v>46608</c:v>
                </c:pt>
                <c:pt idx="61">
                  <c:v>46615</c:v>
                </c:pt>
                <c:pt idx="62">
                  <c:v>46622</c:v>
                </c:pt>
                <c:pt idx="63">
                  <c:v>46629</c:v>
                </c:pt>
                <c:pt idx="64">
                  <c:v>46636</c:v>
                </c:pt>
                <c:pt idx="65">
                  <c:v>46643</c:v>
                </c:pt>
                <c:pt idx="66">
                  <c:v>46650</c:v>
                </c:pt>
                <c:pt idx="67">
                  <c:v>46657</c:v>
                </c:pt>
                <c:pt idx="68">
                  <c:v>46664</c:v>
                </c:pt>
                <c:pt idx="69">
                  <c:v>46671</c:v>
                </c:pt>
                <c:pt idx="70">
                  <c:v>46678</c:v>
                </c:pt>
                <c:pt idx="71">
                  <c:v>46685</c:v>
                </c:pt>
                <c:pt idx="72">
                  <c:v>46692</c:v>
                </c:pt>
                <c:pt idx="73">
                  <c:v>46699</c:v>
                </c:pt>
                <c:pt idx="74">
                  <c:v>46706</c:v>
                </c:pt>
                <c:pt idx="75">
                  <c:v>46713</c:v>
                </c:pt>
                <c:pt idx="76">
                  <c:v>46720</c:v>
                </c:pt>
                <c:pt idx="77">
                  <c:v>46727</c:v>
                </c:pt>
                <c:pt idx="78">
                  <c:v>46734</c:v>
                </c:pt>
                <c:pt idx="79">
                  <c:v>46741</c:v>
                </c:pt>
                <c:pt idx="80">
                  <c:v>46748</c:v>
                </c:pt>
              </c:numCache>
            </c:numRef>
          </c:cat>
          <c:val>
            <c:numRef>
              <c:f>'6. Cero Expired'!$D$11:$D$91</c:f>
              <c:numCache>
                <c:formatCode>General</c:formatCode>
                <c:ptCount val="8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2C-4B1F-B7A1-147BF291D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848725"/>
        <c:axId val="59851277"/>
      </c:lineChart>
      <c:dateAx>
        <c:axId val="92848725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59851277"/>
        <c:crosses val="autoZero"/>
        <c:auto val="1"/>
        <c:lblOffset val="100"/>
        <c:baseTimeUnit val="days"/>
      </c:dateAx>
      <c:valAx>
        <c:axId val="59851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928487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NI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'7. MV Digital Sol'!$E$10</c:f>
              <c:strCache>
                <c:ptCount val="1"/>
                <c:pt idx="0">
                  <c:v>Meta acum.</c:v>
                </c:pt>
              </c:strCache>
            </c:strRef>
          </c:tx>
          <c:spPr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'7. MV Digital Sol'!$B$11:$B$56</c:f>
              <c:numCache>
                <c:formatCode>dd\-mmm\-yy</c:formatCode>
                <c:ptCount val="46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  <c:pt idx="42">
                  <c:v>46482</c:v>
                </c:pt>
                <c:pt idx="43">
                  <c:v>46489</c:v>
                </c:pt>
                <c:pt idx="44">
                  <c:v>46496</c:v>
                </c:pt>
                <c:pt idx="45">
                  <c:v>46503</c:v>
                </c:pt>
              </c:numCache>
            </c:numRef>
          </c:cat>
          <c:val>
            <c:numRef>
              <c:f>'7. MV Digital Sol'!$E$11:$E$56</c:f>
              <c:numCache>
                <c:formatCode>\$#,##0</c:formatCode>
                <c:ptCount val="46"/>
                <c:pt idx="0">
                  <c:v>652.17391304347825</c:v>
                </c:pt>
                <c:pt idx="1">
                  <c:v>1304.3478260869565</c:v>
                </c:pt>
                <c:pt idx="2">
                  <c:v>1956.5217391304348</c:v>
                </c:pt>
                <c:pt idx="3">
                  <c:v>2608.695652173913</c:v>
                </c:pt>
                <c:pt idx="4">
                  <c:v>3260.869565217391</c:v>
                </c:pt>
                <c:pt idx="5">
                  <c:v>3913.0434782608691</c:v>
                </c:pt>
                <c:pt idx="6">
                  <c:v>4565.2173913043471</c:v>
                </c:pt>
                <c:pt idx="7">
                  <c:v>5217.3913043478251</c:v>
                </c:pt>
                <c:pt idx="8">
                  <c:v>5869.5652173913031</c:v>
                </c:pt>
                <c:pt idx="9">
                  <c:v>6521.7391304347811</c:v>
                </c:pt>
                <c:pt idx="10">
                  <c:v>7173.9130434782592</c:v>
                </c:pt>
                <c:pt idx="11">
                  <c:v>7826.0869565217372</c:v>
                </c:pt>
                <c:pt idx="12">
                  <c:v>8478.2608695652161</c:v>
                </c:pt>
                <c:pt idx="13">
                  <c:v>9130.4347826086941</c:v>
                </c:pt>
                <c:pt idx="14">
                  <c:v>9782.6086956521722</c:v>
                </c:pt>
                <c:pt idx="15">
                  <c:v>10434.78260869565</c:v>
                </c:pt>
                <c:pt idx="16">
                  <c:v>11086.956521739128</c:v>
                </c:pt>
                <c:pt idx="17">
                  <c:v>11739.130434782606</c:v>
                </c:pt>
                <c:pt idx="18">
                  <c:v>12391.304347826084</c:v>
                </c:pt>
                <c:pt idx="19">
                  <c:v>13043.478260869562</c:v>
                </c:pt>
                <c:pt idx="20">
                  <c:v>13695.65217391304</c:v>
                </c:pt>
                <c:pt idx="21">
                  <c:v>14347.826086956518</c:v>
                </c:pt>
                <c:pt idx="22">
                  <c:v>14999.999999999996</c:v>
                </c:pt>
                <c:pt idx="23">
                  <c:v>15652.173913043474</c:v>
                </c:pt>
                <c:pt idx="24">
                  <c:v>16304.347826086952</c:v>
                </c:pt>
                <c:pt idx="25">
                  <c:v>16956.521739130432</c:v>
                </c:pt>
                <c:pt idx="26">
                  <c:v>17608.695652173912</c:v>
                </c:pt>
                <c:pt idx="27">
                  <c:v>18260.869565217392</c:v>
                </c:pt>
                <c:pt idx="28">
                  <c:v>18913.043478260872</c:v>
                </c:pt>
                <c:pt idx="29">
                  <c:v>19565.217391304352</c:v>
                </c:pt>
                <c:pt idx="30">
                  <c:v>20217.391304347831</c:v>
                </c:pt>
                <c:pt idx="31">
                  <c:v>20869.565217391311</c:v>
                </c:pt>
                <c:pt idx="32">
                  <c:v>21521.739130434791</c:v>
                </c:pt>
                <c:pt idx="33">
                  <c:v>22173.913043478271</c:v>
                </c:pt>
                <c:pt idx="34">
                  <c:v>22826.086956521751</c:v>
                </c:pt>
                <c:pt idx="35">
                  <c:v>23478.260869565231</c:v>
                </c:pt>
                <c:pt idx="36">
                  <c:v>24130.434782608711</c:v>
                </c:pt>
                <c:pt idx="37">
                  <c:v>24782.60869565219</c:v>
                </c:pt>
                <c:pt idx="38">
                  <c:v>25434.78260869567</c:v>
                </c:pt>
                <c:pt idx="39">
                  <c:v>26086.95652173915</c:v>
                </c:pt>
                <c:pt idx="40">
                  <c:v>26739.13043478263</c:v>
                </c:pt>
                <c:pt idx="41">
                  <c:v>27391.30434782611</c:v>
                </c:pt>
                <c:pt idx="42">
                  <c:v>28043.47826086959</c:v>
                </c:pt>
                <c:pt idx="43">
                  <c:v>28695.652173913069</c:v>
                </c:pt>
                <c:pt idx="44">
                  <c:v>29347.826086956549</c:v>
                </c:pt>
                <c:pt idx="45">
                  <c:v>30000.000000000029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29-4644-88BE-FD88DD808B34}"/>
            </c:ext>
          </c:extLst>
        </c:ser>
        <c:ser>
          <c:idx val="1"/>
          <c:order val="1"/>
          <c:tx>
            <c:strRef>
              <c:f>'7. MV Digital Sol'!$F$10</c:f>
              <c:strCache>
                <c:ptCount val="1"/>
                <c:pt idx="0">
                  <c:v>Real acum.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'7. MV Digital Sol'!$B$11:$B$56</c:f>
              <c:numCache>
                <c:formatCode>dd\-mmm\-yy</c:formatCode>
                <c:ptCount val="46"/>
                <c:pt idx="0">
                  <c:v>46188</c:v>
                </c:pt>
                <c:pt idx="1">
                  <c:v>46195</c:v>
                </c:pt>
                <c:pt idx="2">
                  <c:v>46202</c:v>
                </c:pt>
                <c:pt idx="3">
                  <c:v>46209</c:v>
                </c:pt>
                <c:pt idx="4">
                  <c:v>46216</c:v>
                </c:pt>
                <c:pt idx="5">
                  <c:v>46223</c:v>
                </c:pt>
                <c:pt idx="6">
                  <c:v>46230</c:v>
                </c:pt>
                <c:pt idx="7">
                  <c:v>46237</c:v>
                </c:pt>
                <c:pt idx="8">
                  <c:v>46244</c:v>
                </c:pt>
                <c:pt idx="9">
                  <c:v>46251</c:v>
                </c:pt>
                <c:pt idx="10">
                  <c:v>46258</c:v>
                </c:pt>
                <c:pt idx="11">
                  <c:v>46265</c:v>
                </c:pt>
                <c:pt idx="12">
                  <c:v>46272</c:v>
                </c:pt>
                <c:pt idx="13">
                  <c:v>46279</c:v>
                </c:pt>
                <c:pt idx="14">
                  <c:v>46286</c:v>
                </c:pt>
                <c:pt idx="15">
                  <c:v>46293</c:v>
                </c:pt>
                <c:pt idx="16">
                  <c:v>46300</c:v>
                </c:pt>
                <c:pt idx="17">
                  <c:v>46307</c:v>
                </c:pt>
                <c:pt idx="18">
                  <c:v>46314</c:v>
                </c:pt>
                <c:pt idx="19">
                  <c:v>46321</c:v>
                </c:pt>
                <c:pt idx="20">
                  <c:v>46328</c:v>
                </c:pt>
                <c:pt idx="21">
                  <c:v>46335</c:v>
                </c:pt>
                <c:pt idx="22">
                  <c:v>46342</c:v>
                </c:pt>
                <c:pt idx="23">
                  <c:v>46349</c:v>
                </c:pt>
                <c:pt idx="24">
                  <c:v>46356</c:v>
                </c:pt>
                <c:pt idx="25">
                  <c:v>46363</c:v>
                </c:pt>
                <c:pt idx="26">
                  <c:v>46370</c:v>
                </c:pt>
                <c:pt idx="27">
                  <c:v>46377</c:v>
                </c:pt>
                <c:pt idx="28">
                  <c:v>46384</c:v>
                </c:pt>
                <c:pt idx="29">
                  <c:v>46391</c:v>
                </c:pt>
                <c:pt idx="30">
                  <c:v>46398</c:v>
                </c:pt>
                <c:pt idx="31">
                  <c:v>46405</c:v>
                </c:pt>
                <c:pt idx="32">
                  <c:v>46412</c:v>
                </c:pt>
                <c:pt idx="33">
                  <c:v>46419</c:v>
                </c:pt>
                <c:pt idx="34">
                  <c:v>46426</c:v>
                </c:pt>
                <c:pt idx="35">
                  <c:v>46433</c:v>
                </c:pt>
                <c:pt idx="36">
                  <c:v>46440</c:v>
                </c:pt>
                <c:pt idx="37">
                  <c:v>46447</c:v>
                </c:pt>
                <c:pt idx="38">
                  <c:v>46454</c:v>
                </c:pt>
                <c:pt idx="39">
                  <c:v>46461</c:v>
                </c:pt>
                <c:pt idx="40">
                  <c:v>46468</c:v>
                </c:pt>
                <c:pt idx="41">
                  <c:v>46475</c:v>
                </c:pt>
                <c:pt idx="42">
                  <c:v>46482</c:v>
                </c:pt>
                <c:pt idx="43">
                  <c:v>46489</c:v>
                </c:pt>
                <c:pt idx="44">
                  <c:v>46496</c:v>
                </c:pt>
                <c:pt idx="45">
                  <c:v>46503</c:v>
                </c:pt>
              </c:numCache>
            </c:numRef>
          </c:cat>
          <c:val>
            <c:numRef>
              <c:f>'7. MV Digital Sol'!$F$11:$F$56</c:f>
              <c:numCache>
                <c:formatCode>\$#,##0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29-4644-88BE-FD88DD808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969305"/>
        <c:axId val="21314859"/>
      </c:lineChart>
      <c:dateAx>
        <c:axId val="21969305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21314859"/>
        <c:crosses val="autoZero"/>
        <c:auto val="1"/>
        <c:lblOffset val="100"/>
        <c:baseTimeUnit val="days"/>
      </c:dateAx>
      <c:valAx>
        <c:axId val="21314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219693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NI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'8. GP 16%'!$C$10</c:f>
              <c:strCache>
                <c:ptCount val="1"/>
                <c:pt idx="0">
                  <c:v>Meta</c:v>
                </c:pt>
              </c:strCache>
            </c:strRef>
          </c:tx>
          <c:spPr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'8. GP 16%'!$B$11:$B$28</c:f>
              <c:numCache>
                <c:formatCode>mmm\-yy</c:formatCode>
                <c:ptCount val="18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</c:numCache>
            </c:numRef>
          </c:cat>
          <c:val>
            <c:numRef>
              <c:f>'8. GP 16%'!$C$11:$C$28</c:f>
              <c:numCache>
                <c:formatCode>0.0%</c:formatCode>
                <c:ptCount val="18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0.16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  <c:pt idx="12">
                  <c:v>0.16</c:v>
                </c:pt>
                <c:pt idx="13">
                  <c:v>0.16</c:v>
                </c:pt>
                <c:pt idx="14">
                  <c:v>0.16</c:v>
                </c:pt>
                <c:pt idx="15">
                  <c:v>0.16</c:v>
                </c:pt>
                <c:pt idx="16">
                  <c:v>0.16</c:v>
                </c:pt>
                <c:pt idx="17">
                  <c:v>0.16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51-4717-98E7-9768E59E386F}"/>
            </c:ext>
          </c:extLst>
        </c:ser>
        <c:ser>
          <c:idx val="1"/>
          <c:order val="1"/>
          <c:tx>
            <c:strRef>
              <c:f>'8. GP 16%'!$D$10</c:f>
              <c:strCache>
                <c:ptCount val="1"/>
                <c:pt idx="0">
                  <c:v>Real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'8. GP 16%'!$B$11:$B$28</c:f>
              <c:numCache>
                <c:formatCode>mmm\-yy</c:formatCode>
                <c:ptCount val="18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</c:numCache>
            </c:numRef>
          </c:cat>
          <c:val>
            <c:numRef>
              <c:f>'8. GP 16%'!$D$11:$D$28</c:f>
              <c:numCache>
                <c:formatCode>General</c:formatCode>
                <c:ptCount val="18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51-4717-98E7-9768E59E3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894358"/>
        <c:axId val="39125805"/>
      </c:lineChart>
      <c:dateAx>
        <c:axId val="7989435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39125805"/>
        <c:crosses val="autoZero"/>
        <c:auto val="1"/>
        <c:lblOffset val="100"/>
        <c:baseTimeUnit val="months"/>
      </c:dateAx>
      <c:valAx>
        <c:axId val="391258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79894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NI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Marcador: Meta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'9. CSAT'!$C$10</c:f>
              <c:strCache>
                <c:ptCount val="1"/>
                <c:pt idx="0">
                  <c:v>Meta</c:v>
                </c:pt>
              </c:strCache>
            </c:strRef>
          </c:tx>
          <c:spPr>
            <a:ln w="475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'9. CSAT'!$B$11:$B$28</c:f>
              <c:numCache>
                <c:formatCode>mmm\-yy</c:formatCode>
                <c:ptCount val="18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</c:numCache>
            </c:numRef>
          </c:cat>
          <c:val>
            <c:numRef>
              <c:f>'9. CSAT'!$C$11:$C$28</c:f>
              <c:numCache>
                <c:formatCode>0.0</c:formatCode>
                <c:ptCount val="18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28-4E2E-8EA8-79B590D30773}"/>
            </c:ext>
          </c:extLst>
        </c:ser>
        <c:ser>
          <c:idx val="1"/>
          <c:order val="1"/>
          <c:tx>
            <c:strRef>
              <c:f>'9. CSAT'!$D$10</c:f>
              <c:strCache>
                <c:ptCount val="1"/>
                <c:pt idx="0">
                  <c:v>Real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'9. CSAT'!$B$11:$B$28</c:f>
              <c:numCache>
                <c:formatCode>mmm\-yy</c:formatCode>
                <c:ptCount val="18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  <c:pt idx="6">
                  <c:v>46388</c:v>
                </c:pt>
                <c:pt idx="7">
                  <c:v>46419</c:v>
                </c:pt>
                <c:pt idx="8">
                  <c:v>46447</c:v>
                </c:pt>
                <c:pt idx="9">
                  <c:v>46478</c:v>
                </c:pt>
                <c:pt idx="10">
                  <c:v>46508</c:v>
                </c:pt>
                <c:pt idx="11">
                  <c:v>46539</c:v>
                </c:pt>
                <c:pt idx="12">
                  <c:v>46569</c:v>
                </c:pt>
                <c:pt idx="13">
                  <c:v>46600</c:v>
                </c:pt>
                <c:pt idx="14">
                  <c:v>46631</c:v>
                </c:pt>
                <c:pt idx="15">
                  <c:v>46661</c:v>
                </c:pt>
                <c:pt idx="16">
                  <c:v>46692</c:v>
                </c:pt>
                <c:pt idx="17">
                  <c:v>46722</c:v>
                </c:pt>
              </c:numCache>
            </c:numRef>
          </c:cat>
          <c:val>
            <c:numRef>
              <c:f>'9. CSAT'!$D$11:$D$28</c:f>
              <c:numCache>
                <c:formatCode>General</c:formatCode>
                <c:ptCount val="18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328-4E2E-8EA8-79B590D30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582394"/>
        <c:axId val="72682010"/>
      </c:lineChart>
      <c:dateAx>
        <c:axId val="7458239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72682010"/>
        <c:crosses val="autoZero"/>
        <c:auto val="1"/>
        <c:lblOffset val="100"/>
        <c:baseTimeUnit val="months"/>
      </c:dateAx>
      <c:valAx>
        <c:axId val="726820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74582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NI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131040</xdr:rowOff>
    </xdr:from>
    <xdr:to>
      <xdr:col>16</xdr:col>
      <xdr:colOff>147600</xdr:colOff>
      <xdr:row>17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190440</xdr:rowOff>
    </xdr:from>
    <xdr:to>
      <xdr:col>34</xdr:col>
      <xdr:colOff>259495</xdr:colOff>
      <xdr:row>14</xdr:row>
      <xdr:rowOff>27065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190440</xdr:rowOff>
    </xdr:from>
    <xdr:to>
      <xdr:col>34</xdr:col>
      <xdr:colOff>259495</xdr:colOff>
      <xdr:row>14</xdr:row>
      <xdr:rowOff>27065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190440</xdr:rowOff>
    </xdr:from>
    <xdr:to>
      <xdr:col>34</xdr:col>
      <xdr:colOff>256320</xdr:colOff>
      <xdr:row>14</xdr:row>
      <xdr:rowOff>30240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ablero_WIG_4DX_GBM.xlsx" TargetMode="External"/><Relationship Id="rId3" Type="http://schemas.openxmlformats.org/officeDocument/2006/relationships/hyperlink" Target="Tablero_WIG_4DX_GBM.xlsx" TargetMode="External"/><Relationship Id="rId7" Type="http://schemas.openxmlformats.org/officeDocument/2006/relationships/hyperlink" Target="Tablero_WIG_4DX_GBM.xlsx" TargetMode="External"/><Relationship Id="rId2" Type="http://schemas.openxmlformats.org/officeDocument/2006/relationships/hyperlink" Target="Tablero_WIG_4DX_GBM.xlsx" TargetMode="External"/><Relationship Id="rId1" Type="http://schemas.openxmlformats.org/officeDocument/2006/relationships/hyperlink" Target="Tablero_WIG_4DX_GBM.xlsx" TargetMode="External"/><Relationship Id="rId6" Type="http://schemas.openxmlformats.org/officeDocument/2006/relationships/hyperlink" Target="Tablero_WIG_4DX_GBM.xlsx" TargetMode="External"/><Relationship Id="rId5" Type="http://schemas.openxmlformats.org/officeDocument/2006/relationships/hyperlink" Target="Tablero_WIG_4DX_GBM.xlsx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Tablero_WIG_4DX_GBM.xlsx" TargetMode="External"/><Relationship Id="rId9" Type="http://schemas.openxmlformats.org/officeDocument/2006/relationships/hyperlink" Target="Tablero_WIG_4DX_GBM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52" customWidth="1"/>
    <col min="3" max="3" width="16" customWidth="1"/>
    <col min="4" max="4" width="30" customWidth="1"/>
    <col min="5" max="7" width="11" customWidth="1"/>
    <col min="8" max="8" width="16" customWidth="1"/>
  </cols>
  <sheetData>
    <row r="1" spans="1:8" ht="20" x14ac:dyDescent="0.4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35">
      <c r="A2" s="5" t="s">
        <v>1</v>
      </c>
      <c r="B2" s="5"/>
      <c r="C2" s="5"/>
      <c r="D2" s="5"/>
      <c r="E2" s="5"/>
      <c r="F2" s="5"/>
      <c r="G2" s="5"/>
      <c r="H2" s="5"/>
    </row>
    <row r="4" spans="1:8" x14ac:dyDescent="0.35">
      <c r="A4" s="7" t="s">
        <v>2</v>
      </c>
      <c r="C4" s="8">
        <v>1000000</v>
      </c>
    </row>
    <row r="6" spans="1:8" x14ac:dyDescent="0.35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</row>
    <row r="7" spans="1:8" x14ac:dyDescent="0.35">
      <c r="A7" s="10">
        <v>46388</v>
      </c>
      <c r="B7" s="11">
        <f t="shared" ref="B7:B18" si="0">$C$4/12</f>
        <v>83333.333333333328</v>
      </c>
      <c r="C7" s="12"/>
      <c r="D7" s="11">
        <f>SUM($B$7:B7)</f>
        <v>83333.333333333328</v>
      </c>
      <c r="E7" s="11">
        <f>SUM($C$7:C7)</f>
        <v>0</v>
      </c>
      <c r="F7" s="13" t="str">
        <f>IF(COUNT($C$7:C7)=0,"",E7/D7)</f>
        <v/>
      </c>
      <c r="G7" s="14" t="str">
        <f t="shared" ref="G7:G18" si="1">IF(F7="","",IF(F7&gt;=0.95,"En meta",IF(F7&gt;=0.8,"Riesgo","Atrasado")))</f>
        <v/>
      </c>
    </row>
    <row r="8" spans="1:8" x14ac:dyDescent="0.35">
      <c r="A8" s="15">
        <v>46419</v>
      </c>
      <c r="B8" s="16">
        <f t="shared" si="0"/>
        <v>83333.333333333328</v>
      </c>
      <c r="C8" s="12"/>
      <c r="D8" s="16">
        <f>SUM($B$7:B8)</f>
        <v>166666.66666666666</v>
      </c>
      <c r="E8" s="16">
        <f>SUM($C$7:C8)</f>
        <v>0</v>
      </c>
      <c r="F8" s="17" t="str">
        <f>IF(COUNT($C$7:C8)=0,"",E8/D8)</f>
        <v/>
      </c>
      <c r="G8" s="18" t="str">
        <f t="shared" si="1"/>
        <v/>
      </c>
    </row>
    <row r="9" spans="1:8" x14ac:dyDescent="0.35">
      <c r="A9" s="10">
        <v>46447</v>
      </c>
      <c r="B9" s="11">
        <f t="shared" si="0"/>
        <v>83333.333333333328</v>
      </c>
      <c r="C9" s="12"/>
      <c r="D9" s="11">
        <f>SUM($B$7:B9)</f>
        <v>250000</v>
      </c>
      <c r="E9" s="11">
        <f>SUM($C$7:C9)</f>
        <v>0</v>
      </c>
      <c r="F9" s="13" t="str">
        <f>IF(COUNT($C$7:C9)=0,"",E9/D9)</f>
        <v/>
      </c>
      <c r="G9" s="14" t="str">
        <f t="shared" si="1"/>
        <v/>
      </c>
    </row>
    <row r="10" spans="1:8" x14ac:dyDescent="0.35">
      <c r="A10" s="15">
        <v>46478</v>
      </c>
      <c r="B10" s="16">
        <f t="shared" si="0"/>
        <v>83333.333333333328</v>
      </c>
      <c r="C10" s="12"/>
      <c r="D10" s="16">
        <f>SUM($B$7:B10)</f>
        <v>333333.33333333331</v>
      </c>
      <c r="E10" s="16">
        <f>SUM($C$7:C10)</f>
        <v>0</v>
      </c>
      <c r="F10" s="17" t="str">
        <f>IF(COUNT($C$7:C10)=0,"",E10/D10)</f>
        <v/>
      </c>
      <c r="G10" s="18" t="str">
        <f t="shared" si="1"/>
        <v/>
      </c>
    </row>
    <row r="11" spans="1:8" x14ac:dyDescent="0.35">
      <c r="A11" s="10">
        <v>46508</v>
      </c>
      <c r="B11" s="11">
        <f t="shared" si="0"/>
        <v>83333.333333333328</v>
      </c>
      <c r="C11" s="12"/>
      <c r="D11" s="11">
        <f>SUM($B$7:B11)</f>
        <v>416666.66666666663</v>
      </c>
      <c r="E11" s="11">
        <f>SUM($C$7:C11)</f>
        <v>0</v>
      </c>
      <c r="F11" s="13" t="str">
        <f>IF(COUNT($C$7:C11)=0,"",E11/D11)</f>
        <v/>
      </c>
      <c r="G11" s="14" t="str">
        <f t="shared" si="1"/>
        <v/>
      </c>
    </row>
    <row r="12" spans="1:8" x14ac:dyDescent="0.35">
      <c r="A12" s="15">
        <v>46539</v>
      </c>
      <c r="B12" s="16">
        <f t="shared" si="0"/>
        <v>83333.333333333328</v>
      </c>
      <c r="C12" s="12"/>
      <c r="D12" s="16">
        <f>SUM($B$7:B12)</f>
        <v>499999.99999999994</v>
      </c>
      <c r="E12" s="16">
        <f>SUM($C$7:C12)</f>
        <v>0</v>
      </c>
      <c r="F12" s="17" t="str">
        <f>IF(COUNT($C$7:C12)=0,"",E12/D12)</f>
        <v/>
      </c>
      <c r="G12" s="18" t="str">
        <f t="shared" si="1"/>
        <v/>
      </c>
    </row>
    <row r="13" spans="1:8" x14ac:dyDescent="0.35">
      <c r="A13" s="10">
        <v>46569</v>
      </c>
      <c r="B13" s="11">
        <f t="shared" si="0"/>
        <v>83333.333333333328</v>
      </c>
      <c r="C13" s="12"/>
      <c r="D13" s="11">
        <f>SUM($B$7:B13)</f>
        <v>583333.33333333326</v>
      </c>
      <c r="E13" s="11">
        <f>SUM($C$7:C13)</f>
        <v>0</v>
      </c>
      <c r="F13" s="13" t="str">
        <f>IF(COUNT($C$7:C13)=0,"",E13/D13)</f>
        <v/>
      </c>
      <c r="G13" s="14" t="str">
        <f t="shared" si="1"/>
        <v/>
      </c>
    </row>
    <row r="14" spans="1:8" x14ac:dyDescent="0.35">
      <c r="A14" s="15">
        <v>46600</v>
      </c>
      <c r="B14" s="16">
        <f t="shared" si="0"/>
        <v>83333.333333333328</v>
      </c>
      <c r="C14" s="12"/>
      <c r="D14" s="16">
        <f>SUM($B$7:B14)</f>
        <v>666666.66666666663</v>
      </c>
      <c r="E14" s="16">
        <f>SUM($C$7:C14)</f>
        <v>0</v>
      </c>
      <c r="F14" s="17" t="str">
        <f>IF(COUNT($C$7:C14)=0,"",E14/D14)</f>
        <v/>
      </c>
      <c r="G14" s="18" t="str">
        <f t="shared" si="1"/>
        <v/>
      </c>
    </row>
    <row r="15" spans="1:8" x14ac:dyDescent="0.35">
      <c r="A15" s="10">
        <v>46631</v>
      </c>
      <c r="B15" s="11">
        <f t="shared" si="0"/>
        <v>83333.333333333328</v>
      </c>
      <c r="C15" s="12"/>
      <c r="D15" s="11">
        <f>SUM($B$7:B15)</f>
        <v>750000</v>
      </c>
      <c r="E15" s="11">
        <f>SUM($C$7:C15)</f>
        <v>0</v>
      </c>
      <c r="F15" s="13" t="str">
        <f>IF(COUNT($C$7:C15)=0,"",E15/D15)</f>
        <v/>
      </c>
      <c r="G15" s="14" t="str">
        <f t="shared" si="1"/>
        <v/>
      </c>
    </row>
    <row r="16" spans="1:8" x14ac:dyDescent="0.35">
      <c r="A16" s="15">
        <v>46661</v>
      </c>
      <c r="B16" s="16">
        <f t="shared" si="0"/>
        <v>83333.333333333328</v>
      </c>
      <c r="C16" s="12"/>
      <c r="D16" s="16">
        <f>SUM($B$7:B16)</f>
        <v>833333.33333333337</v>
      </c>
      <c r="E16" s="16">
        <f>SUM($C$7:C16)</f>
        <v>0</v>
      </c>
      <c r="F16" s="17" t="str">
        <f>IF(COUNT($C$7:C16)=0,"",E16/D16)</f>
        <v/>
      </c>
      <c r="G16" s="18" t="str">
        <f t="shared" si="1"/>
        <v/>
      </c>
    </row>
    <row r="17" spans="1:8" x14ac:dyDescent="0.35">
      <c r="A17" s="10">
        <v>46692</v>
      </c>
      <c r="B17" s="11">
        <f t="shared" si="0"/>
        <v>83333.333333333328</v>
      </c>
      <c r="C17" s="12"/>
      <c r="D17" s="11">
        <f>SUM($B$7:B17)</f>
        <v>916666.66666666674</v>
      </c>
      <c r="E17" s="11">
        <f>SUM($C$7:C17)</f>
        <v>0</v>
      </c>
      <c r="F17" s="13" t="str">
        <f>IF(COUNT($C$7:C17)=0,"",E17/D17)</f>
        <v/>
      </c>
      <c r="G17" s="14" t="str">
        <f t="shared" si="1"/>
        <v/>
      </c>
    </row>
    <row r="18" spans="1:8" x14ac:dyDescent="0.35">
      <c r="A18" s="15">
        <v>46722</v>
      </c>
      <c r="B18" s="16">
        <f t="shared" si="0"/>
        <v>83333.333333333328</v>
      </c>
      <c r="C18" s="12"/>
      <c r="D18" s="16">
        <f>SUM($B$7:B18)</f>
        <v>1000000.0000000001</v>
      </c>
      <c r="E18" s="16">
        <f>SUM($C$7:C18)</f>
        <v>0</v>
      </c>
      <c r="F18" s="17" t="str">
        <f>IF(COUNT($C$7:C18)=0,"",E18/D18)</f>
        <v/>
      </c>
      <c r="G18" s="18" t="str">
        <f t="shared" si="1"/>
        <v/>
      </c>
    </row>
    <row r="21" spans="1:8" ht="15.5" x14ac:dyDescent="0.35">
      <c r="A21" s="19" t="s">
        <v>10</v>
      </c>
    </row>
    <row r="22" spans="1:8" x14ac:dyDescent="0.35">
      <c r="A22" s="9" t="s">
        <v>11</v>
      </c>
      <c r="B22" s="9" t="s">
        <v>12</v>
      </c>
      <c r="C22" s="9" t="s">
        <v>13</v>
      </c>
      <c r="D22" s="9" t="s">
        <v>14</v>
      </c>
      <c r="E22" s="9" t="s">
        <v>15</v>
      </c>
      <c r="F22" s="9" t="s">
        <v>16</v>
      </c>
      <c r="G22" s="9" t="s">
        <v>9</v>
      </c>
      <c r="H22" s="9" t="s">
        <v>17</v>
      </c>
    </row>
    <row r="23" spans="1:8" ht="30" customHeight="1" x14ac:dyDescent="0.35">
      <c r="A23" s="20">
        <v>1</v>
      </c>
      <c r="B23" s="21" t="s">
        <v>18</v>
      </c>
      <c r="C23" s="22" t="str">
        <f>'1. Smart User 500'!$B$4</f>
        <v>Por asignar</v>
      </c>
      <c r="D23" s="23" t="s">
        <v>19</v>
      </c>
      <c r="E23" s="24">
        <f>'1. Smart User 500'!$B$5</f>
        <v>500</v>
      </c>
      <c r="F23" s="24">
        <f>IFERROR(LOOKUP(2,1/('1. Smart User 500'!$D$11:$D$39&lt;&gt;""),'1. Smart User 500'!$D$11:$D$39),"Sin datos")</f>
        <v>11.01</v>
      </c>
      <c r="G23" s="25" t="str">
        <f>IFERROR(LOOKUP(2,1/('1. Smart User 500'!$D$11:$D$39&lt;&gt;""),'1. Smart User 500'!$H$11:$H$39),"Sin datos")</f>
        <v>En meta</v>
      </c>
      <c r="H23" s="26" t="s">
        <v>20</v>
      </c>
    </row>
    <row r="24" spans="1:8" ht="30" customHeight="1" x14ac:dyDescent="0.35">
      <c r="A24" s="27">
        <v>2</v>
      </c>
      <c r="B24" s="28" t="s">
        <v>21</v>
      </c>
      <c r="C24" s="29" t="str">
        <f>'2. MV Advisory'!$B$4</f>
        <v>Por asignar</v>
      </c>
      <c r="D24" s="30" t="s">
        <v>22</v>
      </c>
      <c r="E24" s="31">
        <f>'2. MV Advisory'!$B$5</f>
        <v>10000</v>
      </c>
      <c r="F24" s="31" t="str">
        <f>IFERROR(LOOKUP(2,1/('2. MV Advisory'!$D$11:$D$52&lt;&gt;""),'2. MV Advisory'!$D$11:$D$52),"Sin datos")</f>
        <v>Sin datos</v>
      </c>
      <c r="G24" s="32" t="str">
        <f>IFERROR(LOOKUP(2,1/('2. MV Advisory'!$D$11:$D$52&lt;&gt;""),'2. MV Advisory'!$H$11:$H$52),"Sin datos")</f>
        <v>Sin datos</v>
      </c>
      <c r="H24" s="33" t="s">
        <v>23</v>
      </c>
    </row>
    <row r="25" spans="1:8" ht="30" customHeight="1" x14ac:dyDescent="0.35">
      <c r="A25" s="20">
        <v>3</v>
      </c>
      <c r="B25" s="21" t="s">
        <v>24</v>
      </c>
      <c r="C25" s="22" t="str">
        <f>'3. Negocios +30K GP'!$B$4</f>
        <v>Por asignar</v>
      </c>
      <c r="D25" s="23" t="s">
        <v>25</v>
      </c>
      <c r="E25" s="24">
        <f>'3. Negocios +30K GP'!$B$5</f>
        <v>10</v>
      </c>
      <c r="F25" s="24">
        <f>IFERROR(LOOKUP(2,1/('3. Negocios +30K GP'!$D$11:$D$91&lt;&gt;""),'3. Negocios +30K GP'!$D$11:$D$91),"Sin datos")</f>
        <v>0</v>
      </c>
      <c r="G25" s="25" t="str">
        <f>IFERROR(LOOKUP(2,1/('3. Negocios +30K GP'!$D$11:$D$91&lt;&gt;""),'3. Negocios +30K GP'!$H$11:$H$91),"Sin datos")</f>
        <v>En meta</v>
      </c>
      <c r="H25" s="26" t="s">
        <v>26</v>
      </c>
    </row>
    <row r="26" spans="1:8" ht="30" customHeight="1" x14ac:dyDescent="0.35">
      <c r="A26" s="27">
        <v>4</v>
      </c>
      <c r="B26" s="28" t="s">
        <v>27</v>
      </c>
      <c r="C26" s="29" t="str">
        <f>'4. Entregas 100%'!$B$4</f>
        <v>Por asignar</v>
      </c>
      <c r="D26" s="30" t="s">
        <v>28</v>
      </c>
      <c r="E26" s="34">
        <f>'4. Entregas 100%'!$B$5</f>
        <v>1</v>
      </c>
      <c r="F26" s="34" t="str">
        <f>IFERROR(LOOKUP(2,1/('4. Entregas 100%'!$D$11:$D$91&lt;&gt;""),'4. Entregas 100%'!$D$11:$D$91),"Sin datos")</f>
        <v>Sin datos</v>
      </c>
      <c r="G26" s="32" t="str">
        <f>IFERROR(LOOKUP(2,1/('4. Entregas 100%'!$D$11:$D$91&lt;&gt;""),'4. Entregas 100%'!$H$11:$H$91),"Sin datos")</f>
        <v>Sin datos</v>
      </c>
      <c r="H26" s="33" t="s">
        <v>29</v>
      </c>
    </row>
    <row r="27" spans="1:8" ht="30" customHeight="1" x14ac:dyDescent="0.35">
      <c r="A27" s="20">
        <v>5</v>
      </c>
      <c r="B27" s="21" t="s">
        <v>30</v>
      </c>
      <c r="C27" s="22" t="str">
        <f>'5. MV Datacenter'!$B$4</f>
        <v>Por asignar</v>
      </c>
      <c r="D27" s="23" t="s">
        <v>31</v>
      </c>
      <c r="E27" s="35">
        <f>'5. MV Datacenter'!$B$5</f>
        <v>20000</v>
      </c>
      <c r="F27" s="35" t="str">
        <f>IFERROR(LOOKUP(2,1/('5. MV Datacenter'!$D$11:$D$91&lt;&gt;""),'5. MV Datacenter'!$D$11:$D$91),"Sin datos")</f>
        <v>Sin datos</v>
      </c>
      <c r="G27" s="25" t="str">
        <f>IFERROR(LOOKUP(2,1/('5. MV Datacenter'!$D$11:$D$91&lt;&gt;""),'5. MV Datacenter'!$H$11:$H$91),"Sin datos")</f>
        <v>Sin datos</v>
      </c>
      <c r="H27" s="26" t="s">
        <v>32</v>
      </c>
    </row>
    <row r="28" spans="1:8" ht="30" customHeight="1" x14ac:dyDescent="0.35">
      <c r="A28" s="27">
        <v>6</v>
      </c>
      <c r="B28" s="28" t="s">
        <v>33</v>
      </c>
      <c r="C28" s="29" t="str">
        <f>'6. Cero Expired'!$B$4</f>
        <v>Por asignar</v>
      </c>
      <c r="D28" s="30" t="s">
        <v>34</v>
      </c>
      <c r="E28" s="36">
        <f>'6. Cero Expired'!$B$5</f>
        <v>0</v>
      </c>
      <c r="F28" s="36" t="str">
        <f>IFERROR(LOOKUP(2,1/('6. Cero Expired'!$D$11:$D$91&lt;&gt;""),'6. Cero Expired'!$D$11:$D$91),"Sin datos")</f>
        <v>Sin datos</v>
      </c>
      <c r="G28" s="32" t="str">
        <f>IFERROR(LOOKUP(2,1/('6. Cero Expired'!$D$11:$D$91&lt;&gt;""),'6. Cero Expired'!$H$11:$H$91),"Sin datos")</f>
        <v>Sin datos</v>
      </c>
      <c r="H28" s="33" t="s">
        <v>35</v>
      </c>
    </row>
    <row r="29" spans="1:8" ht="30" customHeight="1" x14ac:dyDescent="0.35">
      <c r="A29" s="20">
        <v>7</v>
      </c>
      <c r="B29" s="21" t="s">
        <v>36</v>
      </c>
      <c r="C29" s="22" t="str">
        <f>'7. MV Digital Sol'!$B$4</f>
        <v>Por asignar</v>
      </c>
      <c r="D29" s="23" t="s">
        <v>37</v>
      </c>
      <c r="E29" s="35">
        <f>'7. MV Digital Sol'!$B$5</f>
        <v>30000</v>
      </c>
      <c r="F29" s="35" t="str">
        <f>IFERROR(LOOKUP(2,1/('7. MV Digital Sol'!$D$11:$D$56&lt;&gt;""),'7. MV Digital Sol'!$D$11:$D$56),"Sin datos")</f>
        <v>Sin datos</v>
      </c>
      <c r="G29" s="25" t="str">
        <f>IFERROR(LOOKUP(2,1/('7. MV Digital Sol'!$D$11:$D$56&lt;&gt;""),'7. MV Digital Sol'!$H$11:$H$56),"Sin datos")</f>
        <v>Sin datos</v>
      </c>
      <c r="H29" s="26" t="s">
        <v>38</v>
      </c>
    </row>
    <row r="30" spans="1:8" ht="30" customHeight="1" x14ac:dyDescent="0.35">
      <c r="A30" s="27">
        <v>8</v>
      </c>
      <c r="B30" s="28" t="s">
        <v>39</v>
      </c>
      <c r="C30" s="29" t="str">
        <f>'8. GP 16%'!$B$4</f>
        <v>Por asignar</v>
      </c>
      <c r="D30" s="30" t="s">
        <v>40</v>
      </c>
      <c r="E30" s="34">
        <f>'8. GP 16%'!$B$5</f>
        <v>0.16</v>
      </c>
      <c r="F30" s="34" t="str">
        <f>IFERROR(LOOKUP(2,1/('8. GP 16%'!$D$11:$D$28&lt;&gt;""),'8. GP 16%'!$D$11:$D$28),"Sin datos")</f>
        <v>Sin datos</v>
      </c>
      <c r="G30" s="32" t="str">
        <f>IFERROR(LOOKUP(2,1/('8. GP 16%'!$D$11:$D$28&lt;&gt;""),'8. GP 16%'!$H$11:$H$28),"Sin datos")</f>
        <v>Sin datos</v>
      </c>
      <c r="H30" s="33" t="s">
        <v>41</v>
      </c>
    </row>
    <row r="31" spans="1:8" ht="30" customHeight="1" x14ac:dyDescent="0.35">
      <c r="A31" s="20">
        <v>9</v>
      </c>
      <c r="B31" s="21" t="s">
        <v>42</v>
      </c>
      <c r="C31" s="22" t="str">
        <f>'9. CSAT'!$B$4</f>
        <v>Por asignar</v>
      </c>
      <c r="D31" s="23" t="s">
        <v>43</v>
      </c>
      <c r="E31" s="37">
        <f>'9. CSAT'!$B$5</f>
        <v>4.5</v>
      </c>
      <c r="F31" s="37" t="str">
        <f>IFERROR(LOOKUP(2,1/('9. CSAT'!$D$11:$D$28&lt;&gt;""),'9. CSAT'!$D$11:$D$28),"Sin datos")</f>
        <v>Sin datos</v>
      </c>
      <c r="G31" s="25" t="str">
        <f>IFERROR(LOOKUP(2,1/('9. CSAT'!$D$11:$D$28&lt;&gt;""),'9. CSAT'!$H$11:$H$28),"Sin datos")</f>
        <v>Sin datos</v>
      </c>
      <c r="H31" s="26" t="s">
        <v>44</v>
      </c>
    </row>
  </sheetData>
  <mergeCells count="2">
    <mergeCell ref="A1:H1"/>
    <mergeCell ref="A2:H2"/>
  </mergeCells>
  <conditionalFormatting sqref="G7:G18">
    <cfRule type="containsText" dxfId="32" priority="2" operator="containsText" text="En meta">
      <formula>NOT(ISERROR(SEARCH("En meta",G7)))</formula>
    </cfRule>
    <cfRule type="containsText" dxfId="31" priority="3" operator="containsText" text="Riesgo">
      <formula>NOT(ISERROR(SEARCH("Riesgo",G7)))</formula>
    </cfRule>
    <cfRule type="containsText" dxfId="30" priority="4" operator="containsText" text="Atrasado">
      <formula>NOT(ISERROR(SEARCH("Atrasado",G7)))</formula>
    </cfRule>
  </conditionalFormatting>
  <conditionalFormatting sqref="G23:G31">
    <cfRule type="containsText" dxfId="29" priority="5" operator="containsText" text="En meta">
      <formula>NOT(ISERROR(SEARCH("En meta",G23)))</formula>
    </cfRule>
    <cfRule type="containsText" dxfId="28" priority="6" operator="containsText" text="Riesgo">
      <formula>NOT(ISERROR(SEARCH("Riesgo",G23)))</formula>
    </cfRule>
    <cfRule type="containsText" dxfId="27" priority="7" operator="containsText" text="Atrasado">
      <formula>NOT(ISERROR(SEARCH("Atrasado",G23)))</formula>
    </cfRule>
  </conditionalFormatting>
  <hyperlinks>
    <hyperlink ref="H23" r:id="rId1" location="'1.%20Smart%20User%20500'!A1" xr:uid="{00000000-0004-0000-0000-000000000000}"/>
    <hyperlink ref="H24" r:id="rId2" location="'2.%20MV%20Advisory'!A1" xr:uid="{00000000-0004-0000-0000-000001000000}"/>
    <hyperlink ref="H25" r:id="rId3" location="'3.%20Negocios%20+30K%20GP'!A1" xr:uid="{00000000-0004-0000-0000-000002000000}"/>
    <hyperlink ref="H26" r:id="rId4" location="'4.%20Entregas%20100%25'!A1" xr:uid="{00000000-0004-0000-0000-000003000000}"/>
    <hyperlink ref="H27" r:id="rId5" location="'5.%20MV%20Datacenter'!A1" xr:uid="{00000000-0004-0000-0000-000004000000}"/>
    <hyperlink ref="H28" r:id="rId6" location="'6.%20Cero%20Expired'!A1" xr:uid="{00000000-0004-0000-0000-000005000000}"/>
    <hyperlink ref="H29" r:id="rId7" location="'7.%20MV%20Digital%20Sol'!A1" xr:uid="{00000000-0004-0000-0000-000006000000}"/>
    <hyperlink ref="H30" r:id="rId8" location="'8.%20GP%2016%25'!A1" xr:uid="{00000000-0004-0000-0000-000007000000}"/>
    <hyperlink ref="H31" r:id="rId9" location="'9.%20CSAT'!A1" xr:uid="{00000000-0004-0000-0000-000008000000}"/>
  </hyperlinks>
  <pageMargins left="0.75" right="0.75" top="1" bottom="1" header="0.511811023622047" footer="0.511811023622047"/>
  <pageSetup paperSize="9" orientation="portrait" horizontalDpi="300" verticalDpi="300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9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D13" sqref="D13"/>
    </sheetView>
  </sheetViews>
  <sheetFormatPr defaultColWidth="8.6328125" defaultRowHeight="14.5" x14ac:dyDescent="0.35"/>
  <cols>
    <col min="1" max="1" width="5" customWidth="1"/>
    <col min="2" max="2" width="11" customWidth="1"/>
    <col min="3" max="3" width="12" customWidth="1"/>
    <col min="4" max="4" width="11" customWidth="1"/>
    <col min="5" max="6" width="12" customWidth="1"/>
    <col min="7" max="7" width="13" customWidth="1"/>
    <col min="8" max="9" width="11" customWidth="1"/>
    <col min="10" max="10" width="7" customWidth="1"/>
    <col min="11" max="11" width="11" customWidth="1"/>
    <col min="12" max="12" width="7" customWidth="1"/>
    <col min="13" max="13" width="11" customWidth="1"/>
    <col min="14" max="14" width="7" customWidth="1"/>
    <col min="15" max="15" width="11" customWidth="1"/>
    <col min="16" max="16" width="7" customWidth="1"/>
    <col min="17" max="17" width="11" customWidth="1"/>
    <col min="18" max="18" width="7" customWidth="1"/>
    <col min="19" max="19" width="11" customWidth="1"/>
    <col min="20" max="20" width="7" customWidth="1"/>
    <col min="21" max="21" width="11" customWidth="1"/>
    <col min="22" max="22" width="7" customWidth="1"/>
    <col min="23" max="23" width="11" customWidth="1"/>
    <col min="24" max="24" width="7" customWidth="1"/>
  </cols>
  <sheetData>
    <row r="1" spans="1:24" ht="18" x14ac:dyDescent="0.4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7" t="s">
        <v>46</v>
      </c>
      <c r="B2" s="38" t="s">
        <v>47</v>
      </c>
    </row>
    <row r="3" spans="1:24" x14ac:dyDescent="0.35">
      <c r="A3" s="7" t="s">
        <v>48</v>
      </c>
      <c r="B3" s="38" t="s">
        <v>49</v>
      </c>
    </row>
    <row r="4" spans="1:24" x14ac:dyDescent="0.35">
      <c r="A4" s="7" t="s">
        <v>50</v>
      </c>
      <c r="B4" s="39" t="s">
        <v>51</v>
      </c>
      <c r="D4" s="7" t="s">
        <v>52</v>
      </c>
      <c r="E4" s="38" t="s">
        <v>19</v>
      </c>
    </row>
    <row r="5" spans="1:24" x14ac:dyDescent="0.35">
      <c r="A5" s="7" t="s">
        <v>53</v>
      </c>
      <c r="B5" s="40">
        <v>500</v>
      </c>
      <c r="D5" s="7" t="s">
        <v>54</v>
      </c>
      <c r="E5" s="41">
        <v>46188</v>
      </c>
      <c r="G5" s="7" t="s">
        <v>55</v>
      </c>
      <c r="H5" s="41">
        <v>46384</v>
      </c>
    </row>
    <row r="6" spans="1:24" x14ac:dyDescent="0.35">
      <c r="A6" s="7" t="s">
        <v>56</v>
      </c>
      <c r="B6" s="38" t="s">
        <v>57</v>
      </c>
    </row>
    <row r="8" spans="1:24" ht="42" customHeight="1" x14ac:dyDescent="0.35">
      <c r="A8" s="7" t="s">
        <v>58</v>
      </c>
      <c r="B8" s="42">
        <f>COUNT(A11:A39)</f>
        <v>29</v>
      </c>
      <c r="H8" s="43" t="s">
        <v>59</v>
      </c>
      <c r="I8" s="3" t="s">
        <v>60</v>
      </c>
      <c r="J8" s="3"/>
      <c r="K8" s="3" t="s">
        <v>61</v>
      </c>
      <c r="L8" s="3"/>
      <c r="M8" s="3" t="s">
        <v>62</v>
      </c>
      <c r="N8" s="3"/>
      <c r="O8" s="3" t="s">
        <v>63</v>
      </c>
      <c r="P8" s="3"/>
      <c r="Q8" s="3" t="s">
        <v>64</v>
      </c>
      <c r="R8" s="3"/>
      <c r="S8" s="3" t="s">
        <v>65</v>
      </c>
      <c r="T8" s="3"/>
      <c r="U8" s="3" t="s">
        <v>66</v>
      </c>
      <c r="V8" s="3"/>
      <c r="W8" s="3" t="s">
        <v>67</v>
      </c>
      <c r="X8" s="3"/>
    </row>
    <row r="9" spans="1:24" x14ac:dyDescent="0.35">
      <c r="A9" s="44" t="s">
        <v>68</v>
      </c>
      <c r="H9" s="43" t="s">
        <v>69</v>
      </c>
      <c r="I9" s="2">
        <v>20</v>
      </c>
      <c r="J9" s="2"/>
      <c r="K9" s="2">
        <v>2</v>
      </c>
      <c r="L9" s="2"/>
      <c r="M9" s="2">
        <v>3</v>
      </c>
      <c r="N9" s="2"/>
      <c r="O9" s="2">
        <v>30</v>
      </c>
      <c r="P9" s="2"/>
      <c r="Q9" s="2">
        <v>40</v>
      </c>
      <c r="R9" s="2"/>
      <c r="S9" s="2">
        <v>2</v>
      </c>
      <c r="T9" s="2"/>
      <c r="U9" s="1">
        <v>1</v>
      </c>
      <c r="V9" s="1"/>
      <c r="W9" s="2"/>
      <c r="X9" s="2"/>
    </row>
    <row r="10" spans="1:24" x14ac:dyDescent="0.35">
      <c r="A10" s="9" t="s">
        <v>11</v>
      </c>
      <c r="B10" s="9" t="s">
        <v>70</v>
      </c>
      <c r="C10" s="9" t="s">
        <v>71</v>
      </c>
      <c r="D10" s="9" t="s">
        <v>72</v>
      </c>
      <c r="E10" s="9" t="s">
        <v>6</v>
      </c>
      <c r="F10" s="9" t="s">
        <v>7</v>
      </c>
      <c r="G10" s="9" t="s">
        <v>8</v>
      </c>
      <c r="H10" s="9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spans="1:24" x14ac:dyDescent="0.35">
      <c r="A11" s="20">
        <v>1</v>
      </c>
      <c r="B11" s="46">
        <v>46188</v>
      </c>
      <c r="C11" s="47">
        <f t="shared" ref="C11:C39" si="0">$B$5/$B$8</f>
        <v>17.241379310344829</v>
      </c>
      <c r="D11" s="75">
        <f>+SUM(I11,K11,M11,O11,Q11,S11,U11,W11)</f>
        <v>22</v>
      </c>
      <c r="E11" s="47">
        <f>SUM($C$11:C11)</f>
        <v>17.241379310344829</v>
      </c>
      <c r="F11" s="47">
        <f>SUM($D$11:D11)</f>
        <v>22</v>
      </c>
      <c r="G11" s="49">
        <f>IF(COUNT($D$11:D11)=0,"",F11/E11)</f>
        <v>1.2759999999999998</v>
      </c>
      <c r="H11" s="50" t="str">
        <f t="shared" ref="H11:H39" si="1">IF(G11="","",IF(G11&gt;=0.95,"En meta",IF(G11&gt;=0.8,"Riesgo","Atrasado")))</f>
        <v>En meta</v>
      </c>
      <c r="I11" s="51">
        <v>3</v>
      </c>
      <c r="J11" s="52">
        <f t="shared" ref="J11:J39" si="2">IF(I11="","",IF($I$9="","",IF($I$9=0,"",I11/$I$9)))</f>
        <v>0.15</v>
      </c>
      <c r="K11" s="51">
        <v>2</v>
      </c>
      <c r="L11" s="52">
        <f t="shared" ref="L11:L39" si="3">IF(K11="","",IF($K$9="","",IF($K$9=0,"",K11/$K$9)))</f>
        <v>1</v>
      </c>
      <c r="M11" s="51">
        <v>5</v>
      </c>
      <c r="N11" s="52">
        <f t="shared" ref="N11:N39" si="4">IF(M11="","",IF($M$9="","",IF($M$9=0,"",M11/$M$9)))</f>
        <v>1.6666666666666667</v>
      </c>
      <c r="O11" s="51">
        <v>6</v>
      </c>
      <c r="P11" s="52">
        <f t="shared" ref="P11:P39" si="5">IF(O11="","",IF($O$9="","",IF($O$9=0,"",O11/$O$9)))</f>
        <v>0.2</v>
      </c>
      <c r="Q11" s="51">
        <v>2</v>
      </c>
      <c r="R11" s="52">
        <f t="shared" ref="R11:R39" si="6">IF(Q11="","",IF($Q$9="","",IF($Q$9=0,"",Q11/$Q$9)))</f>
        <v>0.05</v>
      </c>
      <c r="S11" s="51">
        <v>4</v>
      </c>
      <c r="T11" s="52">
        <f t="shared" ref="T11:T39" si="7">IF(S11="","",IF($S$9="","",IF($S$9=0,"",S11/$S$9)))</f>
        <v>2</v>
      </c>
      <c r="U11" s="53"/>
      <c r="V11" s="52" t="str">
        <f t="shared" ref="V11:V39" si="8">IF(U11="","",IF($U$9="","",IF($U$9=0,"",U11/$U$9)))</f>
        <v/>
      </c>
      <c r="W11" s="51"/>
      <c r="X11" s="52" t="str">
        <f t="shared" ref="X11:X39" si="9">IF(W11="","",IF($W$9="","",IF($W$9=0,"",W11/$W$9)))</f>
        <v/>
      </c>
    </row>
    <row r="12" spans="1:24" x14ac:dyDescent="0.35">
      <c r="A12" s="27">
        <v>2</v>
      </c>
      <c r="B12" s="54">
        <v>46195</v>
      </c>
      <c r="C12" s="55">
        <f t="shared" si="0"/>
        <v>17.241379310344829</v>
      </c>
      <c r="D12" s="75">
        <f>+SUM(I12,K12,M12,O12,Q12,S12,U12,W12)</f>
        <v>11.01</v>
      </c>
      <c r="E12" s="55">
        <f>SUM($C$11:C12)</f>
        <v>34.482758620689658</v>
      </c>
      <c r="F12" s="55">
        <f>SUM($D$11:D12)</f>
        <v>33.01</v>
      </c>
      <c r="G12" s="56">
        <f>IF(COUNT($D$11:D12)=0,"",F12/E12)</f>
        <v>0.95728999999999986</v>
      </c>
      <c r="H12" s="57" t="str">
        <f t="shared" si="1"/>
        <v>En meta</v>
      </c>
      <c r="I12" s="51">
        <v>1</v>
      </c>
      <c r="J12" s="58">
        <f t="shared" si="2"/>
        <v>0.05</v>
      </c>
      <c r="K12" s="51">
        <v>1</v>
      </c>
      <c r="L12" s="58">
        <f t="shared" si="3"/>
        <v>0.5</v>
      </c>
      <c r="M12" s="51">
        <v>1</v>
      </c>
      <c r="N12" s="58">
        <f t="shared" si="4"/>
        <v>0.33333333333333331</v>
      </c>
      <c r="O12" s="51">
        <v>2</v>
      </c>
      <c r="P12" s="58">
        <f t="shared" si="5"/>
        <v>6.6666666666666666E-2</v>
      </c>
      <c r="Q12" s="51">
        <v>4</v>
      </c>
      <c r="R12" s="58">
        <f t="shared" si="6"/>
        <v>0.1</v>
      </c>
      <c r="S12" s="51">
        <v>1</v>
      </c>
      <c r="T12" s="58">
        <f t="shared" si="7"/>
        <v>0.5</v>
      </c>
      <c r="U12" s="53">
        <v>0.01</v>
      </c>
      <c r="V12" s="58">
        <f t="shared" si="8"/>
        <v>0.01</v>
      </c>
      <c r="W12" s="51">
        <v>1</v>
      </c>
      <c r="X12" s="58" t="str">
        <f t="shared" si="9"/>
        <v/>
      </c>
    </row>
    <row r="13" spans="1:24" x14ac:dyDescent="0.35">
      <c r="A13" s="20">
        <v>3</v>
      </c>
      <c r="B13" s="46">
        <v>46202</v>
      </c>
      <c r="C13" s="47">
        <f t="shared" si="0"/>
        <v>17.241379310344829</v>
      </c>
      <c r="D13" s="48"/>
      <c r="E13" s="47">
        <f>SUM($C$11:C13)</f>
        <v>51.724137931034491</v>
      </c>
      <c r="F13" s="47">
        <f>SUM($D$11:D13)</f>
        <v>33.01</v>
      </c>
      <c r="G13" s="49">
        <f>IF(COUNT($D$11:D13)=0,"",F13/E13)</f>
        <v>0.63819333333333317</v>
      </c>
      <c r="H13" s="50" t="str">
        <f t="shared" si="1"/>
        <v>Atrasado</v>
      </c>
      <c r="I13" s="51"/>
      <c r="J13" s="52" t="str">
        <f t="shared" si="2"/>
        <v/>
      </c>
      <c r="K13" s="51"/>
      <c r="L13" s="52" t="str">
        <f t="shared" si="3"/>
        <v/>
      </c>
      <c r="M13" s="51"/>
      <c r="N13" s="52" t="str">
        <f t="shared" si="4"/>
        <v/>
      </c>
      <c r="O13" s="51"/>
      <c r="P13" s="52" t="str">
        <f t="shared" si="5"/>
        <v/>
      </c>
      <c r="Q13" s="51"/>
      <c r="R13" s="52" t="str">
        <f t="shared" si="6"/>
        <v/>
      </c>
      <c r="S13" s="51"/>
      <c r="T13" s="52" t="str">
        <f t="shared" si="7"/>
        <v/>
      </c>
      <c r="U13" s="53"/>
      <c r="V13" s="52" t="str">
        <f t="shared" si="8"/>
        <v/>
      </c>
      <c r="W13" s="51"/>
      <c r="X13" s="52" t="str">
        <f t="shared" si="9"/>
        <v/>
      </c>
    </row>
    <row r="14" spans="1:24" x14ac:dyDescent="0.35">
      <c r="A14" s="27">
        <v>4</v>
      </c>
      <c r="B14" s="54">
        <v>46209</v>
      </c>
      <c r="C14" s="55">
        <f t="shared" si="0"/>
        <v>17.241379310344829</v>
      </c>
      <c r="D14" s="48"/>
      <c r="E14" s="55">
        <f>SUM($C$11:C14)</f>
        <v>68.965517241379317</v>
      </c>
      <c r="F14" s="55">
        <f>SUM($D$11:D14)</f>
        <v>33.01</v>
      </c>
      <c r="G14" s="56">
        <f>IF(COUNT($D$11:D14)=0,"",F14/E14)</f>
        <v>0.47864499999999993</v>
      </c>
      <c r="H14" s="57" t="str">
        <f t="shared" si="1"/>
        <v>Atrasado</v>
      </c>
      <c r="I14" s="51"/>
      <c r="J14" s="58" t="str">
        <f t="shared" si="2"/>
        <v/>
      </c>
      <c r="K14" s="51"/>
      <c r="L14" s="58" t="str">
        <f t="shared" si="3"/>
        <v/>
      </c>
      <c r="M14" s="51"/>
      <c r="N14" s="58" t="str">
        <f t="shared" si="4"/>
        <v/>
      </c>
      <c r="O14" s="51"/>
      <c r="P14" s="58" t="str">
        <f t="shared" si="5"/>
        <v/>
      </c>
      <c r="Q14" s="51"/>
      <c r="R14" s="58" t="str">
        <f t="shared" si="6"/>
        <v/>
      </c>
      <c r="S14" s="51"/>
      <c r="T14" s="58" t="str">
        <f t="shared" si="7"/>
        <v/>
      </c>
      <c r="U14" s="53"/>
      <c r="V14" s="58" t="str">
        <f t="shared" si="8"/>
        <v/>
      </c>
      <c r="W14" s="51"/>
      <c r="X14" s="58" t="str">
        <f t="shared" si="9"/>
        <v/>
      </c>
    </row>
    <row r="15" spans="1:24" x14ac:dyDescent="0.35">
      <c r="A15" s="20">
        <v>5</v>
      </c>
      <c r="B15" s="46">
        <v>46216</v>
      </c>
      <c r="C15" s="47">
        <f t="shared" si="0"/>
        <v>17.241379310344829</v>
      </c>
      <c r="D15" s="48"/>
      <c r="E15" s="47">
        <f>SUM($C$11:C15)</f>
        <v>86.206896551724142</v>
      </c>
      <c r="F15" s="47">
        <f>SUM($D$11:D15)</f>
        <v>33.01</v>
      </c>
      <c r="G15" s="49">
        <f>IF(COUNT($D$11:D15)=0,"",F15/E15)</f>
        <v>0.38291599999999998</v>
      </c>
      <c r="H15" s="50" t="str">
        <f t="shared" si="1"/>
        <v>Atrasado</v>
      </c>
      <c r="I15" s="51"/>
      <c r="J15" s="52" t="str">
        <f t="shared" si="2"/>
        <v/>
      </c>
      <c r="K15" s="51"/>
      <c r="L15" s="52" t="str">
        <f t="shared" si="3"/>
        <v/>
      </c>
      <c r="M15" s="51"/>
      <c r="N15" s="52" t="str">
        <f t="shared" si="4"/>
        <v/>
      </c>
      <c r="O15" s="51"/>
      <c r="P15" s="52" t="str">
        <f t="shared" si="5"/>
        <v/>
      </c>
      <c r="Q15" s="51"/>
      <c r="R15" s="52" t="str">
        <f t="shared" si="6"/>
        <v/>
      </c>
      <c r="S15" s="51"/>
      <c r="T15" s="52" t="str">
        <f t="shared" si="7"/>
        <v/>
      </c>
      <c r="U15" s="53"/>
      <c r="V15" s="52" t="str">
        <f t="shared" si="8"/>
        <v/>
      </c>
      <c r="W15" s="51"/>
      <c r="X15" s="52" t="str">
        <f t="shared" si="9"/>
        <v/>
      </c>
    </row>
    <row r="16" spans="1:24" x14ac:dyDescent="0.35">
      <c r="A16" s="27">
        <v>6</v>
      </c>
      <c r="B16" s="54">
        <v>46223</v>
      </c>
      <c r="C16" s="55">
        <f t="shared" si="0"/>
        <v>17.241379310344829</v>
      </c>
      <c r="D16" s="48"/>
      <c r="E16" s="55">
        <f>SUM($C$11:C16)</f>
        <v>103.44827586206897</v>
      </c>
      <c r="F16" s="55">
        <f>SUM($D$11:D16)</f>
        <v>33.01</v>
      </c>
      <c r="G16" s="56">
        <f>IF(COUNT($D$11:D16)=0,"",F16/E16)</f>
        <v>0.31909666666666664</v>
      </c>
      <c r="H16" s="57" t="str">
        <f t="shared" si="1"/>
        <v>Atrasado</v>
      </c>
      <c r="I16" s="51"/>
      <c r="J16" s="58" t="str">
        <f t="shared" si="2"/>
        <v/>
      </c>
      <c r="K16" s="51"/>
      <c r="L16" s="58" t="str">
        <f t="shared" si="3"/>
        <v/>
      </c>
      <c r="M16" s="51"/>
      <c r="N16" s="58" t="str">
        <f t="shared" si="4"/>
        <v/>
      </c>
      <c r="O16" s="51"/>
      <c r="P16" s="58" t="str">
        <f t="shared" si="5"/>
        <v/>
      </c>
      <c r="Q16" s="51"/>
      <c r="R16" s="58" t="str">
        <f t="shared" si="6"/>
        <v/>
      </c>
      <c r="S16" s="51"/>
      <c r="T16" s="58" t="str">
        <f t="shared" si="7"/>
        <v/>
      </c>
      <c r="U16" s="53"/>
      <c r="V16" s="58" t="str">
        <f t="shared" si="8"/>
        <v/>
      </c>
      <c r="W16" s="51"/>
      <c r="X16" s="58" t="str">
        <f t="shared" si="9"/>
        <v/>
      </c>
    </row>
    <row r="17" spans="1:24" x14ac:dyDescent="0.35">
      <c r="A17" s="20">
        <v>7</v>
      </c>
      <c r="B17" s="46">
        <v>46230</v>
      </c>
      <c r="C17" s="47">
        <f t="shared" si="0"/>
        <v>17.241379310344829</v>
      </c>
      <c r="D17" s="48"/>
      <c r="E17" s="47">
        <f>SUM($C$11:C17)</f>
        <v>120.68965517241379</v>
      </c>
      <c r="F17" s="47">
        <f>SUM($D$11:D17)</f>
        <v>33.01</v>
      </c>
      <c r="G17" s="49">
        <f>IF(COUNT($D$11:D17)=0,"",F17/E17)</f>
        <v>0.27351142857142857</v>
      </c>
      <c r="H17" s="50" t="str">
        <f t="shared" si="1"/>
        <v>Atrasado</v>
      </c>
      <c r="I17" s="51"/>
      <c r="J17" s="52" t="str">
        <f t="shared" si="2"/>
        <v/>
      </c>
      <c r="K17" s="51"/>
      <c r="L17" s="52" t="str">
        <f t="shared" si="3"/>
        <v/>
      </c>
      <c r="M17" s="51"/>
      <c r="N17" s="52" t="str">
        <f t="shared" si="4"/>
        <v/>
      </c>
      <c r="O17" s="51"/>
      <c r="P17" s="52" t="str">
        <f t="shared" si="5"/>
        <v/>
      </c>
      <c r="Q17" s="51"/>
      <c r="R17" s="52" t="str">
        <f t="shared" si="6"/>
        <v/>
      </c>
      <c r="S17" s="51"/>
      <c r="T17" s="52" t="str">
        <f t="shared" si="7"/>
        <v/>
      </c>
      <c r="U17" s="53"/>
      <c r="V17" s="52" t="str">
        <f t="shared" si="8"/>
        <v/>
      </c>
      <c r="W17" s="51"/>
      <c r="X17" s="52" t="str">
        <f t="shared" si="9"/>
        <v/>
      </c>
    </row>
    <row r="18" spans="1:24" x14ac:dyDescent="0.35">
      <c r="A18" s="27">
        <v>8</v>
      </c>
      <c r="B18" s="54">
        <v>46237</v>
      </c>
      <c r="C18" s="55">
        <f t="shared" si="0"/>
        <v>17.241379310344829</v>
      </c>
      <c r="D18" s="48"/>
      <c r="E18" s="55">
        <f>SUM($C$11:C18)</f>
        <v>137.93103448275863</v>
      </c>
      <c r="F18" s="55">
        <f>SUM($D$11:D18)</f>
        <v>33.01</v>
      </c>
      <c r="G18" s="56">
        <f>IF(COUNT($D$11:D18)=0,"",F18/E18)</f>
        <v>0.23932249999999997</v>
      </c>
      <c r="H18" s="57" t="str">
        <f t="shared" si="1"/>
        <v>Atrasado</v>
      </c>
      <c r="I18" s="51"/>
      <c r="J18" s="58" t="str">
        <f t="shared" si="2"/>
        <v/>
      </c>
      <c r="K18" s="51"/>
      <c r="L18" s="58" t="str">
        <f t="shared" si="3"/>
        <v/>
      </c>
      <c r="M18" s="51"/>
      <c r="N18" s="58" t="str">
        <f t="shared" si="4"/>
        <v/>
      </c>
      <c r="O18" s="51"/>
      <c r="P18" s="58" t="str">
        <f t="shared" si="5"/>
        <v/>
      </c>
      <c r="Q18" s="51"/>
      <c r="R18" s="58" t="str">
        <f t="shared" si="6"/>
        <v/>
      </c>
      <c r="S18" s="51"/>
      <c r="T18" s="58" t="str">
        <f t="shared" si="7"/>
        <v/>
      </c>
      <c r="U18" s="53"/>
      <c r="V18" s="58" t="str">
        <f t="shared" si="8"/>
        <v/>
      </c>
      <c r="W18" s="51"/>
      <c r="X18" s="58" t="str">
        <f t="shared" si="9"/>
        <v/>
      </c>
    </row>
    <row r="19" spans="1:24" x14ac:dyDescent="0.35">
      <c r="A19" s="20">
        <v>9</v>
      </c>
      <c r="B19" s="46">
        <v>46244</v>
      </c>
      <c r="C19" s="47">
        <f t="shared" si="0"/>
        <v>17.241379310344829</v>
      </c>
      <c r="D19" s="48"/>
      <c r="E19" s="47">
        <f>SUM($C$11:C19)</f>
        <v>155.17241379310346</v>
      </c>
      <c r="F19" s="47">
        <f>SUM($D$11:D19)</f>
        <v>33.01</v>
      </c>
      <c r="G19" s="49">
        <f>IF(COUNT($D$11:D19)=0,"",F19/E19)</f>
        <v>0.21273111111111109</v>
      </c>
      <c r="H19" s="50" t="str">
        <f t="shared" si="1"/>
        <v>Atrasado</v>
      </c>
      <c r="I19" s="51"/>
      <c r="J19" s="52" t="str">
        <f t="shared" si="2"/>
        <v/>
      </c>
      <c r="K19" s="51"/>
      <c r="L19" s="52" t="str">
        <f t="shared" si="3"/>
        <v/>
      </c>
      <c r="M19" s="51"/>
      <c r="N19" s="52" t="str">
        <f t="shared" si="4"/>
        <v/>
      </c>
      <c r="O19" s="51"/>
      <c r="P19" s="52" t="str">
        <f t="shared" si="5"/>
        <v/>
      </c>
      <c r="Q19" s="51"/>
      <c r="R19" s="52" t="str">
        <f t="shared" si="6"/>
        <v/>
      </c>
      <c r="S19" s="51"/>
      <c r="T19" s="52" t="str">
        <f t="shared" si="7"/>
        <v/>
      </c>
      <c r="U19" s="53"/>
      <c r="V19" s="52" t="str">
        <f t="shared" si="8"/>
        <v/>
      </c>
      <c r="W19" s="51"/>
      <c r="X19" s="52" t="str">
        <f t="shared" si="9"/>
        <v/>
      </c>
    </row>
    <row r="20" spans="1:24" x14ac:dyDescent="0.35">
      <c r="A20" s="27">
        <v>10</v>
      </c>
      <c r="B20" s="54">
        <v>46251</v>
      </c>
      <c r="C20" s="55">
        <f t="shared" si="0"/>
        <v>17.241379310344829</v>
      </c>
      <c r="D20" s="48"/>
      <c r="E20" s="55">
        <f>SUM($C$11:C20)</f>
        <v>172.41379310344828</v>
      </c>
      <c r="F20" s="55">
        <f>SUM($D$11:D20)</f>
        <v>33.01</v>
      </c>
      <c r="G20" s="56">
        <f>IF(COUNT($D$11:D20)=0,"",F20/E20)</f>
        <v>0.19145799999999999</v>
      </c>
      <c r="H20" s="57" t="str">
        <f t="shared" si="1"/>
        <v>Atrasado</v>
      </c>
      <c r="I20" s="51"/>
      <c r="J20" s="58" t="str">
        <f t="shared" si="2"/>
        <v/>
      </c>
      <c r="K20" s="51"/>
      <c r="L20" s="58" t="str">
        <f t="shared" si="3"/>
        <v/>
      </c>
      <c r="M20" s="51"/>
      <c r="N20" s="58" t="str">
        <f t="shared" si="4"/>
        <v/>
      </c>
      <c r="O20" s="51"/>
      <c r="P20" s="58" t="str">
        <f t="shared" si="5"/>
        <v/>
      </c>
      <c r="Q20" s="51"/>
      <c r="R20" s="58" t="str">
        <f t="shared" si="6"/>
        <v/>
      </c>
      <c r="S20" s="51"/>
      <c r="T20" s="58" t="str">
        <f t="shared" si="7"/>
        <v/>
      </c>
      <c r="U20" s="53"/>
      <c r="V20" s="58" t="str">
        <f t="shared" si="8"/>
        <v/>
      </c>
      <c r="W20" s="51"/>
      <c r="X20" s="58" t="str">
        <f t="shared" si="9"/>
        <v/>
      </c>
    </row>
    <row r="21" spans="1:24" x14ac:dyDescent="0.35">
      <c r="A21" s="20">
        <v>11</v>
      </c>
      <c r="B21" s="46">
        <v>46258</v>
      </c>
      <c r="C21" s="47">
        <f t="shared" si="0"/>
        <v>17.241379310344829</v>
      </c>
      <c r="D21" s="48"/>
      <c r="E21" s="47">
        <f>SUM($C$11:C21)</f>
        <v>189.65517241379311</v>
      </c>
      <c r="F21" s="47">
        <f>SUM($D$11:D21)</f>
        <v>33.01</v>
      </c>
      <c r="G21" s="49">
        <f>IF(COUNT($D$11:D21)=0,"",F21/E21)</f>
        <v>0.17405272727272725</v>
      </c>
      <c r="H21" s="50" t="str">
        <f t="shared" si="1"/>
        <v>Atrasado</v>
      </c>
      <c r="I21" s="51"/>
      <c r="J21" s="52" t="str">
        <f t="shared" si="2"/>
        <v/>
      </c>
      <c r="K21" s="51"/>
      <c r="L21" s="52" t="str">
        <f t="shared" si="3"/>
        <v/>
      </c>
      <c r="M21" s="51"/>
      <c r="N21" s="52" t="str">
        <f t="shared" si="4"/>
        <v/>
      </c>
      <c r="O21" s="51"/>
      <c r="P21" s="52" t="str">
        <f t="shared" si="5"/>
        <v/>
      </c>
      <c r="Q21" s="51"/>
      <c r="R21" s="52" t="str">
        <f t="shared" si="6"/>
        <v/>
      </c>
      <c r="S21" s="51"/>
      <c r="T21" s="52" t="str">
        <f t="shared" si="7"/>
        <v/>
      </c>
      <c r="U21" s="53"/>
      <c r="V21" s="52" t="str">
        <f t="shared" si="8"/>
        <v/>
      </c>
      <c r="W21" s="51"/>
      <c r="X21" s="52" t="str">
        <f t="shared" si="9"/>
        <v/>
      </c>
    </row>
    <row r="22" spans="1:24" x14ac:dyDescent="0.35">
      <c r="A22" s="27">
        <v>12</v>
      </c>
      <c r="B22" s="54">
        <v>46265</v>
      </c>
      <c r="C22" s="55">
        <f t="shared" si="0"/>
        <v>17.241379310344829</v>
      </c>
      <c r="D22" s="48"/>
      <c r="E22" s="55">
        <f>SUM($C$11:C22)</f>
        <v>206.89655172413794</v>
      </c>
      <c r="F22" s="55">
        <f>SUM($D$11:D22)</f>
        <v>33.01</v>
      </c>
      <c r="G22" s="56">
        <f>IF(COUNT($D$11:D22)=0,"",F22/E22)</f>
        <v>0.15954833333333332</v>
      </c>
      <c r="H22" s="57" t="str">
        <f t="shared" si="1"/>
        <v>Atrasado</v>
      </c>
      <c r="I22" s="51"/>
      <c r="J22" s="58" t="str">
        <f t="shared" si="2"/>
        <v/>
      </c>
      <c r="K22" s="51"/>
      <c r="L22" s="58" t="str">
        <f t="shared" si="3"/>
        <v/>
      </c>
      <c r="M22" s="51"/>
      <c r="N22" s="58" t="str">
        <f t="shared" si="4"/>
        <v/>
      </c>
      <c r="O22" s="51"/>
      <c r="P22" s="58" t="str">
        <f t="shared" si="5"/>
        <v/>
      </c>
      <c r="Q22" s="51"/>
      <c r="R22" s="58" t="str">
        <f t="shared" si="6"/>
        <v/>
      </c>
      <c r="S22" s="51"/>
      <c r="T22" s="58" t="str">
        <f t="shared" si="7"/>
        <v/>
      </c>
      <c r="U22" s="53"/>
      <c r="V22" s="58" t="str">
        <f t="shared" si="8"/>
        <v/>
      </c>
      <c r="W22" s="51"/>
      <c r="X22" s="58" t="str">
        <f t="shared" si="9"/>
        <v/>
      </c>
    </row>
    <row r="23" spans="1:24" x14ac:dyDescent="0.35">
      <c r="A23" s="20">
        <v>13</v>
      </c>
      <c r="B23" s="46">
        <v>46272</v>
      </c>
      <c r="C23" s="47">
        <f t="shared" si="0"/>
        <v>17.241379310344829</v>
      </c>
      <c r="D23" s="48"/>
      <c r="E23" s="47">
        <f>SUM($C$11:C23)</f>
        <v>224.13793103448276</v>
      </c>
      <c r="F23" s="47">
        <f>SUM($D$11:D23)</f>
        <v>33.01</v>
      </c>
      <c r="G23" s="49">
        <f>IF(COUNT($D$11:D23)=0,"",F23/E23)</f>
        <v>0.14727538461538461</v>
      </c>
      <c r="H23" s="50" t="str">
        <f t="shared" si="1"/>
        <v>Atrasado</v>
      </c>
      <c r="I23" s="51"/>
      <c r="J23" s="52" t="str">
        <f t="shared" si="2"/>
        <v/>
      </c>
      <c r="K23" s="51"/>
      <c r="L23" s="52" t="str">
        <f t="shared" si="3"/>
        <v/>
      </c>
      <c r="M23" s="51"/>
      <c r="N23" s="52" t="str">
        <f t="shared" si="4"/>
        <v/>
      </c>
      <c r="O23" s="51"/>
      <c r="P23" s="52" t="str">
        <f t="shared" si="5"/>
        <v/>
      </c>
      <c r="Q23" s="51"/>
      <c r="R23" s="52" t="str">
        <f t="shared" si="6"/>
        <v/>
      </c>
      <c r="S23" s="51"/>
      <c r="T23" s="52" t="str">
        <f t="shared" si="7"/>
        <v/>
      </c>
      <c r="U23" s="53"/>
      <c r="V23" s="52" t="str">
        <f t="shared" si="8"/>
        <v/>
      </c>
      <c r="W23" s="51"/>
      <c r="X23" s="52" t="str">
        <f t="shared" si="9"/>
        <v/>
      </c>
    </row>
    <row r="24" spans="1:24" x14ac:dyDescent="0.35">
      <c r="A24" s="27">
        <v>14</v>
      </c>
      <c r="B24" s="54">
        <v>46279</v>
      </c>
      <c r="C24" s="55">
        <f t="shared" si="0"/>
        <v>17.241379310344829</v>
      </c>
      <c r="D24" s="48"/>
      <c r="E24" s="55">
        <f>SUM($C$11:C24)</f>
        <v>241.37931034482759</v>
      </c>
      <c r="F24" s="55">
        <f>SUM($D$11:D24)</f>
        <v>33.01</v>
      </c>
      <c r="G24" s="56">
        <f>IF(COUNT($D$11:D24)=0,"",F24/E24)</f>
        <v>0.13675571428571429</v>
      </c>
      <c r="H24" s="57" t="str">
        <f t="shared" si="1"/>
        <v>Atrasado</v>
      </c>
      <c r="I24" s="51"/>
      <c r="J24" s="58" t="str">
        <f t="shared" si="2"/>
        <v/>
      </c>
      <c r="K24" s="51"/>
      <c r="L24" s="58" t="str">
        <f t="shared" si="3"/>
        <v/>
      </c>
      <c r="M24" s="51"/>
      <c r="N24" s="58" t="str">
        <f t="shared" si="4"/>
        <v/>
      </c>
      <c r="O24" s="51"/>
      <c r="P24" s="58" t="str">
        <f t="shared" si="5"/>
        <v/>
      </c>
      <c r="Q24" s="51"/>
      <c r="R24" s="58" t="str">
        <f t="shared" si="6"/>
        <v/>
      </c>
      <c r="S24" s="51"/>
      <c r="T24" s="58" t="str">
        <f t="shared" si="7"/>
        <v/>
      </c>
      <c r="U24" s="53"/>
      <c r="V24" s="58" t="str">
        <f t="shared" si="8"/>
        <v/>
      </c>
      <c r="W24" s="51"/>
      <c r="X24" s="58" t="str">
        <f t="shared" si="9"/>
        <v/>
      </c>
    </row>
    <row r="25" spans="1:24" x14ac:dyDescent="0.35">
      <c r="A25" s="20">
        <v>15</v>
      </c>
      <c r="B25" s="46">
        <v>46286</v>
      </c>
      <c r="C25" s="47">
        <f t="shared" si="0"/>
        <v>17.241379310344829</v>
      </c>
      <c r="D25" s="48"/>
      <c r="E25" s="47">
        <f>SUM($C$11:C25)</f>
        <v>258.62068965517244</v>
      </c>
      <c r="F25" s="47">
        <f>SUM($D$11:D25)</f>
        <v>33.01</v>
      </c>
      <c r="G25" s="49">
        <f>IF(COUNT($D$11:D25)=0,"",F25/E25)</f>
        <v>0.12763866666666665</v>
      </c>
      <c r="H25" s="50" t="str">
        <f t="shared" si="1"/>
        <v>Atrasado</v>
      </c>
      <c r="I25" s="51"/>
      <c r="J25" s="52" t="str">
        <f t="shared" si="2"/>
        <v/>
      </c>
      <c r="K25" s="51"/>
      <c r="L25" s="52" t="str">
        <f t="shared" si="3"/>
        <v/>
      </c>
      <c r="M25" s="51"/>
      <c r="N25" s="52" t="str">
        <f t="shared" si="4"/>
        <v/>
      </c>
      <c r="O25" s="51"/>
      <c r="P25" s="52" t="str">
        <f t="shared" si="5"/>
        <v/>
      </c>
      <c r="Q25" s="51"/>
      <c r="R25" s="52" t="str">
        <f t="shared" si="6"/>
        <v/>
      </c>
      <c r="S25" s="51"/>
      <c r="T25" s="52" t="str">
        <f t="shared" si="7"/>
        <v/>
      </c>
      <c r="U25" s="53"/>
      <c r="V25" s="52" t="str">
        <f t="shared" si="8"/>
        <v/>
      </c>
      <c r="W25" s="51"/>
      <c r="X25" s="52" t="str">
        <f t="shared" si="9"/>
        <v/>
      </c>
    </row>
    <row r="26" spans="1:24" x14ac:dyDescent="0.35">
      <c r="A26" s="27">
        <v>16</v>
      </c>
      <c r="B26" s="54">
        <v>46293</v>
      </c>
      <c r="C26" s="55">
        <f t="shared" si="0"/>
        <v>17.241379310344829</v>
      </c>
      <c r="D26" s="48"/>
      <c r="E26" s="55">
        <f>SUM($C$11:C26)</f>
        <v>275.86206896551727</v>
      </c>
      <c r="F26" s="55">
        <f>SUM($D$11:D26)</f>
        <v>33.01</v>
      </c>
      <c r="G26" s="56">
        <f>IF(COUNT($D$11:D26)=0,"",F26/E26)</f>
        <v>0.11966124999999998</v>
      </c>
      <c r="H26" s="57" t="str">
        <f t="shared" si="1"/>
        <v>Atrasado</v>
      </c>
      <c r="I26" s="51"/>
      <c r="J26" s="58" t="str">
        <f t="shared" si="2"/>
        <v/>
      </c>
      <c r="K26" s="51"/>
      <c r="L26" s="58" t="str">
        <f t="shared" si="3"/>
        <v/>
      </c>
      <c r="M26" s="51"/>
      <c r="N26" s="58" t="str">
        <f t="shared" si="4"/>
        <v/>
      </c>
      <c r="O26" s="51"/>
      <c r="P26" s="58" t="str">
        <f t="shared" si="5"/>
        <v/>
      </c>
      <c r="Q26" s="51"/>
      <c r="R26" s="58" t="str">
        <f t="shared" si="6"/>
        <v/>
      </c>
      <c r="S26" s="51"/>
      <c r="T26" s="58" t="str">
        <f t="shared" si="7"/>
        <v/>
      </c>
      <c r="U26" s="53"/>
      <c r="V26" s="58" t="str">
        <f t="shared" si="8"/>
        <v/>
      </c>
      <c r="W26" s="51"/>
      <c r="X26" s="58" t="str">
        <f t="shared" si="9"/>
        <v/>
      </c>
    </row>
    <row r="27" spans="1:24" x14ac:dyDescent="0.35">
      <c r="A27" s="20">
        <v>17</v>
      </c>
      <c r="B27" s="46">
        <v>46300</v>
      </c>
      <c r="C27" s="47">
        <f t="shared" si="0"/>
        <v>17.241379310344829</v>
      </c>
      <c r="D27" s="48"/>
      <c r="E27" s="47">
        <f>SUM($C$11:C27)</f>
        <v>293.10344827586209</v>
      </c>
      <c r="F27" s="47">
        <f>SUM($D$11:D27)</f>
        <v>33.01</v>
      </c>
      <c r="G27" s="49">
        <f>IF(COUNT($D$11:D27)=0,"",F27/E27)</f>
        <v>0.11262235294117645</v>
      </c>
      <c r="H27" s="50" t="str">
        <f t="shared" si="1"/>
        <v>Atrasado</v>
      </c>
      <c r="I27" s="51"/>
      <c r="J27" s="52" t="str">
        <f t="shared" si="2"/>
        <v/>
      </c>
      <c r="K27" s="51"/>
      <c r="L27" s="52" t="str">
        <f t="shared" si="3"/>
        <v/>
      </c>
      <c r="M27" s="51"/>
      <c r="N27" s="52" t="str">
        <f t="shared" si="4"/>
        <v/>
      </c>
      <c r="O27" s="51"/>
      <c r="P27" s="52" t="str">
        <f t="shared" si="5"/>
        <v/>
      </c>
      <c r="Q27" s="51"/>
      <c r="R27" s="52" t="str">
        <f t="shared" si="6"/>
        <v/>
      </c>
      <c r="S27" s="51"/>
      <c r="T27" s="52" t="str">
        <f t="shared" si="7"/>
        <v/>
      </c>
      <c r="U27" s="53"/>
      <c r="V27" s="52" t="str">
        <f t="shared" si="8"/>
        <v/>
      </c>
      <c r="W27" s="51"/>
      <c r="X27" s="52" t="str">
        <f t="shared" si="9"/>
        <v/>
      </c>
    </row>
    <row r="28" spans="1:24" x14ac:dyDescent="0.35">
      <c r="A28" s="27">
        <v>18</v>
      </c>
      <c r="B28" s="54">
        <v>46307</v>
      </c>
      <c r="C28" s="55">
        <f t="shared" si="0"/>
        <v>17.241379310344829</v>
      </c>
      <c r="D28" s="48"/>
      <c r="E28" s="55">
        <f>SUM($C$11:C28)</f>
        <v>310.34482758620692</v>
      </c>
      <c r="F28" s="55">
        <f>SUM($D$11:D28)</f>
        <v>33.01</v>
      </c>
      <c r="G28" s="56">
        <f>IF(COUNT($D$11:D28)=0,"",F28/E28)</f>
        <v>0.10636555555555555</v>
      </c>
      <c r="H28" s="57" t="str">
        <f t="shared" si="1"/>
        <v>Atrasado</v>
      </c>
      <c r="I28" s="51"/>
      <c r="J28" s="58" t="str">
        <f t="shared" si="2"/>
        <v/>
      </c>
      <c r="K28" s="51"/>
      <c r="L28" s="58" t="str">
        <f t="shared" si="3"/>
        <v/>
      </c>
      <c r="M28" s="51"/>
      <c r="N28" s="58" t="str">
        <f t="shared" si="4"/>
        <v/>
      </c>
      <c r="O28" s="51"/>
      <c r="P28" s="58" t="str">
        <f t="shared" si="5"/>
        <v/>
      </c>
      <c r="Q28" s="51"/>
      <c r="R28" s="58" t="str">
        <f t="shared" si="6"/>
        <v/>
      </c>
      <c r="S28" s="51"/>
      <c r="T28" s="58" t="str">
        <f t="shared" si="7"/>
        <v/>
      </c>
      <c r="U28" s="53"/>
      <c r="V28" s="58" t="str">
        <f t="shared" si="8"/>
        <v/>
      </c>
      <c r="W28" s="51"/>
      <c r="X28" s="58" t="str">
        <f t="shared" si="9"/>
        <v/>
      </c>
    </row>
    <row r="29" spans="1:24" x14ac:dyDescent="0.35">
      <c r="A29" s="20">
        <v>19</v>
      </c>
      <c r="B29" s="46">
        <v>46314</v>
      </c>
      <c r="C29" s="47">
        <f t="shared" si="0"/>
        <v>17.241379310344829</v>
      </c>
      <c r="D29" s="48"/>
      <c r="E29" s="47">
        <f>SUM($C$11:C29)</f>
        <v>327.58620689655174</v>
      </c>
      <c r="F29" s="47">
        <f>SUM($D$11:D29)</f>
        <v>33.01</v>
      </c>
      <c r="G29" s="49">
        <f>IF(COUNT($D$11:D29)=0,"",F29/E29)</f>
        <v>0.10076736842105262</v>
      </c>
      <c r="H29" s="50" t="str">
        <f t="shared" si="1"/>
        <v>Atrasado</v>
      </c>
      <c r="I29" s="51"/>
      <c r="J29" s="52" t="str">
        <f t="shared" si="2"/>
        <v/>
      </c>
      <c r="K29" s="51"/>
      <c r="L29" s="52" t="str">
        <f t="shared" si="3"/>
        <v/>
      </c>
      <c r="M29" s="51"/>
      <c r="N29" s="52" t="str">
        <f t="shared" si="4"/>
        <v/>
      </c>
      <c r="O29" s="51"/>
      <c r="P29" s="52" t="str">
        <f t="shared" si="5"/>
        <v/>
      </c>
      <c r="Q29" s="51"/>
      <c r="R29" s="52" t="str">
        <f t="shared" si="6"/>
        <v/>
      </c>
      <c r="S29" s="51"/>
      <c r="T29" s="52" t="str">
        <f t="shared" si="7"/>
        <v/>
      </c>
      <c r="U29" s="53"/>
      <c r="V29" s="52" t="str">
        <f t="shared" si="8"/>
        <v/>
      </c>
      <c r="W29" s="51"/>
      <c r="X29" s="52" t="str">
        <f t="shared" si="9"/>
        <v/>
      </c>
    </row>
    <row r="30" spans="1:24" x14ac:dyDescent="0.35">
      <c r="A30" s="27">
        <v>20</v>
      </c>
      <c r="B30" s="54">
        <v>46321</v>
      </c>
      <c r="C30" s="55">
        <f t="shared" si="0"/>
        <v>17.241379310344829</v>
      </c>
      <c r="D30" s="48"/>
      <c r="E30" s="55">
        <f>SUM($C$11:C30)</f>
        <v>344.82758620689657</v>
      </c>
      <c r="F30" s="55">
        <f>SUM($D$11:D30)</f>
        <v>33.01</v>
      </c>
      <c r="G30" s="56">
        <f>IF(COUNT($D$11:D30)=0,"",F30/E30)</f>
        <v>9.5728999999999995E-2</v>
      </c>
      <c r="H30" s="57" t="str">
        <f t="shared" si="1"/>
        <v>Atrasado</v>
      </c>
      <c r="I30" s="51"/>
      <c r="J30" s="58" t="str">
        <f t="shared" si="2"/>
        <v/>
      </c>
      <c r="K30" s="51"/>
      <c r="L30" s="58" t="str">
        <f t="shared" si="3"/>
        <v/>
      </c>
      <c r="M30" s="51"/>
      <c r="N30" s="58" t="str">
        <f t="shared" si="4"/>
        <v/>
      </c>
      <c r="O30" s="51"/>
      <c r="P30" s="58" t="str">
        <f t="shared" si="5"/>
        <v/>
      </c>
      <c r="Q30" s="51"/>
      <c r="R30" s="58" t="str">
        <f t="shared" si="6"/>
        <v/>
      </c>
      <c r="S30" s="51"/>
      <c r="T30" s="58" t="str">
        <f t="shared" si="7"/>
        <v/>
      </c>
      <c r="U30" s="53"/>
      <c r="V30" s="58" t="str">
        <f t="shared" si="8"/>
        <v/>
      </c>
      <c r="W30" s="51"/>
      <c r="X30" s="58" t="str">
        <f t="shared" si="9"/>
        <v/>
      </c>
    </row>
    <row r="31" spans="1:24" x14ac:dyDescent="0.35">
      <c r="A31" s="20">
        <v>21</v>
      </c>
      <c r="B31" s="46">
        <v>46328</v>
      </c>
      <c r="C31" s="47">
        <f t="shared" si="0"/>
        <v>17.241379310344829</v>
      </c>
      <c r="D31" s="48"/>
      <c r="E31" s="47">
        <f>SUM($C$11:C31)</f>
        <v>362.06896551724139</v>
      </c>
      <c r="F31" s="47">
        <f>SUM($D$11:D31)</f>
        <v>33.01</v>
      </c>
      <c r="G31" s="49">
        <f>IF(COUNT($D$11:D31)=0,"",F31/E31)</f>
        <v>9.1170476190476177E-2</v>
      </c>
      <c r="H31" s="50" t="str">
        <f t="shared" si="1"/>
        <v>Atrasado</v>
      </c>
      <c r="I31" s="51"/>
      <c r="J31" s="52" t="str">
        <f t="shared" si="2"/>
        <v/>
      </c>
      <c r="K31" s="51"/>
      <c r="L31" s="52" t="str">
        <f t="shared" si="3"/>
        <v/>
      </c>
      <c r="M31" s="51"/>
      <c r="N31" s="52" t="str">
        <f t="shared" si="4"/>
        <v/>
      </c>
      <c r="O31" s="51"/>
      <c r="P31" s="52" t="str">
        <f t="shared" si="5"/>
        <v/>
      </c>
      <c r="Q31" s="51"/>
      <c r="R31" s="52" t="str">
        <f t="shared" si="6"/>
        <v/>
      </c>
      <c r="S31" s="51"/>
      <c r="T31" s="52" t="str">
        <f t="shared" si="7"/>
        <v/>
      </c>
      <c r="U31" s="53"/>
      <c r="V31" s="52" t="str">
        <f t="shared" si="8"/>
        <v/>
      </c>
      <c r="W31" s="51"/>
      <c r="X31" s="52" t="str">
        <f t="shared" si="9"/>
        <v/>
      </c>
    </row>
    <row r="32" spans="1:24" x14ac:dyDescent="0.35">
      <c r="A32" s="27">
        <v>22</v>
      </c>
      <c r="B32" s="54">
        <v>46335</v>
      </c>
      <c r="C32" s="55">
        <f t="shared" si="0"/>
        <v>17.241379310344829</v>
      </c>
      <c r="D32" s="48"/>
      <c r="E32" s="55">
        <f>SUM($C$11:C32)</f>
        <v>379.31034482758622</v>
      </c>
      <c r="F32" s="55">
        <f>SUM($D$11:D32)</f>
        <v>33.01</v>
      </c>
      <c r="G32" s="56">
        <f>IF(COUNT($D$11:D32)=0,"",F32/E32)</f>
        <v>8.7026363636363624E-2</v>
      </c>
      <c r="H32" s="57" t="str">
        <f t="shared" si="1"/>
        <v>Atrasado</v>
      </c>
      <c r="I32" s="51"/>
      <c r="J32" s="58" t="str">
        <f t="shared" si="2"/>
        <v/>
      </c>
      <c r="K32" s="51"/>
      <c r="L32" s="58" t="str">
        <f t="shared" si="3"/>
        <v/>
      </c>
      <c r="M32" s="51"/>
      <c r="N32" s="58" t="str">
        <f t="shared" si="4"/>
        <v/>
      </c>
      <c r="O32" s="51"/>
      <c r="P32" s="58" t="str">
        <f t="shared" si="5"/>
        <v/>
      </c>
      <c r="Q32" s="51"/>
      <c r="R32" s="58" t="str">
        <f t="shared" si="6"/>
        <v/>
      </c>
      <c r="S32" s="51"/>
      <c r="T32" s="58" t="str">
        <f t="shared" si="7"/>
        <v/>
      </c>
      <c r="U32" s="53"/>
      <c r="V32" s="58" t="str">
        <f t="shared" si="8"/>
        <v/>
      </c>
      <c r="W32" s="51"/>
      <c r="X32" s="58" t="str">
        <f t="shared" si="9"/>
        <v/>
      </c>
    </row>
    <row r="33" spans="1:24" x14ac:dyDescent="0.35">
      <c r="A33" s="20">
        <v>23</v>
      </c>
      <c r="B33" s="46">
        <v>46342</v>
      </c>
      <c r="C33" s="47">
        <f t="shared" si="0"/>
        <v>17.241379310344829</v>
      </c>
      <c r="D33" s="48"/>
      <c r="E33" s="47">
        <f>SUM($C$11:C33)</f>
        <v>396.55172413793105</v>
      </c>
      <c r="F33" s="47">
        <f>SUM($D$11:D33)</f>
        <v>33.01</v>
      </c>
      <c r="G33" s="49">
        <f>IF(COUNT($D$11:D33)=0,"",F33/E33)</f>
        <v>8.324260869565217E-2</v>
      </c>
      <c r="H33" s="50" t="str">
        <f t="shared" si="1"/>
        <v>Atrasado</v>
      </c>
      <c r="I33" s="51"/>
      <c r="J33" s="52" t="str">
        <f t="shared" si="2"/>
        <v/>
      </c>
      <c r="K33" s="51"/>
      <c r="L33" s="52" t="str">
        <f t="shared" si="3"/>
        <v/>
      </c>
      <c r="M33" s="51"/>
      <c r="N33" s="52" t="str">
        <f t="shared" si="4"/>
        <v/>
      </c>
      <c r="O33" s="51"/>
      <c r="P33" s="52" t="str">
        <f t="shared" si="5"/>
        <v/>
      </c>
      <c r="Q33" s="51"/>
      <c r="R33" s="52" t="str">
        <f t="shared" si="6"/>
        <v/>
      </c>
      <c r="S33" s="51"/>
      <c r="T33" s="52" t="str">
        <f t="shared" si="7"/>
        <v/>
      </c>
      <c r="U33" s="53"/>
      <c r="V33" s="52" t="str">
        <f t="shared" si="8"/>
        <v/>
      </c>
      <c r="W33" s="51"/>
      <c r="X33" s="52" t="str">
        <f t="shared" si="9"/>
        <v/>
      </c>
    </row>
    <row r="34" spans="1:24" x14ac:dyDescent="0.35">
      <c r="A34" s="27">
        <v>24</v>
      </c>
      <c r="B34" s="54">
        <v>46349</v>
      </c>
      <c r="C34" s="55">
        <f t="shared" si="0"/>
        <v>17.241379310344829</v>
      </c>
      <c r="D34" s="48"/>
      <c r="E34" s="55">
        <f>SUM($C$11:C34)</f>
        <v>413.79310344827587</v>
      </c>
      <c r="F34" s="55">
        <f>SUM($D$11:D34)</f>
        <v>33.01</v>
      </c>
      <c r="G34" s="56">
        <f>IF(COUNT($D$11:D34)=0,"",F34/E34)</f>
        <v>7.977416666666666E-2</v>
      </c>
      <c r="H34" s="57" t="str">
        <f t="shared" si="1"/>
        <v>Atrasado</v>
      </c>
      <c r="I34" s="51"/>
      <c r="J34" s="58" t="str">
        <f t="shared" si="2"/>
        <v/>
      </c>
      <c r="K34" s="51"/>
      <c r="L34" s="58" t="str">
        <f t="shared" si="3"/>
        <v/>
      </c>
      <c r="M34" s="51"/>
      <c r="N34" s="58" t="str">
        <f t="shared" si="4"/>
        <v/>
      </c>
      <c r="O34" s="51"/>
      <c r="P34" s="58" t="str">
        <f t="shared" si="5"/>
        <v/>
      </c>
      <c r="Q34" s="51"/>
      <c r="R34" s="58" t="str">
        <f t="shared" si="6"/>
        <v/>
      </c>
      <c r="S34" s="51"/>
      <c r="T34" s="58" t="str">
        <f t="shared" si="7"/>
        <v/>
      </c>
      <c r="U34" s="53"/>
      <c r="V34" s="58" t="str">
        <f t="shared" si="8"/>
        <v/>
      </c>
      <c r="W34" s="51"/>
      <c r="X34" s="58" t="str">
        <f t="shared" si="9"/>
        <v/>
      </c>
    </row>
    <row r="35" spans="1:24" x14ac:dyDescent="0.35">
      <c r="A35" s="20">
        <v>25</v>
      </c>
      <c r="B35" s="46">
        <v>46356</v>
      </c>
      <c r="C35" s="47">
        <f t="shared" si="0"/>
        <v>17.241379310344829</v>
      </c>
      <c r="D35" s="48"/>
      <c r="E35" s="47">
        <f>SUM($C$11:C35)</f>
        <v>431.0344827586207</v>
      </c>
      <c r="F35" s="47">
        <f>SUM($D$11:D35)</f>
        <v>33.01</v>
      </c>
      <c r="G35" s="49">
        <f>IF(COUNT($D$11:D35)=0,"",F35/E35)</f>
        <v>7.658319999999999E-2</v>
      </c>
      <c r="H35" s="50" t="str">
        <f t="shared" si="1"/>
        <v>Atrasado</v>
      </c>
      <c r="I35" s="51"/>
      <c r="J35" s="52" t="str">
        <f t="shared" si="2"/>
        <v/>
      </c>
      <c r="K35" s="51"/>
      <c r="L35" s="52" t="str">
        <f t="shared" si="3"/>
        <v/>
      </c>
      <c r="M35" s="51"/>
      <c r="N35" s="52" t="str">
        <f t="shared" si="4"/>
        <v/>
      </c>
      <c r="O35" s="51"/>
      <c r="P35" s="52" t="str">
        <f t="shared" si="5"/>
        <v/>
      </c>
      <c r="Q35" s="51"/>
      <c r="R35" s="52" t="str">
        <f t="shared" si="6"/>
        <v/>
      </c>
      <c r="S35" s="51"/>
      <c r="T35" s="52" t="str">
        <f t="shared" si="7"/>
        <v/>
      </c>
      <c r="U35" s="53"/>
      <c r="V35" s="52" t="str">
        <f t="shared" si="8"/>
        <v/>
      </c>
      <c r="W35" s="51"/>
      <c r="X35" s="52" t="str">
        <f t="shared" si="9"/>
        <v/>
      </c>
    </row>
    <row r="36" spans="1:24" x14ac:dyDescent="0.35">
      <c r="A36" s="27">
        <v>26</v>
      </c>
      <c r="B36" s="54">
        <v>46363</v>
      </c>
      <c r="C36" s="55">
        <f t="shared" si="0"/>
        <v>17.241379310344829</v>
      </c>
      <c r="D36" s="48"/>
      <c r="E36" s="55">
        <f>SUM($C$11:C36)</f>
        <v>448.27586206896552</v>
      </c>
      <c r="F36" s="55">
        <f>SUM($D$11:D36)</f>
        <v>33.01</v>
      </c>
      <c r="G36" s="56">
        <f>IF(COUNT($D$11:D36)=0,"",F36/E36)</f>
        <v>7.3637692307692307E-2</v>
      </c>
      <c r="H36" s="57" t="str">
        <f t="shared" si="1"/>
        <v>Atrasado</v>
      </c>
      <c r="I36" s="51"/>
      <c r="J36" s="58" t="str">
        <f t="shared" si="2"/>
        <v/>
      </c>
      <c r="K36" s="51"/>
      <c r="L36" s="58" t="str">
        <f t="shared" si="3"/>
        <v/>
      </c>
      <c r="M36" s="51"/>
      <c r="N36" s="58" t="str">
        <f t="shared" si="4"/>
        <v/>
      </c>
      <c r="O36" s="51"/>
      <c r="P36" s="58" t="str">
        <f t="shared" si="5"/>
        <v/>
      </c>
      <c r="Q36" s="51"/>
      <c r="R36" s="58" t="str">
        <f t="shared" si="6"/>
        <v/>
      </c>
      <c r="S36" s="51"/>
      <c r="T36" s="58" t="str">
        <f t="shared" si="7"/>
        <v/>
      </c>
      <c r="U36" s="53"/>
      <c r="V36" s="58" t="str">
        <f t="shared" si="8"/>
        <v/>
      </c>
      <c r="W36" s="51"/>
      <c r="X36" s="58" t="str">
        <f t="shared" si="9"/>
        <v/>
      </c>
    </row>
    <row r="37" spans="1:24" x14ac:dyDescent="0.35">
      <c r="A37" s="20">
        <v>27</v>
      </c>
      <c r="B37" s="46">
        <v>46370</v>
      </c>
      <c r="C37" s="47">
        <f t="shared" si="0"/>
        <v>17.241379310344829</v>
      </c>
      <c r="D37" s="48"/>
      <c r="E37" s="47">
        <f>SUM($C$11:C37)</f>
        <v>465.51724137931035</v>
      </c>
      <c r="F37" s="47">
        <f>SUM($D$11:D37)</f>
        <v>33.01</v>
      </c>
      <c r="G37" s="49">
        <f>IF(COUNT($D$11:D37)=0,"",F37/E37)</f>
        <v>7.091037037037036E-2</v>
      </c>
      <c r="H37" s="50" t="str">
        <f t="shared" si="1"/>
        <v>Atrasado</v>
      </c>
      <c r="I37" s="51"/>
      <c r="J37" s="52" t="str">
        <f t="shared" si="2"/>
        <v/>
      </c>
      <c r="K37" s="51"/>
      <c r="L37" s="52" t="str">
        <f t="shared" si="3"/>
        <v/>
      </c>
      <c r="M37" s="51"/>
      <c r="N37" s="52" t="str">
        <f t="shared" si="4"/>
        <v/>
      </c>
      <c r="O37" s="51"/>
      <c r="P37" s="52" t="str">
        <f t="shared" si="5"/>
        <v/>
      </c>
      <c r="Q37" s="51"/>
      <c r="R37" s="52" t="str">
        <f t="shared" si="6"/>
        <v/>
      </c>
      <c r="S37" s="51"/>
      <c r="T37" s="52" t="str">
        <f t="shared" si="7"/>
        <v/>
      </c>
      <c r="U37" s="53"/>
      <c r="V37" s="52" t="str">
        <f t="shared" si="8"/>
        <v/>
      </c>
      <c r="W37" s="51"/>
      <c r="X37" s="52" t="str">
        <f t="shared" si="9"/>
        <v/>
      </c>
    </row>
    <row r="38" spans="1:24" x14ac:dyDescent="0.35">
      <c r="A38" s="27">
        <v>28</v>
      </c>
      <c r="B38" s="54">
        <v>46377</v>
      </c>
      <c r="C38" s="55">
        <f t="shared" si="0"/>
        <v>17.241379310344829</v>
      </c>
      <c r="D38" s="48"/>
      <c r="E38" s="55">
        <f>SUM($C$11:C38)</f>
        <v>482.75862068965517</v>
      </c>
      <c r="F38" s="55">
        <f>SUM($D$11:D38)</f>
        <v>33.01</v>
      </c>
      <c r="G38" s="56">
        <f>IF(COUNT($D$11:D38)=0,"",F38/E38)</f>
        <v>6.8377857142857143E-2</v>
      </c>
      <c r="H38" s="57" t="str">
        <f t="shared" si="1"/>
        <v>Atrasado</v>
      </c>
      <c r="I38" s="51"/>
      <c r="J38" s="58" t="str">
        <f t="shared" si="2"/>
        <v/>
      </c>
      <c r="K38" s="51"/>
      <c r="L38" s="58" t="str">
        <f t="shared" si="3"/>
        <v/>
      </c>
      <c r="M38" s="51"/>
      <c r="N38" s="58" t="str">
        <f t="shared" si="4"/>
        <v/>
      </c>
      <c r="O38" s="51"/>
      <c r="P38" s="58" t="str">
        <f t="shared" si="5"/>
        <v/>
      </c>
      <c r="Q38" s="51"/>
      <c r="R38" s="58" t="str">
        <f t="shared" si="6"/>
        <v/>
      </c>
      <c r="S38" s="51"/>
      <c r="T38" s="58" t="str">
        <f t="shared" si="7"/>
        <v/>
      </c>
      <c r="U38" s="53"/>
      <c r="V38" s="58" t="str">
        <f t="shared" si="8"/>
        <v/>
      </c>
      <c r="W38" s="51"/>
      <c r="X38" s="58" t="str">
        <f t="shared" si="9"/>
        <v/>
      </c>
    </row>
    <row r="39" spans="1:24" x14ac:dyDescent="0.35">
      <c r="A39" s="20">
        <v>29</v>
      </c>
      <c r="B39" s="46">
        <v>46384</v>
      </c>
      <c r="C39" s="47">
        <f t="shared" si="0"/>
        <v>17.241379310344829</v>
      </c>
      <c r="D39" s="48"/>
      <c r="E39" s="47">
        <f>SUM($C$11:C39)</f>
        <v>500</v>
      </c>
      <c r="F39" s="47">
        <f>SUM($D$11:D39)</f>
        <v>33.01</v>
      </c>
      <c r="G39" s="49">
        <f>IF(COUNT($D$11:D39)=0,"",F39/E39)</f>
        <v>6.6019999999999995E-2</v>
      </c>
      <c r="H39" s="50" t="str">
        <f t="shared" si="1"/>
        <v>Atrasado</v>
      </c>
      <c r="I39" s="51"/>
      <c r="J39" s="52" t="str">
        <f t="shared" si="2"/>
        <v/>
      </c>
      <c r="K39" s="51"/>
      <c r="L39" s="52" t="str">
        <f t="shared" si="3"/>
        <v/>
      </c>
      <c r="M39" s="51"/>
      <c r="N39" s="52" t="str">
        <f t="shared" si="4"/>
        <v/>
      </c>
      <c r="O39" s="51"/>
      <c r="P39" s="52" t="str">
        <f t="shared" si="5"/>
        <v/>
      </c>
      <c r="Q39" s="51"/>
      <c r="R39" s="52" t="str">
        <f t="shared" si="6"/>
        <v/>
      </c>
      <c r="S39" s="51"/>
      <c r="T39" s="52" t="str">
        <f t="shared" si="7"/>
        <v/>
      </c>
      <c r="U39" s="53"/>
      <c r="V39" s="52" t="str">
        <f t="shared" si="8"/>
        <v/>
      </c>
      <c r="W39" s="51"/>
      <c r="X39" s="52" t="str">
        <f t="shared" si="9"/>
        <v/>
      </c>
    </row>
  </sheetData>
  <mergeCells count="17">
    <mergeCell ref="S9:T9"/>
    <mergeCell ref="U9:V9"/>
    <mergeCell ref="W9:X9"/>
    <mergeCell ref="I9:J9"/>
    <mergeCell ref="K9:L9"/>
    <mergeCell ref="M9:N9"/>
    <mergeCell ref="O9:P9"/>
    <mergeCell ref="Q9:R9"/>
    <mergeCell ref="A1:X1"/>
    <mergeCell ref="I8:J8"/>
    <mergeCell ref="K8:L8"/>
    <mergeCell ref="M8:N8"/>
    <mergeCell ref="O8:P8"/>
    <mergeCell ref="Q8:R8"/>
    <mergeCell ref="S8:T8"/>
    <mergeCell ref="U8:V8"/>
    <mergeCell ref="W8:X8"/>
  </mergeCells>
  <conditionalFormatting sqref="H11:H39">
    <cfRule type="containsText" dxfId="26" priority="2" operator="containsText" text="En meta">
      <formula>NOT(ISERROR(SEARCH("En meta",H11)))</formula>
    </cfRule>
    <cfRule type="containsText" dxfId="25" priority="3" operator="containsText" text="Riesgo">
      <formula>NOT(ISERROR(SEARCH("Riesgo",H11)))</formula>
    </cfRule>
    <cfRule type="containsText" dxfId="24" priority="4" operator="containsText" text="Atrasado">
      <formula>NOT(ISERROR(SEARCH("Atrasado",H11)))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2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ColWidth="8.6328125" defaultRowHeight="14.5" x14ac:dyDescent="0.35"/>
  <cols>
    <col min="1" max="1" width="5" customWidth="1"/>
    <col min="2" max="2" width="11" customWidth="1"/>
    <col min="3" max="3" width="12" customWidth="1"/>
    <col min="4" max="4" width="11" customWidth="1"/>
    <col min="5" max="6" width="12" customWidth="1"/>
    <col min="7" max="7" width="13" customWidth="1"/>
    <col min="8" max="9" width="11" customWidth="1"/>
    <col min="10" max="10" width="7" customWidth="1"/>
    <col min="11" max="11" width="11" customWidth="1"/>
    <col min="12" max="12" width="7" customWidth="1"/>
    <col min="13" max="13" width="11" customWidth="1"/>
    <col min="14" max="14" width="7" customWidth="1"/>
    <col min="15" max="15" width="11" customWidth="1"/>
    <col min="16" max="16" width="7" customWidth="1"/>
    <col min="17" max="17" width="11" customWidth="1"/>
    <col min="18" max="18" width="7" customWidth="1"/>
    <col min="19" max="19" width="11" customWidth="1"/>
    <col min="20" max="20" width="7" customWidth="1"/>
    <col min="21" max="21" width="11" customWidth="1"/>
    <col min="22" max="22" width="7" customWidth="1"/>
    <col min="23" max="23" width="11" customWidth="1"/>
    <col min="24" max="24" width="7" customWidth="1"/>
  </cols>
  <sheetData>
    <row r="1" spans="1:24" ht="18" x14ac:dyDescent="0.4">
      <c r="A1" s="4" t="s">
        <v>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7" t="s">
        <v>46</v>
      </c>
      <c r="B2" s="38" t="s">
        <v>75</v>
      </c>
    </row>
    <row r="3" spans="1:24" x14ac:dyDescent="0.35">
      <c r="A3" s="7" t="s">
        <v>48</v>
      </c>
      <c r="B3" s="38" t="s">
        <v>76</v>
      </c>
    </row>
    <row r="4" spans="1:24" x14ac:dyDescent="0.35">
      <c r="A4" s="7" t="s">
        <v>50</v>
      </c>
      <c r="B4" s="39" t="s">
        <v>51</v>
      </c>
      <c r="D4" s="7" t="s">
        <v>52</v>
      </c>
      <c r="E4" s="38" t="s">
        <v>22</v>
      </c>
    </row>
    <row r="5" spans="1:24" x14ac:dyDescent="0.35">
      <c r="A5" s="7" t="s">
        <v>53</v>
      </c>
      <c r="B5" s="8">
        <v>10000</v>
      </c>
      <c r="D5" s="7" t="s">
        <v>54</v>
      </c>
      <c r="E5" s="41">
        <v>46188</v>
      </c>
      <c r="G5" s="7" t="s">
        <v>55</v>
      </c>
      <c r="H5" s="41">
        <v>46475</v>
      </c>
    </row>
    <row r="6" spans="1:24" x14ac:dyDescent="0.35">
      <c r="A6" s="7" t="s">
        <v>56</v>
      </c>
      <c r="B6" s="38" t="s">
        <v>57</v>
      </c>
    </row>
    <row r="8" spans="1:24" ht="42" customHeight="1" x14ac:dyDescent="0.35">
      <c r="A8" s="7" t="s">
        <v>58</v>
      </c>
      <c r="B8" s="42">
        <f>COUNT(A11:A52)</f>
        <v>42</v>
      </c>
      <c r="H8" s="43" t="s">
        <v>59</v>
      </c>
      <c r="I8" s="3" t="s">
        <v>77</v>
      </c>
      <c r="J8" s="3"/>
      <c r="K8" s="3" t="s">
        <v>78</v>
      </c>
      <c r="L8" s="3"/>
      <c r="M8" s="3" t="s">
        <v>79</v>
      </c>
      <c r="N8" s="3"/>
      <c r="O8" s="3" t="s">
        <v>80</v>
      </c>
      <c r="P8" s="3"/>
      <c r="Q8" s="3" t="s">
        <v>81</v>
      </c>
      <c r="R8" s="3"/>
      <c r="S8" s="3" t="s">
        <v>82</v>
      </c>
      <c r="T8" s="3"/>
      <c r="U8" s="3" t="s">
        <v>83</v>
      </c>
      <c r="V8" s="3"/>
      <c r="W8" s="3" t="s">
        <v>67</v>
      </c>
      <c r="X8" s="3"/>
    </row>
    <row r="9" spans="1:24" x14ac:dyDescent="0.35">
      <c r="A9" s="44" t="s">
        <v>68</v>
      </c>
      <c r="H9" s="43" t="s">
        <v>69</v>
      </c>
      <c r="I9" s="2">
        <v>3</v>
      </c>
      <c r="J9" s="2"/>
      <c r="K9" s="2">
        <v>40</v>
      </c>
      <c r="L9" s="2"/>
      <c r="M9" s="2">
        <v>4</v>
      </c>
      <c r="N9" s="2"/>
      <c r="O9" s="2">
        <v>2</v>
      </c>
      <c r="P9" s="2"/>
      <c r="Q9" s="1">
        <v>0.2</v>
      </c>
      <c r="R9" s="1"/>
      <c r="S9" s="2">
        <v>6</v>
      </c>
      <c r="T9" s="2"/>
      <c r="U9" s="2">
        <v>1</v>
      </c>
      <c r="V9" s="2"/>
      <c r="W9" s="2"/>
      <c r="X9" s="2"/>
    </row>
    <row r="10" spans="1:24" x14ac:dyDescent="0.35">
      <c r="A10" s="9" t="s">
        <v>11</v>
      </c>
      <c r="B10" s="9" t="s">
        <v>70</v>
      </c>
      <c r="C10" s="9" t="s">
        <v>71</v>
      </c>
      <c r="D10" s="9" t="s">
        <v>72</v>
      </c>
      <c r="E10" s="9" t="s">
        <v>6</v>
      </c>
      <c r="F10" s="9" t="s">
        <v>7</v>
      </c>
      <c r="G10" s="9" t="s">
        <v>8</v>
      </c>
      <c r="H10" s="9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spans="1:24" x14ac:dyDescent="0.35">
      <c r="A11" s="20">
        <v>1</v>
      </c>
      <c r="B11" s="46">
        <v>46188</v>
      </c>
      <c r="C11" s="59">
        <f t="shared" ref="C11:C52" si="0">$B$5/$B$8</f>
        <v>238.0952380952381</v>
      </c>
      <c r="D11" s="48"/>
      <c r="E11" s="59">
        <f>SUM($C$11:C11)</f>
        <v>238.0952380952381</v>
      </c>
      <c r="F11" s="59">
        <f>SUM($D$11:D11)</f>
        <v>0</v>
      </c>
      <c r="G11" s="49" t="str">
        <f>IF(COUNT($D$11:D11)=0,"",F11/E11)</f>
        <v/>
      </c>
      <c r="H11" s="50" t="str">
        <f t="shared" ref="H11:H52" si="1">IF(G11="","",IF(G11&gt;=0.95,"En meta",IF(G11&gt;=0.8,"Riesgo","Atrasado")))</f>
        <v/>
      </c>
      <c r="I11" s="51"/>
      <c r="J11" s="52" t="str">
        <f t="shared" ref="J11:J52" si="2">IF(I11="","",IF($I$9="","",IF($I$9=0,"",I11/$I$9)))</f>
        <v/>
      </c>
      <c r="K11" s="51"/>
      <c r="L11" s="52" t="str">
        <f t="shared" ref="L11:L52" si="3">IF(K11="","",IF($K$9="","",IF($K$9=0,"",K11/$K$9)))</f>
        <v/>
      </c>
      <c r="M11" s="51"/>
      <c r="N11" s="52" t="str">
        <f t="shared" ref="N11:N52" si="4">IF(M11="","",IF($M$9="","",IF($M$9=0,"",M11/$M$9)))</f>
        <v/>
      </c>
      <c r="O11" s="51"/>
      <c r="P11" s="52" t="str">
        <f t="shared" ref="P11:P52" si="5">IF(O11="","",IF($O$9="","",IF($O$9=0,"",O11/$O$9)))</f>
        <v/>
      </c>
      <c r="Q11" s="53"/>
      <c r="R11" s="52" t="str">
        <f t="shared" ref="R11:R52" si="6">IF(Q11="","",IF($Q$9="","",IF($Q$9=0,"",Q11/$Q$9)))</f>
        <v/>
      </c>
      <c r="S11" s="51"/>
      <c r="T11" s="52" t="str">
        <f t="shared" ref="T11:T52" si="7">IF(S11="","",IF($S$9="","",IF($S$9=0,"",S11/$S$9)))</f>
        <v/>
      </c>
      <c r="U11" s="51"/>
      <c r="V11" s="52" t="str">
        <f t="shared" ref="V11:V52" si="8">IF(U11="","",IF($U$9="","",IF($U$9=0,"",U11/$U$9)))</f>
        <v/>
      </c>
      <c r="W11" s="51"/>
      <c r="X11" s="52" t="str">
        <f t="shared" ref="X11:X52" si="9">IF(W11="","",IF($W$9="","",IF($W$9=0,"",W11/$W$9)))</f>
        <v/>
      </c>
    </row>
    <row r="12" spans="1:24" x14ac:dyDescent="0.35">
      <c r="A12" s="27">
        <v>2</v>
      </c>
      <c r="B12" s="54">
        <v>46195</v>
      </c>
      <c r="C12" s="60">
        <f t="shared" si="0"/>
        <v>238.0952380952381</v>
      </c>
      <c r="D12" s="48"/>
      <c r="E12" s="60">
        <f>SUM($C$11:C12)</f>
        <v>476.1904761904762</v>
      </c>
      <c r="F12" s="60">
        <f>SUM($D$11:D12)</f>
        <v>0</v>
      </c>
      <c r="G12" s="56" t="str">
        <f>IF(COUNT($D$11:D12)=0,"",F12/E12)</f>
        <v/>
      </c>
      <c r="H12" s="57" t="str">
        <f t="shared" si="1"/>
        <v/>
      </c>
      <c r="I12" s="51"/>
      <c r="J12" s="58" t="str">
        <f t="shared" si="2"/>
        <v/>
      </c>
      <c r="K12" s="51"/>
      <c r="L12" s="58" t="str">
        <f t="shared" si="3"/>
        <v/>
      </c>
      <c r="M12" s="51"/>
      <c r="N12" s="58" t="str">
        <f t="shared" si="4"/>
        <v/>
      </c>
      <c r="O12" s="51"/>
      <c r="P12" s="58" t="str">
        <f t="shared" si="5"/>
        <v/>
      </c>
      <c r="Q12" s="53"/>
      <c r="R12" s="58" t="str">
        <f t="shared" si="6"/>
        <v/>
      </c>
      <c r="S12" s="51"/>
      <c r="T12" s="58" t="str">
        <f t="shared" si="7"/>
        <v/>
      </c>
      <c r="U12" s="51"/>
      <c r="V12" s="58" t="str">
        <f t="shared" si="8"/>
        <v/>
      </c>
      <c r="W12" s="51"/>
      <c r="X12" s="58" t="str">
        <f t="shared" si="9"/>
        <v/>
      </c>
    </row>
    <row r="13" spans="1:24" x14ac:dyDescent="0.35">
      <c r="A13" s="20">
        <v>3</v>
      </c>
      <c r="B13" s="46">
        <v>46202</v>
      </c>
      <c r="C13" s="59">
        <f t="shared" si="0"/>
        <v>238.0952380952381</v>
      </c>
      <c r="D13" s="48"/>
      <c r="E13" s="59">
        <f>SUM($C$11:C13)</f>
        <v>714.28571428571433</v>
      </c>
      <c r="F13" s="59">
        <f>SUM($D$11:D13)</f>
        <v>0</v>
      </c>
      <c r="G13" s="49" t="str">
        <f>IF(COUNT($D$11:D13)=0,"",F13/E13)</f>
        <v/>
      </c>
      <c r="H13" s="50" t="str">
        <f t="shared" si="1"/>
        <v/>
      </c>
      <c r="I13" s="51"/>
      <c r="J13" s="52" t="str">
        <f t="shared" si="2"/>
        <v/>
      </c>
      <c r="K13" s="51"/>
      <c r="L13" s="52" t="str">
        <f t="shared" si="3"/>
        <v/>
      </c>
      <c r="M13" s="51"/>
      <c r="N13" s="52" t="str">
        <f t="shared" si="4"/>
        <v/>
      </c>
      <c r="O13" s="51"/>
      <c r="P13" s="52" t="str">
        <f t="shared" si="5"/>
        <v/>
      </c>
      <c r="Q13" s="53"/>
      <c r="R13" s="52" t="str">
        <f t="shared" si="6"/>
        <v/>
      </c>
      <c r="S13" s="51"/>
      <c r="T13" s="52" t="str">
        <f t="shared" si="7"/>
        <v/>
      </c>
      <c r="U13" s="51"/>
      <c r="V13" s="52" t="str">
        <f t="shared" si="8"/>
        <v/>
      </c>
      <c r="W13" s="51"/>
      <c r="X13" s="52" t="str">
        <f t="shared" si="9"/>
        <v/>
      </c>
    </row>
    <row r="14" spans="1:24" x14ac:dyDescent="0.35">
      <c r="A14" s="27">
        <v>4</v>
      </c>
      <c r="B14" s="54">
        <v>46209</v>
      </c>
      <c r="C14" s="60">
        <f t="shared" si="0"/>
        <v>238.0952380952381</v>
      </c>
      <c r="D14" s="48"/>
      <c r="E14" s="60">
        <f>SUM($C$11:C14)</f>
        <v>952.38095238095241</v>
      </c>
      <c r="F14" s="60">
        <f>SUM($D$11:D14)</f>
        <v>0</v>
      </c>
      <c r="G14" s="56" t="str">
        <f>IF(COUNT($D$11:D14)=0,"",F14/E14)</f>
        <v/>
      </c>
      <c r="H14" s="57" t="str">
        <f t="shared" si="1"/>
        <v/>
      </c>
      <c r="I14" s="51"/>
      <c r="J14" s="58" t="str">
        <f t="shared" si="2"/>
        <v/>
      </c>
      <c r="K14" s="51"/>
      <c r="L14" s="58" t="str">
        <f t="shared" si="3"/>
        <v/>
      </c>
      <c r="M14" s="51"/>
      <c r="N14" s="58" t="str">
        <f t="shared" si="4"/>
        <v/>
      </c>
      <c r="O14" s="51"/>
      <c r="P14" s="58" t="str">
        <f t="shared" si="5"/>
        <v/>
      </c>
      <c r="Q14" s="53"/>
      <c r="R14" s="58" t="str">
        <f t="shared" si="6"/>
        <v/>
      </c>
      <c r="S14" s="51"/>
      <c r="T14" s="58" t="str">
        <f t="shared" si="7"/>
        <v/>
      </c>
      <c r="U14" s="51"/>
      <c r="V14" s="58" t="str">
        <f t="shared" si="8"/>
        <v/>
      </c>
      <c r="W14" s="51"/>
      <c r="X14" s="58" t="str">
        <f t="shared" si="9"/>
        <v/>
      </c>
    </row>
    <row r="15" spans="1:24" x14ac:dyDescent="0.35">
      <c r="A15" s="20">
        <v>5</v>
      </c>
      <c r="B15" s="46">
        <v>46216</v>
      </c>
      <c r="C15" s="59">
        <f t="shared" si="0"/>
        <v>238.0952380952381</v>
      </c>
      <c r="D15" s="48"/>
      <c r="E15" s="59">
        <f>SUM($C$11:C15)</f>
        <v>1190.4761904761906</v>
      </c>
      <c r="F15" s="59">
        <f>SUM($D$11:D15)</f>
        <v>0</v>
      </c>
      <c r="G15" s="49" t="str">
        <f>IF(COUNT($D$11:D15)=0,"",F15/E15)</f>
        <v/>
      </c>
      <c r="H15" s="50" t="str">
        <f t="shared" si="1"/>
        <v/>
      </c>
      <c r="I15" s="51"/>
      <c r="J15" s="52" t="str">
        <f t="shared" si="2"/>
        <v/>
      </c>
      <c r="K15" s="51"/>
      <c r="L15" s="52" t="str">
        <f t="shared" si="3"/>
        <v/>
      </c>
      <c r="M15" s="51"/>
      <c r="N15" s="52" t="str">
        <f t="shared" si="4"/>
        <v/>
      </c>
      <c r="O15" s="51"/>
      <c r="P15" s="52" t="str">
        <f t="shared" si="5"/>
        <v/>
      </c>
      <c r="Q15" s="53"/>
      <c r="R15" s="52" t="str">
        <f t="shared" si="6"/>
        <v/>
      </c>
      <c r="S15" s="51"/>
      <c r="T15" s="52" t="str">
        <f t="shared" si="7"/>
        <v/>
      </c>
      <c r="U15" s="51"/>
      <c r="V15" s="52" t="str">
        <f t="shared" si="8"/>
        <v/>
      </c>
      <c r="W15" s="51"/>
      <c r="X15" s="52" t="str">
        <f t="shared" si="9"/>
        <v/>
      </c>
    </row>
    <row r="16" spans="1:24" x14ac:dyDescent="0.35">
      <c r="A16" s="27">
        <v>6</v>
      </c>
      <c r="B16" s="54">
        <v>46223</v>
      </c>
      <c r="C16" s="60">
        <f t="shared" si="0"/>
        <v>238.0952380952381</v>
      </c>
      <c r="D16" s="48"/>
      <c r="E16" s="60">
        <f>SUM($C$11:C16)</f>
        <v>1428.5714285714287</v>
      </c>
      <c r="F16" s="60">
        <f>SUM($D$11:D16)</f>
        <v>0</v>
      </c>
      <c r="G16" s="56" t="str">
        <f>IF(COUNT($D$11:D16)=0,"",F16/E16)</f>
        <v/>
      </c>
      <c r="H16" s="57" t="str">
        <f t="shared" si="1"/>
        <v/>
      </c>
      <c r="I16" s="51"/>
      <c r="J16" s="58" t="str">
        <f t="shared" si="2"/>
        <v/>
      </c>
      <c r="K16" s="51"/>
      <c r="L16" s="58" t="str">
        <f t="shared" si="3"/>
        <v/>
      </c>
      <c r="M16" s="51"/>
      <c r="N16" s="58" t="str">
        <f t="shared" si="4"/>
        <v/>
      </c>
      <c r="O16" s="51"/>
      <c r="P16" s="58" t="str">
        <f t="shared" si="5"/>
        <v/>
      </c>
      <c r="Q16" s="53"/>
      <c r="R16" s="58" t="str">
        <f t="shared" si="6"/>
        <v/>
      </c>
      <c r="S16" s="51"/>
      <c r="T16" s="58" t="str">
        <f t="shared" si="7"/>
        <v/>
      </c>
      <c r="U16" s="51"/>
      <c r="V16" s="58" t="str">
        <f t="shared" si="8"/>
        <v/>
      </c>
      <c r="W16" s="51"/>
      <c r="X16" s="58" t="str">
        <f t="shared" si="9"/>
        <v/>
      </c>
    </row>
    <row r="17" spans="1:24" x14ac:dyDescent="0.35">
      <c r="A17" s="20">
        <v>7</v>
      </c>
      <c r="B17" s="46">
        <v>46230</v>
      </c>
      <c r="C17" s="59">
        <f t="shared" si="0"/>
        <v>238.0952380952381</v>
      </c>
      <c r="D17" s="48"/>
      <c r="E17" s="59">
        <f>SUM($C$11:C17)</f>
        <v>1666.6666666666667</v>
      </c>
      <c r="F17" s="59">
        <f>SUM($D$11:D17)</f>
        <v>0</v>
      </c>
      <c r="G17" s="49" t="str">
        <f>IF(COUNT($D$11:D17)=0,"",F17/E17)</f>
        <v/>
      </c>
      <c r="H17" s="50" t="str">
        <f t="shared" si="1"/>
        <v/>
      </c>
      <c r="I17" s="51"/>
      <c r="J17" s="52" t="str">
        <f t="shared" si="2"/>
        <v/>
      </c>
      <c r="K17" s="51"/>
      <c r="L17" s="52" t="str">
        <f t="shared" si="3"/>
        <v/>
      </c>
      <c r="M17" s="51"/>
      <c r="N17" s="52" t="str">
        <f t="shared" si="4"/>
        <v/>
      </c>
      <c r="O17" s="51"/>
      <c r="P17" s="52" t="str">
        <f t="shared" si="5"/>
        <v/>
      </c>
      <c r="Q17" s="53"/>
      <c r="R17" s="52" t="str">
        <f t="shared" si="6"/>
        <v/>
      </c>
      <c r="S17" s="51"/>
      <c r="T17" s="52" t="str">
        <f t="shared" si="7"/>
        <v/>
      </c>
      <c r="U17" s="51"/>
      <c r="V17" s="52" t="str">
        <f t="shared" si="8"/>
        <v/>
      </c>
      <c r="W17" s="51"/>
      <c r="X17" s="52" t="str">
        <f t="shared" si="9"/>
        <v/>
      </c>
    </row>
    <row r="18" spans="1:24" x14ac:dyDescent="0.35">
      <c r="A18" s="27">
        <v>8</v>
      </c>
      <c r="B18" s="54">
        <v>46237</v>
      </c>
      <c r="C18" s="60">
        <f t="shared" si="0"/>
        <v>238.0952380952381</v>
      </c>
      <c r="D18" s="48"/>
      <c r="E18" s="60">
        <f>SUM($C$11:C18)</f>
        <v>1904.7619047619048</v>
      </c>
      <c r="F18" s="60">
        <f>SUM($D$11:D18)</f>
        <v>0</v>
      </c>
      <c r="G18" s="56" t="str">
        <f>IF(COUNT($D$11:D18)=0,"",F18/E18)</f>
        <v/>
      </c>
      <c r="H18" s="57" t="str">
        <f t="shared" si="1"/>
        <v/>
      </c>
      <c r="I18" s="51"/>
      <c r="J18" s="58" t="str">
        <f t="shared" si="2"/>
        <v/>
      </c>
      <c r="K18" s="51"/>
      <c r="L18" s="58" t="str">
        <f t="shared" si="3"/>
        <v/>
      </c>
      <c r="M18" s="51"/>
      <c r="N18" s="58" t="str">
        <f t="shared" si="4"/>
        <v/>
      </c>
      <c r="O18" s="51"/>
      <c r="P18" s="58" t="str">
        <f t="shared" si="5"/>
        <v/>
      </c>
      <c r="Q18" s="53"/>
      <c r="R18" s="58" t="str">
        <f t="shared" si="6"/>
        <v/>
      </c>
      <c r="S18" s="51"/>
      <c r="T18" s="58" t="str">
        <f t="shared" si="7"/>
        <v/>
      </c>
      <c r="U18" s="51"/>
      <c r="V18" s="58" t="str">
        <f t="shared" si="8"/>
        <v/>
      </c>
      <c r="W18" s="51"/>
      <c r="X18" s="58" t="str">
        <f t="shared" si="9"/>
        <v/>
      </c>
    </row>
    <row r="19" spans="1:24" x14ac:dyDescent="0.35">
      <c r="A19" s="20">
        <v>9</v>
      </c>
      <c r="B19" s="46">
        <v>46244</v>
      </c>
      <c r="C19" s="59">
        <f t="shared" si="0"/>
        <v>238.0952380952381</v>
      </c>
      <c r="D19" s="48"/>
      <c r="E19" s="59">
        <f>SUM($C$11:C19)</f>
        <v>2142.8571428571431</v>
      </c>
      <c r="F19" s="59">
        <f>SUM($D$11:D19)</f>
        <v>0</v>
      </c>
      <c r="G19" s="49" t="str">
        <f>IF(COUNT($D$11:D19)=0,"",F19/E19)</f>
        <v/>
      </c>
      <c r="H19" s="50" t="str">
        <f t="shared" si="1"/>
        <v/>
      </c>
      <c r="I19" s="51"/>
      <c r="J19" s="52" t="str">
        <f t="shared" si="2"/>
        <v/>
      </c>
      <c r="K19" s="51"/>
      <c r="L19" s="52" t="str">
        <f t="shared" si="3"/>
        <v/>
      </c>
      <c r="M19" s="51"/>
      <c r="N19" s="52" t="str">
        <f t="shared" si="4"/>
        <v/>
      </c>
      <c r="O19" s="51"/>
      <c r="P19" s="52" t="str">
        <f t="shared" si="5"/>
        <v/>
      </c>
      <c r="Q19" s="53"/>
      <c r="R19" s="52" t="str">
        <f t="shared" si="6"/>
        <v/>
      </c>
      <c r="S19" s="51"/>
      <c r="T19" s="52" t="str">
        <f t="shared" si="7"/>
        <v/>
      </c>
      <c r="U19" s="51"/>
      <c r="V19" s="52" t="str">
        <f t="shared" si="8"/>
        <v/>
      </c>
      <c r="W19" s="51"/>
      <c r="X19" s="52" t="str">
        <f t="shared" si="9"/>
        <v/>
      </c>
    </row>
    <row r="20" spans="1:24" x14ac:dyDescent="0.35">
      <c r="A20" s="27">
        <v>10</v>
      </c>
      <c r="B20" s="54">
        <v>46251</v>
      </c>
      <c r="C20" s="60">
        <f t="shared" si="0"/>
        <v>238.0952380952381</v>
      </c>
      <c r="D20" s="48"/>
      <c r="E20" s="60">
        <f>SUM($C$11:C20)</f>
        <v>2380.9523809523812</v>
      </c>
      <c r="F20" s="60">
        <f>SUM($D$11:D20)</f>
        <v>0</v>
      </c>
      <c r="G20" s="56" t="str">
        <f>IF(COUNT($D$11:D20)=0,"",F20/E20)</f>
        <v/>
      </c>
      <c r="H20" s="57" t="str">
        <f t="shared" si="1"/>
        <v/>
      </c>
      <c r="I20" s="51"/>
      <c r="J20" s="58" t="str">
        <f t="shared" si="2"/>
        <v/>
      </c>
      <c r="K20" s="51"/>
      <c r="L20" s="58" t="str">
        <f t="shared" si="3"/>
        <v/>
      </c>
      <c r="M20" s="51"/>
      <c r="N20" s="58" t="str">
        <f t="shared" si="4"/>
        <v/>
      </c>
      <c r="O20" s="51"/>
      <c r="P20" s="58" t="str">
        <f t="shared" si="5"/>
        <v/>
      </c>
      <c r="Q20" s="53"/>
      <c r="R20" s="58" t="str">
        <f t="shared" si="6"/>
        <v/>
      </c>
      <c r="S20" s="51"/>
      <c r="T20" s="58" t="str">
        <f t="shared" si="7"/>
        <v/>
      </c>
      <c r="U20" s="51"/>
      <c r="V20" s="58" t="str">
        <f t="shared" si="8"/>
        <v/>
      </c>
      <c r="W20" s="51"/>
      <c r="X20" s="58" t="str">
        <f t="shared" si="9"/>
        <v/>
      </c>
    </row>
    <row r="21" spans="1:24" x14ac:dyDescent="0.35">
      <c r="A21" s="20">
        <v>11</v>
      </c>
      <c r="B21" s="46">
        <v>46258</v>
      </c>
      <c r="C21" s="59">
        <f t="shared" si="0"/>
        <v>238.0952380952381</v>
      </c>
      <c r="D21" s="48"/>
      <c r="E21" s="59">
        <f>SUM($C$11:C21)</f>
        <v>2619.0476190476193</v>
      </c>
      <c r="F21" s="59">
        <f>SUM($D$11:D21)</f>
        <v>0</v>
      </c>
      <c r="G21" s="49" t="str">
        <f>IF(COUNT($D$11:D21)=0,"",F21/E21)</f>
        <v/>
      </c>
      <c r="H21" s="50" t="str">
        <f t="shared" si="1"/>
        <v/>
      </c>
      <c r="I21" s="51"/>
      <c r="J21" s="52" t="str">
        <f t="shared" si="2"/>
        <v/>
      </c>
      <c r="K21" s="51"/>
      <c r="L21" s="52" t="str">
        <f t="shared" si="3"/>
        <v/>
      </c>
      <c r="M21" s="51"/>
      <c r="N21" s="52" t="str">
        <f t="shared" si="4"/>
        <v/>
      </c>
      <c r="O21" s="51"/>
      <c r="P21" s="52" t="str">
        <f t="shared" si="5"/>
        <v/>
      </c>
      <c r="Q21" s="53"/>
      <c r="R21" s="52" t="str">
        <f t="shared" si="6"/>
        <v/>
      </c>
      <c r="S21" s="51"/>
      <c r="T21" s="52" t="str">
        <f t="shared" si="7"/>
        <v/>
      </c>
      <c r="U21" s="51"/>
      <c r="V21" s="52" t="str">
        <f t="shared" si="8"/>
        <v/>
      </c>
      <c r="W21" s="51"/>
      <c r="X21" s="52" t="str">
        <f t="shared" si="9"/>
        <v/>
      </c>
    </row>
    <row r="22" spans="1:24" x14ac:dyDescent="0.35">
      <c r="A22" s="27">
        <v>12</v>
      </c>
      <c r="B22" s="54">
        <v>46265</v>
      </c>
      <c r="C22" s="60">
        <f t="shared" si="0"/>
        <v>238.0952380952381</v>
      </c>
      <c r="D22" s="48"/>
      <c r="E22" s="60">
        <f>SUM($C$11:C22)</f>
        <v>2857.1428571428573</v>
      </c>
      <c r="F22" s="60">
        <f>SUM($D$11:D22)</f>
        <v>0</v>
      </c>
      <c r="G22" s="56" t="str">
        <f>IF(COUNT($D$11:D22)=0,"",F22/E22)</f>
        <v/>
      </c>
      <c r="H22" s="57" t="str">
        <f t="shared" si="1"/>
        <v/>
      </c>
      <c r="I22" s="51"/>
      <c r="J22" s="58" t="str">
        <f t="shared" si="2"/>
        <v/>
      </c>
      <c r="K22" s="51"/>
      <c r="L22" s="58" t="str">
        <f t="shared" si="3"/>
        <v/>
      </c>
      <c r="M22" s="51"/>
      <c r="N22" s="58" t="str">
        <f t="shared" si="4"/>
        <v/>
      </c>
      <c r="O22" s="51"/>
      <c r="P22" s="58" t="str">
        <f t="shared" si="5"/>
        <v/>
      </c>
      <c r="Q22" s="53"/>
      <c r="R22" s="58" t="str">
        <f t="shared" si="6"/>
        <v/>
      </c>
      <c r="S22" s="51"/>
      <c r="T22" s="58" t="str">
        <f t="shared" si="7"/>
        <v/>
      </c>
      <c r="U22" s="51"/>
      <c r="V22" s="58" t="str">
        <f t="shared" si="8"/>
        <v/>
      </c>
      <c r="W22" s="51"/>
      <c r="X22" s="58" t="str">
        <f t="shared" si="9"/>
        <v/>
      </c>
    </row>
    <row r="23" spans="1:24" x14ac:dyDescent="0.35">
      <c r="A23" s="20">
        <v>13</v>
      </c>
      <c r="B23" s="46">
        <v>46272</v>
      </c>
      <c r="C23" s="59">
        <f t="shared" si="0"/>
        <v>238.0952380952381</v>
      </c>
      <c r="D23" s="48"/>
      <c r="E23" s="59">
        <f>SUM($C$11:C23)</f>
        <v>3095.2380952380954</v>
      </c>
      <c r="F23" s="59">
        <f>SUM($D$11:D23)</f>
        <v>0</v>
      </c>
      <c r="G23" s="49" t="str">
        <f>IF(COUNT($D$11:D23)=0,"",F23/E23)</f>
        <v/>
      </c>
      <c r="H23" s="50" t="str">
        <f t="shared" si="1"/>
        <v/>
      </c>
      <c r="I23" s="51"/>
      <c r="J23" s="52" t="str">
        <f t="shared" si="2"/>
        <v/>
      </c>
      <c r="K23" s="51"/>
      <c r="L23" s="52" t="str">
        <f t="shared" si="3"/>
        <v/>
      </c>
      <c r="M23" s="51"/>
      <c r="N23" s="52" t="str">
        <f t="shared" si="4"/>
        <v/>
      </c>
      <c r="O23" s="51"/>
      <c r="P23" s="52" t="str">
        <f t="shared" si="5"/>
        <v/>
      </c>
      <c r="Q23" s="53"/>
      <c r="R23" s="52" t="str">
        <f t="shared" si="6"/>
        <v/>
      </c>
      <c r="S23" s="51"/>
      <c r="T23" s="52" t="str">
        <f t="shared" si="7"/>
        <v/>
      </c>
      <c r="U23" s="51"/>
      <c r="V23" s="52" t="str">
        <f t="shared" si="8"/>
        <v/>
      </c>
      <c r="W23" s="51"/>
      <c r="X23" s="52" t="str">
        <f t="shared" si="9"/>
        <v/>
      </c>
    </row>
    <row r="24" spans="1:24" x14ac:dyDescent="0.35">
      <c r="A24" s="27">
        <v>14</v>
      </c>
      <c r="B24" s="54">
        <v>46279</v>
      </c>
      <c r="C24" s="60">
        <f t="shared" si="0"/>
        <v>238.0952380952381</v>
      </c>
      <c r="D24" s="48"/>
      <c r="E24" s="60">
        <f>SUM($C$11:C24)</f>
        <v>3333.3333333333335</v>
      </c>
      <c r="F24" s="60">
        <f>SUM($D$11:D24)</f>
        <v>0</v>
      </c>
      <c r="G24" s="56" t="str">
        <f>IF(COUNT($D$11:D24)=0,"",F24/E24)</f>
        <v/>
      </c>
      <c r="H24" s="57" t="str">
        <f t="shared" si="1"/>
        <v/>
      </c>
      <c r="I24" s="51"/>
      <c r="J24" s="58" t="str">
        <f t="shared" si="2"/>
        <v/>
      </c>
      <c r="K24" s="51"/>
      <c r="L24" s="58" t="str">
        <f t="shared" si="3"/>
        <v/>
      </c>
      <c r="M24" s="51"/>
      <c r="N24" s="58" t="str">
        <f t="shared" si="4"/>
        <v/>
      </c>
      <c r="O24" s="51"/>
      <c r="P24" s="58" t="str">
        <f t="shared" si="5"/>
        <v/>
      </c>
      <c r="Q24" s="53"/>
      <c r="R24" s="58" t="str">
        <f t="shared" si="6"/>
        <v/>
      </c>
      <c r="S24" s="51"/>
      <c r="T24" s="58" t="str">
        <f t="shared" si="7"/>
        <v/>
      </c>
      <c r="U24" s="51"/>
      <c r="V24" s="58" t="str">
        <f t="shared" si="8"/>
        <v/>
      </c>
      <c r="W24" s="51"/>
      <c r="X24" s="58" t="str">
        <f t="shared" si="9"/>
        <v/>
      </c>
    </row>
    <row r="25" spans="1:24" x14ac:dyDescent="0.35">
      <c r="A25" s="20">
        <v>15</v>
      </c>
      <c r="B25" s="46">
        <v>46286</v>
      </c>
      <c r="C25" s="59">
        <f t="shared" si="0"/>
        <v>238.0952380952381</v>
      </c>
      <c r="D25" s="48"/>
      <c r="E25" s="59">
        <f>SUM($C$11:C25)</f>
        <v>3571.4285714285716</v>
      </c>
      <c r="F25" s="59">
        <f>SUM($D$11:D25)</f>
        <v>0</v>
      </c>
      <c r="G25" s="49" t="str">
        <f>IF(COUNT($D$11:D25)=0,"",F25/E25)</f>
        <v/>
      </c>
      <c r="H25" s="50" t="str">
        <f t="shared" si="1"/>
        <v/>
      </c>
      <c r="I25" s="51"/>
      <c r="J25" s="52" t="str">
        <f t="shared" si="2"/>
        <v/>
      </c>
      <c r="K25" s="51"/>
      <c r="L25" s="52" t="str">
        <f t="shared" si="3"/>
        <v/>
      </c>
      <c r="M25" s="51"/>
      <c r="N25" s="52" t="str">
        <f t="shared" si="4"/>
        <v/>
      </c>
      <c r="O25" s="51"/>
      <c r="P25" s="52" t="str">
        <f t="shared" si="5"/>
        <v/>
      </c>
      <c r="Q25" s="53"/>
      <c r="R25" s="52" t="str">
        <f t="shared" si="6"/>
        <v/>
      </c>
      <c r="S25" s="51"/>
      <c r="T25" s="52" t="str">
        <f t="shared" si="7"/>
        <v/>
      </c>
      <c r="U25" s="51"/>
      <c r="V25" s="52" t="str">
        <f t="shared" si="8"/>
        <v/>
      </c>
      <c r="W25" s="51"/>
      <c r="X25" s="52" t="str">
        <f t="shared" si="9"/>
        <v/>
      </c>
    </row>
    <row r="26" spans="1:24" x14ac:dyDescent="0.35">
      <c r="A26" s="27">
        <v>16</v>
      </c>
      <c r="B26" s="54">
        <v>46293</v>
      </c>
      <c r="C26" s="60">
        <f t="shared" si="0"/>
        <v>238.0952380952381</v>
      </c>
      <c r="D26" s="48"/>
      <c r="E26" s="60">
        <f>SUM($C$11:C26)</f>
        <v>3809.5238095238096</v>
      </c>
      <c r="F26" s="60">
        <f>SUM($D$11:D26)</f>
        <v>0</v>
      </c>
      <c r="G26" s="56" t="str">
        <f>IF(COUNT($D$11:D26)=0,"",F26/E26)</f>
        <v/>
      </c>
      <c r="H26" s="57" t="str">
        <f t="shared" si="1"/>
        <v/>
      </c>
      <c r="I26" s="51"/>
      <c r="J26" s="58" t="str">
        <f t="shared" si="2"/>
        <v/>
      </c>
      <c r="K26" s="51"/>
      <c r="L26" s="58" t="str">
        <f t="shared" si="3"/>
        <v/>
      </c>
      <c r="M26" s="51"/>
      <c r="N26" s="58" t="str">
        <f t="shared" si="4"/>
        <v/>
      </c>
      <c r="O26" s="51"/>
      <c r="P26" s="58" t="str">
        <f t="shared" si="5"/>
        <v/>
      </c>
      <c r="Q26" s="53"/>
      <c r="R26" s="58" t="str">
        <f t="shared" si="6"/>
        <v/>
      </c>
      <c r="S26" s="51"/>
      <c r="T26" s="58" t="str">
        <f t="shared" si="7"/>
        <v/>
      </c>
      <c r="U26" s="51"/>
      <c r="V26" s="58" t="str">
        <f t="shared" si="8"/>
        <v/>
      </c>
      <c r="W26" s="51"/>
      <c r="X26" s="58" t="str">
        <f t="shared" si="9"/>
        <v/>
      </c>
    </row>
    <row r="27" spans="1:24" x14ac:dyDescent="0.35">
      <c r="A27" s="20">
        <v>17</v>
      </c>
      <c r="B27" s="46">
        <v>46300</v>
      </c>
      <c r="C27" s="59">
        <f t="shared" si="0"/>
        <v>238.0952380952381</v>
      </c>
      <c r="D27" s="48"/>
      <c r="E27" s="59">
        <f>SUM($C$11:C27)</f>
        <v>4047.6190476190477</v>
      </c>
      <c r="F27" s="59">
        <f>SUM($D$11:D27)</f>
        <v>0</v>
      </c>
      <c r="G27" s="49" t="str">
        <f>IF(COUNT($D$11:D27)=0,"",F27/E27)</f>
        <v/>
      </c>
      <c r="H27" s="50" t="str">
        <f t="shared" si="1"/>
        <v/>
      </c>
      <c r="I27" s="51"/>
      <c r="J27" s="52" t="str">
        <f t="shared" si="2"/>
        <v/>
      </c>
      <c r="K27" s="51"/>
      <c r="L27" s="52" t="str">
        <f t="shared" si="3"/>
        <v/>
      </c>
      <c r="M27" s="51"/>
      <c r="N27" s="52" t="str">
        <f t="shared" si="4"/>
        <v/>
      </c>
      <c r="O27" s="51"/>
      <c r="P27" s="52" t="str">
        <f t="shared" si="5"/>
        <v/>
      </c>
      <c r="Q27" s="53"/>
      <c r="R27" s="52" t="str">
        <f t="shared" si="6"/>
        <v/>
      </c>
      <c r="S27" s="51"/>
      <c r="T27" s="52" t="str">
        <f t="shared" si="7"/>
        <v/>
      </c>
      <c r="U27" s="51"/>
      <c r="V27" s="52" t="str">
        <f t="shared" si="8"/>
        <v/>
      </c>
      <c r="W27" s="51"/>
      <c r="X27" s="52" t="str">
        <f t="shared" si="9"/>
        <v/>
      </c>
    </row>
    <row r="28" spans="1:24" x14ac:dyDescent="0.35">
      <c r="A28" s="27">
        <v>18</v>
      </c>
      <c r="B28" s="54">
        <v>46307</v>
      </c>
      <c r="C28" s="60">
        <f t="shared" si="0"/>
        <v>238.0952380952381</v>
      </c>
      <c r="D28" s="48"/>
      <c r="E28" s="60">
        <f>SUM($C$11:C28)</f>
        <v>4285.7142857142862</v>
      </c>
      <c r="F28" s="60">
        <f>SUM($D$11:D28)</f>
        <v>0</v>
      </c>
      <c r="G28" s="56" t="str">
        <f>IF(COUNT($D$11:D28)=0,"",F28/E28)</f>
        <v/>
      </c>
      <c r="H28" s="57" t="str">
        <f t="shared" si="1"/>
        <v/>
      </c>
      <c r="I28" s="51"/>
      <c r="J28" s="58" t="str">
        <f t="shared" si="2"/>
        <v/>
      </c>
      <c r="K28" s="51"/>
      <c r="L28" s="58" t="str">
        <f t="shared" si="3"/>
        <v/>
      </c>
      <c r="M28" s="51"/>
      <c r="N28" s="58" t="str">
        <f t="shared" si="4"/>
        <v/>
      </c>
      <c r="O28" s="51"/>
      <c r="P28" s="58" t="str">
        <f t="shared" si="5"/>
        <v/>
      </c>
      <c r="Q28" s="53"/>
      <c r="R28" s="58" t="str">
        <f t="shared" si="6"/>
        <v/>
      </c>
      <c r="S28" s="51"/>
      <c r="T28" s="58" t="str">
        <f t="shared" si="7"/>
        <v/>
      </c>
      <c r="U28" s="51"/>
      <c r="V28" s="58" t="str">
        <f t="shared" si="8"/>
        <v/>
      </c>
      <c r="W28" s="51"/>
      <c r="X28" s="58" t="str">
        <f t="shared" si="9"/>
        <v/>
      </c>
    </row>
    <row r="29" spans="1:24" x14ac:dyDescent="0.35">
      <c r="A29" s="20">
        <v>19</v>
      </c>
      <c r="B29" s="46">
        <v>46314</v>
      </c>
      <c r="C29" s="59">
        <f t="shared" si="0"/>
        <v>238.0952380952381</v>
      </c>
      <c r="D29" s="48"/>
      <c r="E29" s="59">
        <f>SUM($C$11:C29)</f>
        <v>4523.8095238095248</v>
      </c>
      <c r="F29" s="59">
        <f>SUM($D$11:D29)</f>
        <v>0</v>
      </c>
      <c r="G29" s="49" t="str">
        <f>IF(COUNT($D$11:D29)=0,"",F29/E29)</f>
        <v/>
      </c>
      <c r="H29" s="50" t="str">
        <f t="shared" si="1"/>
        <v/>
      </c>
      <c r="I29" s="51"/>
      <c r="J29" s="52" t="str">
        <f t="shared" si="2"/>
        <v/>
      </c>
      <c r="K29" s="51"/>
      <c r="L29" s="52" t="str">
        <f t="shared" si="3"/>
        <v/>
      </c>
      <c r="M29" s="51"/>
      <c r="N29" s="52" t="str">
        <f t="shared" si="4"/>
        <v/>
      </c>
      <c r="O29" s="51"/>
      <c r="P29" s="52" t="str">
        <f t="shared" si="5"/>
        <v/>
      </c>
      <c r="Q29" s="53"/>
      <c r="R29" s="52" t="str">
        <f t="shared" si="6"/>
        <v/>
      </c>
      <c r="S29" s="51"/>
      <c r="T29" s="52" t="str">
        <f t="shared" si="7"/>
        <v/>
      </c>
      <c r="U29" s="51"/>
      <c r="V29" s="52" t="str">
        <f t="shared" si="8"/>
        <v/>
      </c>
      <c r="W29" s="51"/>
      <c r="X29" s="52" t="str">
        <f t="shared" si="9"/>
        <v/>
      </c>
    </row>
    <row r="30" spans="1:24" x14ac:dyDescent="0.35">
      <c r="A30" s="27">
        <v>20</v>
      </c>
      <c r="B30" s="54">
        <v>46321</v>
      </c>
      <c r="C30" s="60">
        <f t="shared" si="0"/>
        <v>238.0952380952381</v>
      </c>
      <c r="D30" s="48"/>
      <c r="E30" s="60">
        <f>SUM($C$11:C30)</f>
        <v>4761.9047619047633</v>
      </c>
      <c r="F30" s="60">
        <f>SUM($D$11:D30)</f>
        <v>0</v>
      </c>
      <c r="G30" s="56" t="str">
        <f>IF(COUNT($D$11:D30)=0,"",F30/E30)</f>
        <v/>
      </c>
      <c r="H30" s="57" t="str">
        <f t="shared" si="1"/>
        <v/>
      </c>
      <c r="I30" s="51"/>
      <c r="J30" s="58" t="str">
        <f t="shared" si="2"/>
        <v/>
      </c>
      <c r="K30" s="51"/>
      <c r="L30" s="58" t="str">
        <f t="shared" si="3"/>
        <v/>
      </c>
      <c r="M30" s="51"/>
      <c r="N30" s="58" t="str">
        <f t="shared" si="4"/>
        <v/>
      </c>
      <c r="O30" s="51"/>
      <c r="P30" s="58" t="str">
        <f t="shared" si="5"/>
        <v/>
      </c>
      <c r="Q30" s="53"/>
      <c r="R30" s="58" t="str">
        <f t="shared" si="6"/>
        <v/>
      </c>
      <c r="S30" s="51"/>
      <c r="T30" s="58" t="str">
        <f t="shared" si="7"/>
        <v/>
      </c>
      <c r="U30" s="51"/>
      <c r="V30" s="58" t="str">
        <f t="shared" si="8"/>
        <v/>
      </c>
      <c r="W30" s="51"/>
      <c r="X30" s="58" t="str">
        <f t="shared" si="9"/>
        <v/>
      </c>
    </row>
    <row r="31" spans="1:24" x14ac:dyDescent="0.35">
      <c r="A31" s="20">
        <v>21</v>
      </c>
      <c r="B31" s="46">
        <v>46328</v>
      </c>
      <c r="C31" s="59">
        <f t="shared" si="0"/>
        <v>238.0952380952381</v>
      </c>
      <c r="D31" s="48"/>
      <c r="E31" s="59">
        <f>SUM($C$11:C31)</f>
        <v>5000.0000000000018</v>
      </c>
      <c r="F31" s="59">
        <f>SUM($D$11:D31)</f>
        <v>0</v>
      </c>
      <c r="G31" s="49" t="str">
        <f>IF(COUNT($D$11:D31)=0,"",F31/E31)</f>
        <v/>
      </c>
      <c r="H31" s="50" t="str">
        <f t="shared" si="1"/>
        <v/>
      </c>
      <c r="I31" s="51"/>
      <c r="J31" s="52" t="str">
        <f t="shared" si="2"/>
        <v/>
      </c>
      <c r="K31" s="51"/>
      <c r="L31" s="52" t="str">
        <f t="shared" si="3"/>
        <v/>
      </c>
      <c r="M31" s="51"/>
      <c r="N31" s="52" t="str">
        <f t="shared" si="4"/>
        <v/>
      </c>
      <c r="O31" s="51"/>
      <c r="P31" s="52" t="str">
        <f t="shared" si="5"/>
        <v/>
      </c>
      <c r="Q31" s="53"/>
      <c r="R31" s="52" t="str">
        <f t="shared" si="6"/>
        <v/>
      </c>
      <c r="S31" s="51"/>
      <c r="T31" s="52" t="str">
        <f t="shared" si="7"/>
        <v/>
      </c>
      <c r="U31" s="51"/>
      <c r="V31" s="52" t="str">
        <f t="shared" si="8"/>
        <v/>
      </c>
      <c r="W31" s="51"/>
      <c r="X31" s="52" t="str">
        <f t="shared" si="9"/>
        <v/>
      </c>
    </row>
    <row r="32" spans="1:24" x14ac:dyDescent="0.35">
      <c r="A32" s="27">
        <v>22</v>
      </c>
      <c r="B32" s="54">
        <v>46335</v>
      </c>
      <c r="C32" s="60">
        <f t="shared" si="0"/>
        <v>238.0952380952381</v>
      </c>
      <c r="D32" s="48"/>
      <c r="E32" s="60">
        <f>SUM($C$11:C32)</f>
        <v>5238.0952380952403</v>
      </c>
      <c r="F32" s="60">
        <f>SUM($D$11:D32)</f>
        <v>0</v>
      </c>
      <c r="G32" s="56" t="str">
        <f>IF(COUNT($D$11:D32)=0,"",F32/E32)</f>
        <v/>
      </c>
      <c r="H32" s="57" t="str">
        <f t="shared" si="1"/>
        <v/>
      </c>
      <c r="I32" s="51"/>
      <c r="J32" s="58" t="str">
        <f t="shared" si="2"/>
        <v/>
      </c>
      <c r="K32" s="51"/>
      <c r="L32" s="58" t="str">
        <f t="shared" si="3"/>
        <v/>
      </c>
      <c r="M32" s="51"/>
      <c r="N32" s="58" t="str">
        <f t="shared" si="4"/>
        <v/>
      </c>
      <c r="O32" s="51"/>
      <c r="P32" s="58" t="str">
        <f t="shared" si="5"/>
        <v/>
      </c>
      <c r="Q32" s="53"/>
      <c r="R32" s="58" t="str">
        <f t="shared" si="6"/>
        <v/>
      </c>
      <c r="S32" s="51"/>
      <c r="T32" s="58" t="str">
        <f t="shared" si="7"/>
        <v/>
      </c>
      <c r="U32" s="51"/>
      <c r="V32" s="58" t="str">
        <f t="shared" si="8"/>
        <v/>
      </c>
      <c r="W32" s="51"/>
      <c r="X32" s="58" t="str">
        <f t="shared" si="9"/>
        <v/>
      </c>
    </row>
    <row r="33" spans="1:24" x14ac:dyDescent="0.35">
      <c r="A33" s="20">
        <v>23</v>
      </c>
      <c r="B33" s="46">
        <v>46342</v>
      </c>
      <c r="C33" s="59">
        <f t="shared" si="0"/>
        <v>238.0952380952381</v>
      </c>
      <c r="D33" s="48"/>
      <c r="E33" s="59">
        <f>SUM($C$11:C33)</f>
        <v>5476.1904761904789</v>
      </c>
      <c r="F33" s="59">
        <f>SUM($D$11:D33)</f>
        <v>0</v>
      </c>
      <c r="G33" s="49" t="str">
        <f>IF(COUNT($D$11:D33)=0,"",F33/E33)</f>
        <v/>
      </c>
      <c r="H33" s="50" t="str">
        <f t="shared" si="1"/>
        <v/>
      </c>
      <c r="I33" s="51"/>
      <c r="J33" s="52" t="str">
        <f t="shared" si="2"/>
        <v/>
      </c>
      <c r="K33" s="51"/>
      <c r="L33" s="52" t="str">
        <f t="shared" si="3"/>
        <v/>
      </c>
      <c r="M33" s="51"/>
      <c r="N33" s="52" t="str">
        <f t="shared" si="4"/>
        <v/>
      </c>
      <c r="O33" s="51"/>
      <c r="P33" s="52" t="str">
        <f t="shared" si="5"/>
        <v/>
      </c>
      <c r="Q33" s="53"/>
      <c r="R33" s="52" t="str">
        <f t="shared" si="6"/>
        <v/>
      </c>
      <c r="S33" s="51"/>
      <c r="T33" s="52" t="str">
        <f t="shared" si="7"/>
        <v/>
      </c>
      <c r="U33" s="51"/>
      <c r="V33" s="52" t="str">
        <f t="shared" si="8"/>
        <v/>
      </c>
      <c r="W33" s="51"/>
      <c r="X33" s="52" t="str">
        <f t="shared" si="9"/>
        <v/>
      </c>
    </row>
    <row r="34" spans="1:24" x14ac:dyDescent="0.35">
      <c r="A34" s="27">
        <v>24</v>
      </c>
      <c r="B34" s="54">
        <v>46349</v>
      </c>
      <c r="C34" s="60">
        <f t="shared" si="0"/>
        <v>238.0952380952381</v>
      </c>
      <c r="D34" s="48"/>
      <c r="E34" s="60">
        <f>SUM($C$11:C34)</f>
        <v>5714.2857142857174</v>
      </c>
      <c r="F34" s="60">
        <f>SUM($D$11:D34)</f>
        <v>0</v>
      </c>
      <c r="G34" s="56" t="str">
        <f>IF(COUNT($D$11:D34)=0,"",F34/E34)</f>
        <v/>
      </c>
      <c r="H34" s="57" t="str">
        <f t="shared" si="1"/>
        <v/>
      </c>
      <c r="I34" s="51"/>
      <c r="J34" s="58" t="str">
        <f t="shared" si="2"/>
        <v/>
      </c>
      <c r="K34" s="51"/>
      <c r="L34" s="58" t="str">
        <f t="shared" si="3"/>
        <v/>
      </c>
      <c r="M34" s="51"/>
      <c r="N34" s="58" t="str">
        <f t="shared" si="4"/>
        <v/>
      </c>
      <c r="O34" s="51"/>
      <c r="P34" s="58" t="str">
        <f t="shared" si="5"/>
        <v/>
      </c>
      <c r="Q34" s="53"/>
      <c r="R34" s="58" t="str">
        <f t="shared" si="6"/>
        <v/>
      </c>
      <c r="S34" s="51"/>
      <c r="T34" s="58" t="str">
        <f t="shared" si="7"/>
        <v/>
      </c>
      <c r="U34" s="51"/>
      <c r="V34" s="58" t="str">
        <f t="shared" si="8"/>
        <v/>
      </c>
      <c r="W34" s="51"/>
      <c r="X34" s="58" t="str">
        <f t="shared" si="9"/>
        <v/>
      </c>
    </row>
    <row r="35" spans="1:24" x14ac:dyDescent="0.35">
      <c r="A35" s="20">
        <v>25</v>
      </c>
      <c r="B35" s="46">
        <v>46356</v>
      </c>
      <c r="C35" s="59">
        <f t="shared" si="0"/>
        <v>238.0952380952381</v>
      </c>
      <c r="D35" s="48"/>
      <c r="E35" s="59">
        <f>SUM($C$11:C35)</f>
        <v>5952.3809523809559</v>
      </c>
      <c r="F35" s="59">
        <f>SUM($D$11:D35)</f>
        <v>0</v>
      </c>
      <c r="G35" s="49" t="str">
        <f>IF(COUNT($D$11:D35)=0,"",F35/E35)</f>
        <v/>
      </c>
      <c r="H35" s="50" t="str">
        <f t="shared" si="1"/>
        <v/>
      </c>
      <c r="I35" s="51"/>
      <c r="J35" s="52" t="str">
        <f t="shared" si="2"/>
        <v/>
      </c>
      <c r="K35" s="51"/>
      <c r="L35" s="52" t="str">
        <f t="shared" si="3"/>
        <v/>
      </c>
      <c r="M35" s="51"/>
      <c r="N35" s="52" t="str">
        <f t="shared" si="4"/>
        <v/>
      </c>
      <c r="O35" s="51"/>
      <c r="P35" s="52" t="str">
        <f t="shared" si="5"/>
        <v/>
      </c>
      <c r="Q35" s="53"/>
      <c r="R35" s="52" t="str">
        <f t="shared" si="6"/>
        <v/>
      </c>
      <c r="S35" s="51"/>
      <c r="T35" s="52" t="str">
        <f t="shared" si="7"/>
        <v/>
      </c>
      <c r="U35" s="51"/>
      <c r="V35" s="52" t="str">
        <f t="shared" si="8"/>
        <v/>
      </c>
      <c r="W35" s="51"/>
      <c r="X35" s="52" t="str">
        <f t="shared" si="9"/>
        <v/>
      </c>
    </row>
    <row r="36" spans="1:24" x14ac:dyDescent="0.35">
      <c r="A36" s="27">
        <v>26</v>
      </c>
      <c r="B36" s="54">
        <v>46363</v>
      </c>
      <c r="C36" s="60">
        <f t="shared" si="0"/>
        <v>238.0952380952381</v>
      </c>
      <c r="D36" s="48"/>
      <c r="E36" s="60">
        <f>SUM($C$11:C36)</f>
        <v>6190.4761904761945</v>
      </c>
      <c r="F36" s="60">
        <f>SUM($D$11:D36)</f>
        <v>0</v>
      </c>
      <c r="G36" s="56" t="str">
        <f>IF(COUNT($D$11:D36)=0,"",F36/E36)</f>
        <v/>
      </c>
      <c r="H36" s="57" t="str">
        <f t="shared" si="1"/>
        <v/>
      </c>
      <c r="I36" s="51"/>
      <c r="J36" s="58" t="str">
        <f t="shared" si="2"/>
        <v/>
      </c>
      <c r="K36" s="51"/>
      <c r="L36" s="58" t="str">
        <f t="shared" si="3"/>
        <v/>
      </c>
      <c r="M36" s="51"/>
      <c r="N36" s="58" t="str">
        <f t="shared" si="4"/>
        <v/>
      </c>
      <c r="O36" s="51"/>
      <c r="P36" s="58" t="str">
        <f t="shared" si="5"/>
        <v/>
      </c>
      <c r="Q36" s="53"/>
      <c r="R36" s="58" t="str">
        <f t="shared" si="6"/>
        <v/>
      </c>
      <c r="S36" s="51"/>
      <c r="T36" s="58" t="str">
        <f t="shared" si="7"/>
        <v/>
      </c>
      <c r="U36" s="51"/>
      <c r="V36" s="58" t="str">
        <f t="shared" si="8"/>
        <v/>
      </c>
      <c r="W36" s="51"/>
      <c r="X36" s="58" t="str">
        <f t="shared" si="9"/>
        <v/>
      </c>
    </row>
    <row r="37" spans="1:24" x14ac:dyDescent="0.35">
      <c r="A37" s="20">
        <v>27</v>
      </c>
      <c r="B37" s="46">
        <v>46370</v>
      </c>
      <c r="C37" s="59">
        <f t="shared" si="0"/>
        <v>238.0952380952381</v>
      </c>
      <c r="D37" s="48"/>
      <c r="E37" s="59">
        <f>SUM($C$11:C37)</f>
        <v>6428.571428571433</v>
      </c>
      <c r="F37" s="59">
        <f>SUM($D$11:D37)</f>
        <v>0</v>
      </c>
      <c r="G37" s="49" t="str">
        <f>IF(COUNT($D$11:D37)=0,"",F37/E37)</f>
        <v/>
      </c>
      <c r="H37" s="50" t="str">
        <f t="shared" si="1"/>
        <v/>
      </c>
      <c r="I37" s="51"/>
      <c r="J37" s="52" t="str">
        <f t="shared" si="2"/>
        <v/>
      </c>
      <c r="K37" s="51"/>
      <c r="L37" s="52" t="str">
        <f t="shared" si="3"/>
        <v/>
      </c>
      <c r="M37" s="51"/>
      <c r="N37" s="52" t="str">
        <f t="shared" si="4"/>
        <v/>
      </c>
      <c r="O37" s="51"/>
      <c r="P37" s="52" t="str">
        <f t="shared" si="5"/>
        <v/>
      </c>
      <c r="Q37" s="53"/>
      <c r="R37" s="52" t="str">
        <f t="shared" si="6"/>
        <v/>
      </c>
      <c r="S37" s="51"/>
      <c r="T37" s="52" t="str">
        <f t="shared" si="7"/>
        <v/>
      </c>
      <c r="U37" s="51"/>
      <c r="V37" s="52" t="str">
        <f t="shared" si="8"/>
        <v/>
      </c>
      <c r="W37" s="51"/>
      <c r="X37" s="52" t="str">
        <f t="shared" si="9"/>
        <v/>
      </c>
    </row>
    <row r="38" spans="1:24" x14ac:dyDescent="0.35">
      <c r="A38" s="27">
        <v>28</v>
      </c>
      <c r="B38" s="54">
        <v>46377</v>
      </c>
      <c r="C38" s="60">
        <f t="shared" si="0"/>
        <v>238.0952380952381</v>
      </c>
      <c r="D38" s="48"/>
      <c r="E38" s="60">
        <f>SUM($C$11:C38)</f>
        <v>6666.6666666666715</v>
      </c>
      <c r="F38" s="60">
        <f>SUM($D$11:D38)</f>
        <v>0</v>
      </c>
      <c r="G38" s="56" t="str">
        <f>IF(COUNT($D$11:D38)=0,"",F38/E38)</f>
        <v/>
      </c>
      <c r="H38" s="57" t="str">
        <f t="shared" si="1"/>
        <v/>
      </c>
      <c r="I38" s="51"/>
      <c r="J38" s="58" t="str">
        <f t="shared" si="2"/>
        <v/>
      </c>
      <c r="K38" s="51"/>
      <c r="L38" s="58" t="str">
        <f t="shared" si="3"/>
        <v/>
      </c>
      <c r="M38" s="51"/>
      <c r="N38" s="58" t="str">
        <f t="shared" si="4"/>
        <v/>
      </c>
      <c r="O38" s="51"/>
      <c r="P38" s="58" t="str">
        <f t="shared" si="5"/>
        <v/>
      </c>
      <c r="Q38" s="53"/>
      <c r="R38" s="58" t="str">
        <f t="shared" si="6"/>
        <v/>
      </c>
      <c r="S38" s="51"/>
      <c r="T38" s="58" t="str">
        <f t="shared" si="7"/>
        <v/>
      </c>
      <c r="U38" s="51"/>
      <c r="V38" s="58" t="str">
        <f t="shared" si="8"/>
        <v/>
      </c>
      <c r="W38" s="51"/>
      <c r="X38" s="58" t="str">
        <f t="shared" si="9"/>
        <v/>
      </c>
    </row>
    <row r="39" spans="1:24" x14ac:dyDescent="0.35">
      <c r="A39" s="20">
        <v>29</v>
      </c>
      <c r="B39" s="46">
        <v>46384</v>
      </c>
      <c r="C39" s="59">
        <f t="shared" si="0"/>
        <v>238.0952380952381</v>
      </c>
      <c r="D39" s="48"/>
      <c r="E39" s="59">
        <f>SUM($C$11:C39)</f>
        <v>6904.76190476191</v>
      </c>
      <c r="F39" s="59">
        <f>SUM($D$11:D39)</f>
        <v>0</v>
      </c>
      <c r="G39" s="49" t="str">
        <f>IF(COUNT($D$11:D39)=0,"",F39/E39)</f>
        <v/>
      </c>
      <c r="H39" s="50" t="str">
        <f t="shared" si="1"/>
        <v/>
      </c>
      <c r="I39" s="51"/>
      <c r="J39" s="52" t="str">
        <f t="shared" si="2"/>
        <v/>
      </c>
      <c r="K39" s="51"/>
      <c r="L39" s="52" t="str">
        <f t="shared" si="3"/>
        <v/>
      </c>
      <c r="M39" s="51"/>
      <c r="N39" s="52" t="str">
        <f t="shared" si="4"/>
        <v/>
      </c>
      <c r="O39" s="51"/>
      <c r="P39" s="52" t="str">
        <f t="shared" si="5"/>
        <v/>
      </c>
      <c r="Q39" s="53"/>
      <c r="R39" s="52" t="str">
        <f t="shared" si="6"/>
        <v/>
      </c>
      <c r="S39" s="51"/>
      <c r="T39" s="52" t="str">
        <f t="shared" si="7"/>
        <v/>
      </c>
      <c r="U39" s="51"/>
      <c r="V39" s="52" t="str">
        <f t="shared" si="8"/>
        <v/>
      </c>
      <c r="W39" s="51"/>
      <c r="X39" s="52" t="str">
        <f t="shared" si="9"/>
        <v/>
      </c>
    </row>
    <row r="40" spans="1:24" x14ac:dyDescent="0.35">
      <c r="A40" s="27">
        <v>30</v>
      </c>
      <c r="B40" s="54">
        <v>46391</v>
      </c>
      <c r="C40" s="60">
        <f t="shared" si="0"/>
        <v>238.0952380952381</v>
      </c>
      <c r="D40" s="48"/>
      <c r="E40" s="60">
        <f>SUM($C$11:C40)</f>
        <v>7142.8571428571486</v>
      </c>
      <c r="F40" s="60">
        <f>SUM($D$11:D40)</f>
        <v>0</v>
      </c>
      <c r="G40" s="56" t="str">
        <f>IF(COUNT($D$11:D40)=0,"",F40/E40)</f>
        <v/>
      </c>
      <c r="H40" s="57" t="str">
        <f t="shared" si="1"/>
        <v/>
      </c>
      <c r="I40" s="51"/>
      <c r="J40" s="58" t="str">
        <f t="shared" si="2"/>
        <v/>
      </c>
      <c r="K40" s="51"/>
      <c r="L40" s="58" t="str">
        <f t="shared" si="3"/>
        <v/>
      </c>
      <c r="M40" s="51"/>
      <c r="N40" s="58" t="str">
        <f t="shared" si="4"/>
        <v/>
      </c>
      <c r="O40" s="51"/>
      <c r="P40" s="58" t="str">
        <f t="shared" si="5"/>
        <v/>
      </c>
      <c r="Q40" s="53"/>
      <c r="R40" s="58" t="str">
        <f t="shared" si="6"/>
        <v/>
      </c>
      <c r="S40" s="51"/>
      <c r="T40" s="58" t="str">
        <f t="shared" si="7"/>
        <v/>
      </c>
      <c r="U40" s="51"/>
      <c r="V40" s="58" t="str">
        <f t="shared" si="8"/>
        <v/>
      </c>
      <c r="W40" s="51"/>
      <c r="X40" s="58" t="str">
        <f t="shared" si="9"/>
        <v/>
      </c>
    </row>
    <row r="41" spans="1:24" x14ac:dyDescent="0.35">
      <c r="A41" s="20">
        <v>31</v>
      </c>
      <c r="B41" s="46">
        <v>46398</v>
      </c>
      <c r="C41" s="59">
        <f t="shared" si="0"/>
        <v>238.0952380952381</v>
      </c>
      <c r="D41" s="48"/>
      <c r="E41" s="59">
        <f>SUM($C$11:C41)</f>
        <v>7380.9523809523871</v>
      </c>
      <c r="F41" s="59">
        <f>SUM($D$11:D41)</f>
        <v>0</v>
      </c>
      <c r="G41" s="49" t="str">
        <f>IF(COUNT($D$11:D41)=0,"",F41/E41)</f>
        <v/>
      </c>
      <c r="H41" s="50" t="str">
        <f t="shared" si="1"/>
        <v/>
      </c>
      <c r="I41" s="51"/>
      <c r="J41" s="52" t="str">
        <f t="shared" si="2"/>
        <v/>
      </c>
      <c r="K41" s="51"/>
      <c r="L41" s="52" t="str">
        <f t="shared" si="3"/>
        <v/>
      </c>
      <c r="M41" s="51"/>
      <c r="N41" s="52" t="str">
        <f t="shared" si="4"/>
        <v/>
      </c>
      <c r="O41" s="51"/>
      <c r="P41" s="52" t="str">
        <f t="shared" si="5"/>
        <v/>
      </c>
      <c r="Q41" s="53"/>
      <c r="R41" s="52" t="str">
        <f t="shared" si="6"/>
        <v/>
      </c>
      <c r="S41" s="51"/>
      <c r="T41" s="52" t="str">
        <f t="shared" si="7"/>
        <v/>
      </c>
      <c r="U41" s="51"/>
      <c r="V41" s="52" t="str">
        <f t="shared" si="8"/>
        <v/>
      </c>
      <c r="W41" s="51"/>
      <c r="X41" s="52" t="str">
        <f t="shared" si="9"/>
        <v/>
      </c>
    </row>
    <row r="42" spans="1:24" x14ac:dyDescent="0.35">
      <c r="A42" s="27">
        <v>32</v>
      </c>
      <c r="B42" s="54">
        <v>46405</v>
      </c>
      <c r="C42" s="60">
        <f t="shared" si="0"/>
        <v>238.0952380952381</v>
      </c>
      <c r="D42" s="48"/>
      <c r="E42" s="60">
        <f>SUM($C$11:C42)</f>
        <v>7619.0476190476256</v>
      </c>
      <c r="F42" s="60">
        <f>SUM($D$11:D42)</f>
        <v>0</v>
      </c>
      <c r="G42" s="56" t="str">
        <f>IF(COUNT($D$11:D42)=0,"",F42/E42)</f>
        <v/>
      </c>
      <c r="H42" s="57" t="str">
        <f t="shared" si="1"/>
        <v/>
      </c>
      <c r="I42" s="51"/>
      <c r="J42" s="58" t="str">
        <f t="shared" si="2"/>
        <v/>
      </c>
      <c r="K42" s="51"/>
      <c r="L42" s="58" t="str">
        <f t="shared" si="3"/>
        <v/>
      </c>
      <c r="M42" s="51"/>
      <c r="N42" s="58" t="str">
        <f t="shared" si="4"/>
        <v/>
      </c>
      <c r="O42" s="51"/>
      <c r="P42" s="58" t="str">
        <f t="shared" si="5"/>
        <v/>
      </c>
      <c r="Q42" s="53"/>
      <c r="R42" s="58" t="str">
        <f t="shared" si="6"/>
        <v/>
      </c>
      <c r="S42" s="51"/>
      <c r="T42" s="58" t="str">
        <f t="shared" si="7"/>
        <v/>
      </c>
      <c r="U42" s="51"/>
      <c r="V42" s="58" t="str">
        <f t="shared" si="8"/>
        <v/>
      </c>
      <c r="W42" s="51"/>
      <c r="X42" s="58" t="str">
        <f t="shared" si="9"/>
        <v/>
      </c>
    </row>
    <row r="43" spans="1:24" x14ac:dyDescent="0.35">
      <c r="A43" s="20">
        <v>33</v>
      </c>
      <c r="B43" s="46">
        <v>46412</v>
      </c>
      <c r="C43" s="59">
        <f t="shared" si="0"/>
        <v>238.0952380952381</v>
      </c>
      <c r="D43" s="48"/>
      <c r="E43" s="59">
        <f>SUM($C$11:C43)</f>
        <v>7857.1428571428642</v>
      </c>
      <c r="F43" s="59">
        <f>SUM($D$11:D43)</f>
        <v>0</v>
      </c>
      <c r="G43" s="49" t="str">
        <f>IF(COUNT($D$11:D43)=0,"",F43/E43)</f>
        <v/>
      </c>
      <c r="H43" s="50" t="str">
        <f t="shared" si="1"/>
        <v/>
      </c>
      <c r="I43" s="51"/>
      <c r="J43" s="52" t="str">
        <f t="shared" si="2"/>
        <v/>
      </c>
      <c r="K43" s="51"/>
      <c r="L43" s="52" t="str">
        <f t="shared" si="3"/>
        <v/>
      </c>
      <c r="M43" s="51"/>
      <c r="N43" s="52" t="str">
        <f t="shared" si="4"/>
        <v/>
      </c>
      <c r="O43" s="51"/>
      <c r="P43" s="52" t="str">
        <f t="shared" si="5"/>
        <v/>
      </c>
      <c r="Q43" s="53"/>
      <c r="R43" s="52" t="str">
        <f t="shared" si="6"/>
        <v/>
      </c>
      <c r="S43" s="51"/>
      <c r="T43" s="52" t="str">
        <f t="shared" si="7"/>
        <v/>
      </c>
      <c r="U43" s="51"/>
      <c r="V43" s="52" t="str">
        <f t="shared" si="8"/>
        <v/>
      </c>
      <c r="W43" s="51"/>
      <c r="X43" s="52" t="str">
        <f t="shared" si="9"/>
        <v/>
      </c>
    </row>
    <row r="44" spans="1:24" x14ac:dyDescent="0.35">
      <c r="A44" s="27">
        <v>34</v>
      </c>
      <c r="B44" s="54">
        <v>46419</v>
      </c>
      <c r="C44" s="60">
        <f t="shared" si="0"/>
        <v>238.0952380952381</v>
      </c>
      <c r="D44" s="48"/>
      <c r="E44" s="60">
        <f>SUM($C$11:C44)</f>
        <v>8095.2380952381027</v>
      </c>
      <c r="F44" s="60">
        <f>SUM($D$11:D44)</f>
        <v>0</v>
      </c>
      <c r="G44" s="56" t="str">
        <f>IF(COUNT($D$11:D44)=0,"",F44/E44)</f>
        <v/>
      </c>
      <c r="H44" s="57" t="str">
        <f t="shared" si="1"/>
        <v/>
      </c>
      <c r="I44" s="51"/>
      <c r="J44" s="58" t="str">
        <f t="shared" si="2"/>
        <v/>
      </c>
      <c r="K44" s="51"/>
      <c r="L44" s="58" t="str">
        <f t="shared" si="3"/>
        <v/>
      </c>
      <c r="M44" s="51"/>
      <c r="N44" s="58" t="str">
        <f t="shared" si="4"/>
        <v/>
      </c>
      <c r="O44" s="51"/>
      <c r="P44" s="58" t="str">
        <f t="shared" si="5"/>
        <v/>
      </c>
      <c r="Q44" s="53"/>
      <c r="R44" s="58" t="str">
        <f t="shared" si="6"/>
        <v/>
      </c>
      <c r="S44" s="51"/>
      <c r="T44" s="58" t="str">
        <f t="shared" si="7"/>
        <v/>
      </c>
      <c r="U44" s="51"/>
      <c r="V44" s="58" t="str">
        <f t="shared" si="8"/>
        <v/>
      </c>
      <c r="W44" s="51"/>
      <c r="X44" s="58" t="str">
        <f t="shared" si="9"/>
        <v/>
      </c>
    </row>
    <row r="45" spans="1:24" x14ac:dyDescent="0.35">
      <c r="A45" s="20">
        <v>35</v>
      </c>
      <c r="B45" s="46">
        <v>46426</v>
      </c>
      <c r="C45" s="59">
        <f t="shared" si="0"/>
        <v>238.0952380952381</v>
      </c>
      <c r="D45" s="48"/>
      <c r="E45" s="59">
        <f>SUM($C$11:C45)</f>
        <v>8333.3333333333412</v>
      </c>
      <c r="F45" s="59">
        <f>SUM($D$11:D45)</f>
        <v>0</v>
      </c>
      <c r="G45" s="49" t="str">
        <f>IF(COUNT($D$11:D45)=0,"",F45/E45)</f>
        <v/>
      </c>
      <c r="H45" s="50" t="str">
        <f t="shared" si="1"/>
        <v/>
      </c>
      <c r="I45" s="51"/>
      <c r="J45" s="52" t="str">
        <f t="shared" si="2"/>
        <v/>
      </c>
      <c r="K45" s="51"/>
      <c r="L45" s="52" t="str">
        <f t="shared" si="3"/>
        <v/>
      </c>
      <c r="M45" s="51"/>
      <c r="N45" s="52" t="str">
        <f t="shared" si="4"/>
        <v/>
      </c>
      <c r="O45" s="51"/>
      <c r="P45" s="52" t="str">
        <f t="shared" si="5"/>
        <v/>
      </c>
      <c r="Q45" s="53"/>
      <c r="R45" s="52" t="str">
        <f t="shared" si="6"/>
        <v/>
      </c>
      <c r="S45" s="51"/>
      <c r="T45" s="52" t="str">
        <f t="shared" si="7"/>
        <v/>
      </c>
      <c r="U45" s="51"/>
      <c r="V45" s="52" t="str">
        <f t="shared" si="8"/>
        <v/>
      </c>
      <c r="W45" s="51"/>
      <c r="X45" s="52" t="str">
        <f t="shared" si="9"/>
        <v/>
      </c>
    </row>
    <row r="46" spans="1:24" x14ac:dyDescent="0.35">
      <c r="A46" s="27">
        <v>36</v>
      </c>
      <c r="B46" s="54">
        <v>46433</v>
      </c>
      <c r="C46" s="60">
        <f t="shared" si="0"/>
        <v>238.0952380952381</v>
      </c>
      <c r="D46" s="48"/>
      <c r="E46" s="60">
        <f>SUM($C$11:C46)</f>
        <v>8571.4285714285797</v>
      </c>
      <c r="F46" s="60">
        <f>SUM($D$11:D46)</f>
        <v>0</v>
      </c>
      <c r="G46" s="56" t="str">
        <f>IF(COUNT($D$11:D46)=0,"",F46/E46)</f>
        <v/>
      </c>
      <c r="H46" s="57" t="str">
        <f t="shared" si="1"/>
        <v/>
      </c>
      <c r="I46" s="51"/>
      <c r="J46" s="58" t="str">
        <f t="shared" si="2"/>
        <v/>
      </c>
      <c r="K46" s="51"/>
      <c r="L46" s="58" t="str">
        <f t="shared" si="3"/>
        <v/>
      </c>
      <c r="M46" s="51"/>
      <c r="N46" s="58" t="str">
        <f t="shared" si="4"/>
        <v/>
      </c>
      <c r="O46" s="51"/>
      <c r="P46" s="58" t="str">
        <f t="shared" si="5"/>
        <v/>
      </c>
      <c r="Q46" s="53"/>
      <c r="R46" s="58" t="str">
        <f t="shared" si="6"/>
        <v/>
      </c>
      <c r="S46" s="51"/>
      <c r="T46" s="58" t="str">
        <f t="shared" si="7"/>
        <v/>
      </c>
      <c r="U46" s="51"/>
      <c r="V46" s="58" t="str">
        <f t="shared" si="8"/>
        <v/>
      </c>
      <c r="W46" s="51"/>
      <c r="X46" s="58" t="str">
        <f t="shared" si="9"/>
        <v/>
      </c>
    </row>
    <row r="47" spans="1:24" x14ac:dyDescent="0.35">
      <c r="A47" s="20">
        <v>37</v>
      </c>
      <c r="B47" s="46">
        <v>46440</v>
      </c>
      <c r="C47" s="59">
        <f t="shared" si="0"/>
        <v>238.0952380952381</v>
      </c>
      <c r="D47" s="48"/>
      <c r="E47" s="59">
        <f>SUM($C$11:C47)</f>
        <v>8809.5238095238183</v>
      </c>
      <c r="F47" s="59">
        <f>SUM($D$11:D47)</f>
        <v>0</v>
      </c>
      <c r="G47" s="49" t="str">
        <f>IF(COUNT($D$11:D47)=0,"",F47/E47)</f>
        <v/>
      </c>
      <c r="H47" s="50" t="str">
        <f t="shared" si="1"/>
        <v/>
      </c>
      <c r="I47" s="51"/>
      <c r="J47" s="52" t="str">
        <f t="shared" si="2"/>
        <v/>
      </c>
      <c r="K47" s="51"/>
      <c r="L47" s="52" t="str">
        <f t="shared" si="3"/>
        <v/>
      </c>
      <c r="M47" s="51"/>
      <c r="N47" s="52" t="str">
        <f t="shared" si="4"/>
        <v/>
      </c>
      <c r="O47" s="51"/>
      <c r="P47" s="52" t="str">
        <f t="shared" si="5"/>
        <v/>
      </c>
      <c r="Q47" s="53"/>
      <c r="R47" s="52" t="str">
        <f t="shared" si="6"/>
        <v/>
      </c>
      <c r="S47" s="51"/>
      <c r="T47" s="52" t="str">
        <f t="shared" si="7"/>
        <v/>
      </c>
      <c r="U47" s="51"/>
      <c r="V47" s="52" t="str">
        <f t="shared" si="8"/>
        <v/>
      </c>
      <c r="W47" s="51"/>
      <c r="X47" s="52" t="str">
        <f t="shared" si="9"/>
        <v/>
      </c>
    </row>
    <row r="48" spans="1:24" x14ac:dyDescent="0.35">
      <c r="A48" s="27">
        <v>38</v>
      </c>
      <c r="B48" s="54">
        <v>46447</v>
      </c>
      <c r="C48" s="60">
        <f t="shared" si="0"/>
        <v>238.0952380952381</v>
      </c>
      <c r="D48" s="48"/>
      <c r="E48" s="60">
        <f>SUM($C$11:C48)</f>
        <v>9047.6190476190568</v>
      </c>
      <c r="F48" s="60">
        <f>SUM($D$11:D48)</f>
        <v>0</v>
      </c>
      <c r="G48" s="56" t="str">
        <f>IF(COUNT($D$11:D48)=0,"",F48/E48)</f>
        <v/>
      </c>
      <c r="H48" s="57" t="str">
        <f t="shared" si="1"/>
        <v/>
      </c>
      <c r="I48" s="51"/>
      <c r="J48" s="58" t="str">
        <f t="shared" si="2"/>
        <v/>
      </c>
      <c r="K48" s="51"/>
      <c r="L48" s="58" t="str">
        <f t="shared" si="3"/>
        <v/>
      </c>
      <c r="M48" s="51"/>
      <c r="N48" s="58" t="str">
        <f t="shared" si="4"/>
        <v/>
      </c>
      <c r="O48" s="51"/>
      <c r="P48" s="58" t="str">
        <f t="shared" si="5"/>
        <v/>
      </c>
      <c r="Q48" s="53"/>
      <c r="R48" s="58" t="str">
        <f t="shared" si="6"/>
        <v/>
      </c>
      <c r="S48" s="51"/>
      <c r="T48" s="58" t="str">
        <f t="shared" si="7"/>
        <v/>
      </c>
      <c r="U48" s="51"/>
      <c r="V48" s="58" t="str">
        <f t="shared" si="8"/>
        <v/>
      </c>
      <c r="W48" s="51"/>
      <c r="X48" s="58" t="str">
        <f t="shared" si="9"/>
        <v/>
      </c>
    </row>
    <row r="49" spans="1:24" x14ac:dyDescent="0.35">
      <c r="A49" s="20">
        <v>39</v>
      </c>
      <c r="B49" s="46">
        <v>46454</v>
      </c>
      <c r="C49" s="59">
        <f t="shared" si="0"/>
        <v>238.0952380952381</v>
      </c>
      <c r="D49" s="48"/>
      <c r="E49" s="59">
        <f>SUM($C$11:C49)</f>
        <v>9285.7142857142953</v>
      </c>
      <c r="F49" s="59">
        <f>SUM($D$11:D49)</f>
        <v>0</v>
      </c>
      <c r="G49" s="49" t="str">
        <f>IF(COUNT($D$11:D49)=0,"",F49/E49)</f>
        <v/>
      </c>
      <c r="H49" s="50" t="str">
        <f t="shared" si="1"/>
        <v/>
      </c>
      <c r="I49" s="51"/>
      <c r="J49" s="52" t="str">
        <f t="shared" si="2"/>
        <v/>
      </c>
      <c r="K49" s="51"/>
      <c r="L49" s="52" t="str">
        <f t="shared" si="3"/>
        <v/>
      </c>
      <c r="M49" s="51"/>
      <c r="N49" s="52" t="str">
        <f t="shared" si="4"/>
        <v/>
      </c>
      <c r="O49" s="51"/>
      <c r="P49" s="52" t="str">
        <f t="shared" si="5"/>
        <v/>
      </c>
      <c r="Q49" s="53"/>
      <c r="R49" s="52" t="str">
        <f t="shared" si="6"/>
        <v/>
      </c>
      <c r="S49" s="51"/>
      <c r="T49" s="52" t="str">
        <f t="shared" si="7"/>
        <v/>
      </c>
      <c r="U49" s="51"/>
      <c r="V49" s="52" t="str">
        <f t="shared" si="8"/>
        <v/>
      </c>
      <c r="W49" s="51"/>
      <c r="X49" s="52" t="str">
        <f t="shared" si="9"/>
        <v/>
      </c>
    </row>
    <row r="50" spans="1:24" x14ac:dyDescent="0.35">
      <c r="A50" s="27">
        <v>40</v>
      </c>
      <c r="B50" s="54">
        <v>46461</v>
      </c>
      <c r="C50" s="60">
        <f t="shared" si="0"/>
        <v>238.0952380952381</v>
      </c>
      <c r="D50" s="48"/>
      <c r="E50" s="60">
        <f>SUM($C$11:C50)</f>
        <v>9523.8095238095339</v>
      </c>
      <c r="F50" s="60">
        <f>SUM($D$11:D50)</f>
        <v>0</v>
      </c>
      <c r="G50" s="56" t="str">
        <f>IF(COUNT($D$11:D50)=0,"",F50/E50)</f>
        <v/>
      </c>
      <c r="H50" s="57" t="str">
        <f t="shared" si="1"/>
        <v/>
      </c>
      <c r="I50" s="51"/>
      <c r="J50" s="58" t="str">
        <f t="shared" si="2"/>
        <v/>
      </c>
      <c r="K50" s="51"/>
      <c r="L50" s="58" t="str">
        <f t="shared" si="3"/>
        <v/>
      </c>
      <c r="M50" s="51"/>
      <c r="N50" s="58" t="str">
        <f t="shared" si="4"/>
        <v/>
      </c>
      <c r="O50" s="51"/>
      <c r="P50" s="58" t="str">
        <f t="shared" si="5"/>
        <v/>
      </c>
      <c r="Q50" s="53"/>
      <c r="R50" s="58" t="str">
        <f t="shared" si="6"/>
        <v/>
      </c>
      <c r="S50" s="51"/>
      <c r="T50" s="58" t="str">
        <f t="shared" si="7"/>
        <v/>
      </c>
      <c r="U50" s="51"/>
      <c r="V50" s="58" t="str">
        <f t="shared" si="8"/>
        <v/>
      </c>
      <c r="W50" s="51"/>
      <c r="X50" s="58" t="str">
        <f t="shared" si="9"/>
        <v/>
      </c>
    </row>
    <row r="51" spans="1:24" x14ac:dyDescent="0.35">
      <c r="A51" s="20">
        <v>41</v>
      </c>
      <c r="B51" s="46">
        <v>46468</v>
      </c>
      <c r="C51" s="59">
        <f t="shared" si="0"/>
        <v>238.0952380952381</v>
      </c>
      <c r="D51" s="48"/>
      <c r="E51" s="59">
        <f>SUM($C$11:C51)</f>
        <v>9761.9047619047724</v>
      </c>
      <c r="F51" s="59">
        <f>SUM($D$11:D51)</f>
        <v>0</v>
      </c>
      <c r="G51" s="49" t="str">
        <f>IF(COUNT($D$11:D51)=0,"",F51/E51)</f>
        <v/>
      </c>
      <c r="H51" s="50" t="str">
        <f t="shared" si="1"/>
        <v/>
      </c>
      <c r="I51" s="51"/>
      <c r="J51" s="52" t="str">
        <f t="shared" si="2"/>
        <v/>
      </c>
      <c r="K51" s="51"/>
      <c r="L51" s="52" t="str">
        <f t="shared" si="3"/>
        <v/>
      </c>
      <c r="M51" s="51"/>
      <c r="N51" s="52" t="str">
        <f t="shared" si="4"/>
        <v/>
      </c>
      <c r="O51" s="51"/>
      <c r="P51" s="52" t="str">
        <f t="shared" si="5"/>
        <v/>
      </c>
      <c r="Q51" s="53"/>
      <c r="R51" s="52" t="str">
        <f t="shared" si="6"/>
        <v/>
      </c>
      <c r="S51" s="51"/>
      <c r="T51" s="52" t="str">
        <f t="shared" si="7"/>
        <v/>
      </c>
      <c r="U51" s="51"/>
      <c r="V51" s="52" t="str">
        <f t="shared" si="8"/>
        <v/>
      </c>
      <c r="W51" s="51"/>
      <c r="X51" s="52" t="str">
        <f t="shared" si="9"/>
        <v/>
      </c>
    </row>
    <row r="52" spans="1:24" x14ac:dyDescent="0.35">
      <c r="A52" s="27">
        <v>42</v>
      </c>
      <c r="B52" s="54">
        <v>46475</v>
      </c>
      <c r="C52" s="60">
        <f t="shared" si="0"/>
        <v>238.0952380952381</v>
      </c>
      <c r="D52" s="48"/>
      <c r="E52" s="60">
        <f>SUM($C$11:C52)</f>
        <v>10000.000000000011</v>
      </c>
      <c r="F52" s="60">
        <f>SUM($D$11:D52)</f>
        <v>0</v>
      </c>
      <c r="G52" s="56" t="str">
        <f>IF(COUNT($D$11:D52)=0,"",F52/E52)</f>
        <v/>
      </c>
      <c r="H52" s="57" t="str">
        <f t="shared" si="1"/>
        <v/>
      </c>
      <c r="I52" s="51"/>
      <c r="J52" s="58" t="str">
        <f t="shared" si="2"/>
        <v/>
      </c>
      <c r="K52" s="51"/>
      <c r="L52" s="58" t="str">
        <f t="shared" si="3"/>
        <v/>
      </c>
      <c r="M52" s="51"/>
      <c r="N52" s="58" t="str">
        <f t="shared" si="4"/>
        <v/>
      </c>
      <c r="O52" s="51"/>
      <c r="P52" s="58" t="str">
        <f t="shared" si="5"/>
        <v/>
      </c>
      <c r="Q52" s="53"/>
      <c r="R52" s="58" t="str">
        <f t="shared" si="6"/>
        <v/>
      </c>
      <c r="S52" s="51"/>
      <c r="T52" s="58" t="str">
        <f t="shared" si="7"/>
        <v/>
      </c>
      <c r="U52" s="51"/>
      <c r="V52" s="58" t="str">
        <f t="shared" si="8"/>
        <v/>
      </c>
      <c r="W52" s="51"/>
      <c r="X52" s="58" t="str">
        <f t="shared" si="9"/>
        <v/>
      </c>
    </row>
  </sheetData>
  <mergeCells count="17">
    <mergeCell ref="S9:T9"/>
    <mergeCell ref="U9:V9"/>
    <mergeCell ref="W9:X9"/>
    <mergeCell ref="I9:J9"/>
    <mergeCell ref="K9:L9"/>
    <mergeCell ref="M9:N9"/>
    <mergeCell ref="O9:P9"/>
    <mergeCell ref="Q9:R9"/>
    <mergeCell ref="A1:X1"/>
    <mergeCell ref="I8:J8"/>
    <mergeCell ref="K8:L8"/>
    <mergeCell ref="M8:N8"/>
    <mergeCell ref="O8:P8"/>
    <mergeCell ref="Q8:R8"/>
    <mergeCell ref="S8:T8"/>
    <mergeCell ref="U8:V8"/>
    <mergeCell ref="W8:X8"/>
  </mergeCells>
  <conditionalFormatting sqref="H11:H52">
    <cfRule type="containsText" dxfId="23" priority="2" operator="containsText" text="En meta">
      <formula>NOT(ISERROR(SEARCH("En meta",H11)))</formula>
    </cfRule>
    <cfRule type="containsText" dxfId="22" priority="3" operator="containsText" text="Riesgo">
      <formula>NOT(ISERROR(SEARCH("Riesgo",H11)))</formula>
    </cfRule>
    <cfRule type="containsText" dxfId="21" priority="4" operator="containsText" text="Atrasado">
      <formula>NOT(ISERROR(SEARCH("Atrasado",H11)))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1"/>
  <sheetViews>
    <sheetView showGridLines="0" tabSelected="1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D19" sqref="D19"/>
    </sheetView>
  </sheetViews>
  <sheetFormatPr defaultColWidth="8.6328125" defaultRowHeight="14.5" x14ac:dyDescent="0.35"/>
  <cols>
    <col min="1" max="1" width="5" customWidth="1"/>
    <col min="2" max="2" width="11" customWidth="1"/>
    <col min="3" max="3" width="12" customWidth="1"/>
    <col min="4" max="4" width="11" customWidth="1"/>
    <col min="5" max="6" width="12" customWidth="1"/>
    <col min="7" max="7" width="13" customWidth="1"/>
    <col min="8" max="9" width="11" customWidth="1"/>
    <col min="10" max="10" width="7" customWidth="1"/>
    <col min="11" max="11" width="11" customWidth="1"/>
    <col min="12" max="12" width="7" customWidth="1"/>
    <col min="13" max="13" width="11" customWidth="1"/>
    <col min="14" max="14" width="7" customWidth="1"/>
    <col min="15" max="15" width="11" customWidth="1"/>
    <col min="16" max="16" width="7" customWidth="1"/>
    <col min="17" max="17" width="11" customWidth="1"/>
    <col min="18" max="18" width="7" customWidth="1"/>
    <col min="19" max="19" width="11" customWidth="1"/>
    <col min="20" max="20" width="7" customWidth="1"/>
    <col min="21" max="21" width="11" customWidth="1"/>
    <col min="22" max="22" width="7" customWidth="1"/>
    <col min="23" max="23" width="11" customWidth="1"/>
    <col min="24" max="24" width="7" customWidth="1"/>
  </cols>
  <sheetData>
    <row r="1" spans="1:24" ht="18" x14ac:dyDescent="0.4">
      <c r="A1" s="4" t="s">
        <v>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7" t="s">
        <v>46</v>
      </c>
      <c r="B2" s="38" t="s">
        <v>85</v>
      </c>
    </row>
    <row r="3" spans="1:24" x14ac:dyDescent="0.35">
      <c r="A3" s="7" t="s">
        <v>48</v>
      </c>
      <c r="B3" s="38" t="s">
        <v>86</v>
      </c>
    </row>
    <row r="4" spans="1:24" x14ac:dyDescent="0.35">
      <c r="A4" s="7" t="s">
        <v>50</v>
      </c>
      <c r="B4" s="39" t="s">
        <v>51</v>
      </c>
      <c r="D4" s="7" t="s">
        <v>52</v>
      </c>
      <c r="E4" s="38" t="s">
        <v>25</v>
      </c>
    </row>
    <row r="5" spans="1:24" x14ac:dyDescent="0.35">
      <c r="A5" s="7" t="s">
        <v>53</v>
      </c>
      <c r="B5" s="40">
        <v>10</v>
      </c>
      <c r="D5" s="7" t="s">
        <v>54</v>
      </c>
      <c r="E5" s="41">
        <v>46188</v>
      </c>
      <c r="G5" s="7" t="s">
        <v>55</v>
      </c>
      <c r="H5" s="41">
        <v>46748</v>
      </c>
    </row>
    <row r="6" spans="1:24" x14ac:dyDescent="0.35">
      <c r="A6" s="7" t="s">
        <v>56</v>
      </c>
      <c r="B6" s="38" t="s">
        <v>57</v>
      </c>
    </row>
    <row r="8" spans="1:24" ht="42" customHeight="1" x14ac:dyDescent="0.35">
      <c r="A8" s="7" t="s">
        <v>58</v>
      </c>
      <c r="B8" s="42">
        <f>COUNT(A11:A91)</f>
        <v>81</v>
      </c>
      <c r="H8" s="43" t="s">
        <v>59</v>
      </c>
      <c r="I8" s="3" t="s">
        <v>87</v>
      </c>
      <c r="J8" s="3"/>
      <c r="K8" s="3" t="s">
        <v>88</v>
      </c>
      <c r="L8" s="3"/>
      <c r="M8" s="3" t="s">
        <v>89</v>
      </c>
      <c r="N8" s="3"/>
      <c r="O8" s="3" t="s">
        <v>90</v>
      </c>
      <c r="P8" s="3"/>
      <c r="Q8" s="3" t="s">
        <v>91</v>
      </c>
      <c r="R8" s="3"/>
      <c r="S8" s="3" t="s">
        <v>92</v>
      </c>
      <c r="T8" s="3"/>
      <c r="U8" s="3" t="s">
        <v>93</v>
      </c>
      <c r="V8" s="3"/>
      <c r="W8" s="3" t="s">
        <v>67</v>
      </c>
      <c r="X8" s="3"/>
    </row>
    <row r="9" spans="1:24" x14ac:dyDescent="0.35">
      <c r="A9" s="44" t="s">
        <v>68</v>
      </c>
      <c r="H9" s="43" t="s">
        <v>69</v>
      </c>
      <c r="I9" s="2">
        <v>5</v>
      </c>
      <c r="J9" s="2"/>
      <c r="K9" s="2">
        <v>4</v>
      </c>
      <c r="L9" s="2"/>
      <c r="M9" s="2">
        <v>1</v>
      </c>
      <c r="N9" s="2"/>
      <c r="O9" s="2">
        <v>2</v>
      </c>
      <c r="P9" s="2"/>
      <c r="Q9" s="2">
        <v>10</v>
      </c>
      <c r="R9" s="2"/>
      <c r="S9" s="2">
        <v>2</v>
      </c>
      <c r="T9" s="2"/>
      <c r="U9" s="1">
        <v>0.3</v>
      </c>
      <c r="V9" s="1"/>
      <c r="W9" s="2"/>
      <c r="X9" s="2"/>
    </row>
    <row r="10" spans="1:24" x14ac:dyDescent="0.35">
      <c r="A10" s="9" t="s">
        <v>11</v>
      </c>
      <c r="B10" s="9" t="s">
        <v>70</v>
      </c>
      <c r="C10" s="9" t="s">
        <v>71</v>
      </c>
      <c r="D10" s="9" t="s">
        <v>72</v>
      </c>
      <c r="E10" s="9" t="s">
        <v>6</v>
      </c>
      <c r="F10" s="9" t="s">
        <v>7</v>
      </c>
      <c r="G10" s="9" t="s">
        <v>8</v>
      </c>
      <c r="H10" s="9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spans="1:24" x14ac:dyDescent="0.35">
      <c r="A11" s="20">
        <v>1</v>
      </c>
      <c r="B11" s="46">
        <v>46188</v>
      </c>
      <c r="C11" s="47">
        <f t="shared" ref="C11:C42" si="0">$B$5/$B$8</f>
        <v>0.12345679012345678</v>
      </c>
      <c r="D11" s="75">
        <f>+SUM(I11,K11,M11,O11,Q11,S11,U11,W11)</f>
        <v>1</v>
      </c>
      <c r="E11" s="47">
        <f>SUM($C$11:C11)</f>
        <v>0.12345679012345678</v>
      </c>
      <c r="F11" s="47">
        <f>SUM($D$11:D11)</f>
        <v>1</v>
      </c>
      <c r="G11" s="49">
        <f>IF(COUNT($D$11:D11)=0,"",F11/E11)</f>
        <v>8.1</v>
      </c>
      <c r="H11" s="50" t="str">
        <f t="shared" ref="H11:H42" si="1">IF(G11="","",IF(G11&gt;=0.95,"En meta",IF(G11&gt;=0.8,"Riesgo","Atrasado")))</f>
        <v>En meta</v>
      </c>
      <c r="I11" s="51">
        <v>1</v>
      </c>
      <c r="J11" s="52">
        <f t="shared" ref="J11:J42" si="2">IF(I11="","",IF($I$9="","",IF($I$9=0,"",I11/$I$9)))</f>
        <v>0.2</v>
      </c>
      <c r="K11" s="51"/>
      <c r="L11" s="52" t="str">
        <f t="shared" ref="L11:L42" si="3">IF(K11="","",IF($K$9="","",IF($K$9=0,"",K11/$K$9)))</f>
        <v/>
      </c>
      <c r="M11" s="51"/>
      <c r="N11" s="52" t="str">
        <f t="shared" ref="N11:N42" si="4">IF(M11="","",IF($M$9="","",IF($M$9=0,"",M11/$M$9)))</f>
        <v/>
      </c>
      <c r="O11" s="51"/>
      <c r="P11" s="52" t="str">
        <f t="shared" ref="P11:P42" si="5">IF(O11="","",IF($O$9="","",IF($O$9=0,"",O11/$O$9)))</f>
        <v/>
      </c>
      <c r="Q11" s="51"/>
      <c r="R11" s="52" t="str">
        <f t="shared" ref="R11:R42" si="6">IF(Q11="","",IF($Q$9="","",IF($Q$9=0,"",Q11/$Q$9)))</f>
        <v/>
      </c>
      <c r="S11" s="51"/>
      <c r="T11" s="52" t="str">
        <f t="shared" ref="T11:T42" si="7">IF(S11="","",IF($S$9="","",IF($S$9=0,"",S11/$S$9)))</f>
        <v/>
      </c>
      <c r="U11" s="53"/>
      <c r="V11" s="52" t="str">
        <f t="shared" ref="V11:V42" si="8">IF(U11="","",IF($U$9="","",IF($U$9=0,"",U11/$U$9)))</f>
        <v/>
      </c>
      <c r="W11" s="51"/>
      <c r="X11" s="52" t="str">
        <f t="shared" ref="X11:X42" si="9">IF(W11="","",IF($W$9="","",IF($W$9=0,"",W11/$W$9)))</f>
        <v/>
      </c>
    </row>
    <row r="12" spans="1:24" x14ac:dyDescent="0.35">
      <c r="A12" s="27">
        <v>2</v>
      </c>
      <c r="B12" s="54">
        <v>46195</v>
      </c>
      <c r="C12" s="55">
        <f t="shared" si="0"/>
        <v>0.12345679012345678</v>
      </c>
      <c r="D12" s="75">
        <f>+SUM(I12,K12,M12,O12,Q12,S12,U12,W12)</f>
        <v>2</v>
      </c>
      <c r="E12" s="55">
        <f>SUM($C$11:C12)</f>
        <v>0.24691358024691357</v>
      </c>
      <c r="F12" s="55">
        <f>SUM($D$11:D12)</f>
        <v>3</v>
      </c>
      <c r="G12" s="56">
        <f>IF(COUNT($D$11:D12)=0,"",F12/E12)</f>
        <v>12.15</v>
      </c>
      <c r="H12" s="57" t="str">
        <f t="shared" si="1"/>
        <v>En meta</v>
      </c>
      <c r="I12" s="51">
        <v>2</v>
      </c>
      <c r="J12" s="58">
        <f t="shared" si="2"/>
        <v>0.4</v>
      </c>
      <c r="K12" s="51"/>
      <c r="L12" s="58" t="str">
        <f t="shared" si="3"/>
        <v/>
      </c>
      <c r="M12" s="51"/>
      <c r="N12" s="58" t="str">
        <f t="shared" si="4"/>
        <v/>
      </c>
      <c r="O12" s="51"/>
      <c r="P12" s="58" t="str">
        <f t="shared" si="5"/>
        <v/>
      </c>
      <c r="Q12" s="51"/>
      <c r="R12" s="58" t="str">
        <f t="shared" si="6"/>
        <v/>
      </c>
      <c r="S12" s="51"/>
      <c r="T12" s="58" t="str">
        <f t="shared" si="7"/>
        <v/>
      </c>
      <c r="U12" s="53"/>
      <c r="V12" s="58" t="str">
        <f t="shared" si="8"/>
        <v/>
      </c>
      <c r="W12" s="51"/>
      <c r="X12" s="58" t="str">
        <f t="shared" si="9"/>
        <v/>
      </c>
    </row>
    <row r="13" spans="1:24" x14ac:dyDescent="0.35">
      <c r="A13" s="20">
        <v>3</v>
      </c>
      <c r="B13" s="46">
        <v>46202</v>
      </c>
      <c r="C13" s="47">
        <f t="shared" si="0"/>
        <v>0.12345679012345678</v>
      </c>
      <c r="D13" s="75">
        <f>+SUM(I13,K13,M13,O13,Q13,S13,U13,W13)</f>
        <v>3</v>
      </c>
      <c r="E13" s="47">
        <f>SUM($C$11:C13)</f>
        <v>0.37037037037037035</v>
      </c>
      <c r="F13" s="47">
        <f>SUM($D$11:D13)</f>
        <v>6</v>
      </c>
      <c r="G13" s="49">
        <f>IF(COUNT($D$11:D13)=0,"",F13/E13)</f>
        <v>16.2</v>
      </c>
      <c r="H13" s="50" t="str">
        <f t="shared" si="1"/>
        <v>En meta</v>
      </c>
      <c r="I13" s="51">
        <v>3</v>
      </c>
      <c r="J13" s="52">
        <f t="shared" si="2"/>
        <v>0.6</v>
      </c>
      <c r="K13" s="51"/>
      <c r="L13" s="52" t="str">
        <f t="shared" si="3"/>
        <v/>
      </c>
      <c r="M13" s="51"/>
      <c r="N13" s="52" t="str">
        <f t="shared" si="4"/>
        <v/>
      </c>
      <c r="O13" s="51"/>
      <c r="P13" s="52" t="str">
        <f t="shared" si="5"/>
        <v/>
      </c>
      <c r="Q13" s="51"/>
      <c r="R13" s="52" t="str">
        <f t="shared" si="6"/>
        <v/>
      </c>
      <c r="S13" s="51"/>
      <c r="T13" s="52" t="str">
        <f t="shared" si="7"/>
        <v/>
      </c>
      <c r="U13" s="53"/>
      <c r="V13" s="52" t="str">
        <f t="shared" si="8"/>
        <v/>
      </c>
      <c r="W13" s="51"/>
      <c r="X13" s="52" t="str">
        <f t="shared" si="9"/>
        <v/>
      </c>
    </row>
    <row r="14" spans="1:24" x14ac:dyDescent="0.35">
      <c r="A14" s="27">
        <v>4</v>
      </c>
      <c r="B14" s="54">
        <v>46209</v>
      </c>
      <c r="C14" s="55">
        <f t="shared" si="0"/>
        <v>0.12345679012345678</v>
      </c>
      <c r="D14" s="75">
        <f>+SUM(I14,K14,M14,O14,Q14,S14,U14,W14)</f>
        <v>1</v>
      </c>
      <c r="E14" s="55">
        <f>SUM($C$11:C14)</f>
        <v>0.49382716049382713</v>
      </c>
      <c r="F14" s="55">
        <f>SUM($D$11:D14)</f>
        <v>7</v>
      </c>
      <c r="G14" s="56">
        <f>IF(COUNT($D$11:D14)=0,"",F14/E14)</f>
        <v>14.175000000000001</v>
      </c>
      <c r="H14" s="57" t="str">
        <f t="shared" si="1"/>
        <v>En meta</v>
      </c>
      <c r="I14" s="51"/>
      <c r="J14" s="58" t="str">
        <f t="shared" si="2"/>
        <v/>
      </c>
      <c r="K14" s="51"/>
      <c r="L14" s="58" t="str">
        <f t="shared" si="3"/>
        <v/>
      </c>
      <c r="M14" s="51"/>
      <c r="N14" s="58" t="str">
        <f t="shared" si="4"/>
        <v/>
      </c>
      <c r="O14" s="51"/>
      <c r="P14" s="58" t="str">
        <f t="shared" si="5"/>
        <v/>
      </c>
      <c r="Q14" s="51">
        <v>1</v>
      </c>
      <c r="R14" s="58">
        <f t="shared" si="6"/>
        <v>0.1</v>
      </c>
      <c r="S14" s="51"/>
      <c r="T14" s="58" t="str">
        <f t="shared" si="7"/>
        <v/>
      </c>
      <c r="U14" s="53"/>
      <c r="V14" s="58" t="str">
        <f t="shared" si="8"/>
        <v/>
      </c>
      <c r="W14" s="51"/>
      <c r="X14" s="58" t="str">
        <f t="shared" si="9"/>
        <v/>
      </c>
    </row>
    <row r="15" spans="1:24" x14ac:dyDescent="0.35">
      <c r="A15" s="20">
        <v>5</v>
      </c>
      <c r="B15" s="46">
        <v>46216</v>
      </c>
      <c r="C15" s="47">
        <f t="shared" si="0"/>
        <v>0.12345679012345678</v>
      </c>
      <c r="D15" s="75">
        <f>+SUM(I15,K15,M15,O15,Q15,S15,U15,W15)</f>
        <v>0</v>
      </c>
      <c r="E15" s="47">
        <f>SUM($C$11:C15)</f>
        <v>0.61728395061728392</v>
      </c>
      <c r="F15" s="47">
        <f>SUM($D$11:D15)</f>
        <v>7</v>
      </c>
      <c r="G15" s="49">
        <f>IF(COUNT($D$11:D15)=0,"",F15/E15)</f>
        <v>11.34</v>
      </c>
      <c r="H15" s="50" t="str">
        <f t="shared" si="1"/>
        <v>En meta</v>
      </c>
      <c r="I15" s="51"/>
      <c r="J15" s="52" t="str">
        <f t="shared" si="2"/>
        <v/>
      </c>
      <c r="K15" s="51"/>
      <c r="L15" s="52" t="str">
        <f t="shared" si="3"/>
        <v/>
      </c>
      <c r="M15" s="51"/>
      <c r="N15" s="52" t="str">
        <f t="shared" si="4"/>
        <v/>
      </c>
      <c r="O15" s="51"/>
      <c r="P15" s="52" t="str">
        <f t="shared" si="5"/>
        <v/>
      </c>
      <c r="Q15" s="51"/>
      <c r="R15" s="52" t="str">
        <f t="shared" si="6"/>
        <v/>
      </c>
      <c r="S15" s="51"/>
      <c r="T15" s="52" t="str">
        <f t="shared" si="7"/>
        <v/>
      </c>
      <c r="U15" s="53"/>
      <c r="V15" s="52" t="str">
        <f t="shared" si="8"/>
        <v/>
      </c>
      <c r="W15" s="51"/>
      <c r="X15" s="52" t="str">
        <f t="shared" si="9"/>
        <v/>
      </c>
    </row>
    <row r="16" spans="1:24" x14ac:dyDescent="0.35">
      <c r="A16" s="27">
        <v>6</v>
      </c>
      <c r="B16" s="54">
        <v>46223</v>
      </c>
      <c r="C16" s="55">
        <f t="shared" si="0"/>
        <v>0.12345679012345678</v>
      </c>
      <c r="D16" s="75">
        <f>+SUM(I16,K16,M16,O16,Q16,S16,U16,W16)</f>
        <v>1</v>
      </c>
      <c r="E16" s="55">
        <f>SUM($C$11:C16)</f>
        <v>0.7407407407407407</v>
      </c>
      <c r="F16" s="55">
        <f>SUM($D$11:D16)</f>
        <v>8</v>
      </c>
      <c r="G16" s="56">
        <f>IF(COUNT($D$11:D16)=0,"",F16/E16)</f>
        <v>10.8</v>
      </c>
      <c r="H16" s="57" t="str">
        <f t="shared" si="1"/>
        <v>En meta</v>
      </c>
      <c r="I16" s="51"/>
      <c r="J16" s="58" t="str">
        <f t="shared" si="2"/>
        <v/>
      </c>
      <c r="K16" s="51"/>
      <c r="L16" s="58" t="str">
        <f t="shared" si="3"/>
        <v/>
      </c>
      <c r="M16" s="51"/>
      <c r="N16" s="58" t="str">
        <f t="shared" si="4"/>
        <v/>
      </c>
      <c r="O16" s="51"/>
      <c r="P16" s="58" t="str">
        <f t="shared" si="5"/>
        <v/>
      </c>
      <c r="Q16" s="51">
        <v>1</v>
      </c>
      <c r="R16" s="58">
        <f t="shared" si="6"/>
        <v>0.1</v>
      </c>
      <c r="S16" s="51"/>
      <c r="T16" s="58" t="str">
        <f t="shared" si="7"/>
        <v/>
      </c>
      <c r="U16" s="53"/>
      <c r="V16" s="58" t="str">
        <f t="shared" si="8"/>
        <v/>
      </c>
      <c r="W16" s="51"/>
      <c r="X16" s="58" t="str">
        <f t="shared" si="9"/>
        <v/>
      </c>
    </row>
    <row r="17" spans="1:24" x14ac:dyDescent="0.35">
      <c r="A17" s="20">
        <v>7</v>
      </c>
      <c r="B17" s="46">
        <v>46230</v>
      </c>
      <c r="C17" s="47">
        <f t="shared" si="0"/>
        <v>0.12345679012345678</v>
      </c>
      <c r="D17" s="75">
        <f>+SUM(I17,K17,M17,O17,Q17,S17,U17,W17)</f>
        <v>0</v>
      </c>
      <c r="E17" s="47">
        <f>SUM($C$11:C17)</f>
        <v>0.86419753086419748</v>
      </c>
      <c r="F17" s="47">
        <f>SUM($D$11:D17)</f>
        <v>8</v>
      </c>
      <c r="G17" s="49">
        <f>IF(COUNT($D$11:D17)=0,"",F17/E17)</f>
        <v>9.257142857142858</v>
      </c>
      <c r="H17" s="50" t="str">
        <f t="shared" si="1"/>
        <v>En meta</v>
      </c>
      <c r="I17" s="51"/>
      <c r="J17" s="52" t="str">
        <f t="shared" si="2"/>
        <v/>
      </c>
      <c r="K17" s="51"/>
      <c r="L17" s="52" t="str">
        <f t="shared" si="3"/>
        <v/>
      </c>
      <c r="M17" s="51"/>
      <c r="N17" s="52" t="str">
        <f t="shared" si="4"/>
        <v/>
      </c>
      <c r="O17" s="51"/>
      <c r="P17" s="52" t="str">
        <f t="shared" si="5"/>
        <v/>
      </c>
      <c r="Q17" s="51"/>
      <c r="R17" s="52" t="str">
        <f t="shared" si="6"/>
        <v/>
      </c>
      <c r="S17" s="51"/>
      <c r="T17" s="52" t="str">
        <f t="shared" si="7"/>
        <v/>
      </c>
      <c r="U17" s="53"/>
      <c r="V17" s="52" t="str">
        <f t="shared" si="8"/>
        <v/>
      </c>
      <c r="W17" s="51"/>
      <c r="X17" s="52" t="str">
        <f t="shared" si="9"/>
        <v/>
      </c>
    </row>
    <row r="18" spans="1:24" x14ac:dyDescent="0.35">
      <c r="A18" s="27">
        <v>8</v>
      </c>
      <c r="B18" s="54">
        <v>46237</v>
      </c>
      <c r="C18" s="55">
        <f t="shared" si="0"/>
        <v>0.12345679012345678</v>
      </c>
      <c r="D18" s="75">
        <f>+SUM(I18,K18,M18,O18,Q18,S18,U18,W18)</f>
        <v>1</v>
      </c>
      <c r="E18" s="55">
        <f>SUM($C$11:C18)</f>
        <v>0.98765432098765427</v>
      </c>
      <c r="F18" s="55">
        <f>SUM($D$11:D18)</f>
        <v>9</v>
      </c>
      <c r="G18" s="56">
        <f>IF(COUNT($D$11:D18)=0,"",F18/E18)</f>
        <v>9.1125000000000007</v>
      </c>
      <c r="H18" s="57" t="str">
        <f t="shared" si="1"/>
        <v>En meta</v>
      </c>
      <c r="I18" s="51"/>
      <c r="J18" s="58" t="str">
        <f t="shared" si="2"/>
        <v/>
      </c>
      <c r="K18" s="51"/>
      <c r="L18" s="58" t="str">
        <f t="shared" si="3"/>
        <v/>
      </c>
      <c r="M18" s="51"/>
      <c r="N18" s="58" t="str">
        <f t="shared" si="4"/>
        <v/>
      </c>
      <c r="O18" s="51"/>
      <c r="P18" s="58" t="str">
        <f t="shared" si="5"/>
        <v/>
      </c>
      <c r="Q18" s="51">
        <v>1</v>
      </c>
      <c r="R18" s="58">
        <f t="shared" si="6"/>
        <v>0.1</v>
      </c>
      <c r="S18" s="51"/>
      <c r="T18" s="58" t="str">
        <f t="shared" si="7"/>
        <v/>
      </c>
      <c r="U18" s="53"/>
      <c r="V18" s="58" t="str">
        <f t="shared" si="8"/>
        <v/>
      </c>
      <c r="W18" s="51"/>
      <c r="X18" s="58" t="str">
        <f t="shared" si="9"/>
        <v/>
      </c>
    </row>
    <row r="19" spans="1:24" x14ac:dyDescent="0.35">
      <c r="A19" s="20">
        <v>9</v>
      </c>
      <c r="B19" s="46">
        <v>46244</v>
      </c>
      <c r="C19" s="47">
        <f t="shared" si="0"/>
        <v>0.12345679012345678</v>
      </c>
      <c r="D19" s="75">
        <f>+SUM(I19,K19,M19,O19,Q19,S19,U19,W19)</f>
        <v>0</v>
      </c>
      <c r="E19" s="47">
        <f>SUM($C$11:C19)</f>
        <v>1.1111111111111112</v>
      </c>
      <c r="F19" s="47">
        <f>SUM($D$11:D19)</f>
        <v>9</v>
      </c>
      <c r="G19" s="49">
        <f>IF(COUNT($D$11:D19)=0,"",F19/E19)</f>
        <v>8.1</v>
      </c>
      <c r="H19" s="50" t="str">
        <f t="shared" si="1"/>
        <v>En meta</v>
      </c>
      <c r="I19" s="51"/>
      <c r="J19" s="52" t="str">
        <f t="shared" si="2"/>
        <v/>
      </c>
      <c r="K19" s="51"/>
      <c r="L19" s="52" t="str">
        <f t="shared" si="3"/>
        <v/>
      </c>
      <c r="M19" s="51"/>
      <c r="N19" s="52" t="str">
        <f t="shared" si="4"/>
        <v/>
      </c>
      <c r="O19" s="51"/>
      <c r="P19" s="52" t="str">
        <f t="shared" si="5"/>
        <v/>
      </c>
      <c r="Q19" s="51"/>
      <c r="R19" s="52" t="str">
        <f t="shared" si="6"/>
        <v/>
      </c>
      <c r="S19" s="51"/>
      <c r="T19" s="52" t="str">
        <f t="shared" si="7"/>
        <v/>
      </c>
      <c r="U19" s="53"/>
      <c r="V19" s="52" t="str">
        <f t="shared" si="8"/>
        <v/>
      </c>
      <c r="W19" s="51"/>
      <c r="X19" s="52" t="str">
        <f t="shared" si="9"/>
        <v/>
      </c>
    </row>
    <row r="20" spans="1:24" x14ac:dyDescent="0.35">
      <c r="A20" s="27">
        <v>10</v>
      </c>
      <c r="B20" s="54">
        <v>46251</v>
      </c>
      <c r="C20" s="55">
        <f t="shared" si="0"/>
        <v>0.12345679012345678</v>
      </c>
      <c r="D20" s="48"/>
      <c r="E20" s="55">
        <f>SUM($C$11:C20)</f>
        <v>1.2345679012345681</v>
      </c>
      <c r="F20" s="55">
        <f>SUM($D$11:D20)</f>
        <v>9</v>
      </c>
      <c r="G20" s="56">
        <f>IF(COUNT($D$11:D20)=0,"",F20/E20)</f>
        <v>7.2899999999999991</v>
      </c>
      <c r="H20" s="57" t="str">
        <f t="shared" si="1"/>
        <v>En meta</v>
      </c>
      <c r="I20" s="51"/>
      <c r="J20" s="58" t="str">
        <f t="shared" si="2"/>
        <v/>
      </c>
      <c r="K20" s="51"/>
      <c r="L20" s="58" t="str">
        <f t="shared" si="3"/>
        <v/>
      </c>
      <c r="M20" s="51"/>
      <c r="N20" s="58" t="str">
        <f t="shared" si="4"/>
        <v/>
      </c>
      <c r="O20" s="51"/>
      <c r="P20" s="58" t="str">
        <f t="shared" si="5"/>
        <v/>
      </c>
      <c r="Q20" s="51"/>
      <c r="R20" s="58" t="str">
        <f t="shared" si="6"/>
        <v/>
      </c>
      <c r="S20" s="51"/>
      <c r="T20" s="58" t="str">
        <f t="shared" si="7"/>
        <v/>
      </c>
      <c r="U20" s="53"/>
      <c r="V20" s="58" t="str">
        <f t="shared" si="8"/>
        <v/>
      </c>
      <c r="W20" s="51"/>
      <c r="X20" s="58" t="str">
        <f t="shared" si="9"/>
        <v/>
      </c>
    </row>
    <row r="21" spans="1:24" x14ac:dyDescent="0.35">
      <c r="A21" s="20">
        <v>11</v>
      </c>
      <c r="B21" s="46">
        <v>46258</v>
      </c>
      <c r="C21" s="47">
        <f t="shared" si="0"/>
        <v>0.12345679012345678</v>
      </c>
      <c r="D21" s="48"/>
      <c r="E21" s="47">
        <f>SUM($C$11:C21)</f>
        <v>1.3580246913580249</v>
      </c>
      <c r="F21" s="47">
        <f>SUM($D$11:D21)</f>
        <v>9</v>
      </c>
      <c r="G21" s="49">
        <f>IF(COUNT($D$11:D21)=0,"",F21/E21)</f>
        <v>6.6272727272727261</v>
      </c>
      <c r="H21" s="50" t="str">
        <f t="shared" si="1"/>
        <v>En meta</v>
      </c>
      <c r="I21" s="51"/>
      <c r="J21" s="52" t="str">
        <f t="shared" si="2"/>
        <v/>
      </c>
      <c r="K21" s="51"/>
      <c r="L21" s="52" t="str">
        <f t="shared" si="3"/>
        <v/>
      </c>
      <c r="M21" s="51"/>
      <c r="N21" s="52" t="str">
        <f t="shared" si="4"/>
        <v/>
      </c>
      <c r="O21" s="51"/>
      <c r="P21" s="52" t="str">
        <f t="shared" si="5"/>
        <v/>
      </c>
      <c r="Q21" s="51"/>
      <c r="R21" s="52" t="str">
        <f t="shared" si="6"/>
        <v/>
      </c>
      <c r="S21" s="51"/>
      <c r="T21" s="52" t="str">
        <f t="shared" si="7"/>
        <v/>
      </c>
      <c r="U21" s="53"/>
      <c r="V21" s="52" t="str">
        <f t="shared" si="8"/>
        <v/>
      </c>
      <c r="W21" s="51"/>
      <c r="X21" s="52" t="str">
        <f t="shared" si="9"/>
        <v/>
      </c>
    </row>
    <row r="22" spans="1:24" x14ac:dyDescent="0.35">
      <c r="A22" s="27">
        <v>12</v>
      </c>
      <c r="B22" s="54">
        <v>46265</v>
      </c>
      <c r="C22" s="55">
        <f t="shared" si="0"/>
        <v>0.12345679012345678</v>
      </c>
      <c r="D22" s="48"/>
      <c r="E22" s="55">
        <f>SUM($C$11:C22)</f>
        <v>1.4814814814814818</v>
      </c>
      <c r="F22" s="55">
        <f>SUM($D$11:D22)</f>
        <v>9</v>
      </c>
      <c r="G22" s="56">
        <f>IF(COUNT($D$11:D22)=0,"",F22/E22)</f>
        <v>6.0749999999999984</v>
      </c>
      <c r="H22" s="57" t="str">
        <f t="shared" si="1"/>
        <v>En meta</v>
      </c>
      <c r="I22" s="51"/>
      <c r="J22" s="58" t="str">
        <f t="shared" si="2"/>
        <v/>
      </c>
      <c r="K22" s="51"/>
      <c r="L22" s="58" t="str">
        <f t="shared" si="3"/>
        <v/>
      </c>
      <c r="M22" s="51"/>
      <c r="N22" s="58" t="str">
        <f t="shared" si="4"/>
        <v/>
      </c>
      <c r="O22" s="51"/>
      <c r="P22" s="58" t="str">
        <f t="shared" si="5"/>
        <v/>
      </c>
      <c r="Q22" s="51"/>
      <c r="R22" s="58" t="str">
        <f t="shared" si="6"/>
        <v/>
      </c>
      <c r="S22" s="51"/>
      <c r="T22" s="58" t="str">
        <f t="shared" si="7"/>
        <v/>
      </c>
      <c r="U22" s="53"/>
      <c r="V22" s="58" t="str">
        <f t="shared" si="8"/>
        <v/>
      </c>
      <c r="W22" s="51"/>
      <c r="X22" s="58" t="str">
        <f t="shared" si="9"/>
        <v/>
      </c>
    </row>
    <row r="23" spans="1:24" x14ac:dyDescent="0.35">
      <c r="A23" s="20">
        <v>13</v>
      </c>
      <c r="B23" s="46">
        <v>46272</v>
      </c>
      <c r="C23" s="47">
        <f t="shared" si="0"/>
        <v>0.12345679012345678</v>
      </c>
      <c r="D23" s="48"/>
      <c r="E23" s="47">
        <f>SUM($C$11:C23)</f>
        <v>1.6049382716049387</v>
      </c>
      <c r="F23" s="47">
        <f>SUM($D$11:D23)</f>
        <v>9</v>
      </c>
      <c r="G23" s="49">
        <f>IF(COUNT($D$11:D23)=0,"",F23/E23)</f>
        <v>5.6076923076923064</v>
      </c>
      <c r="H23" s="50" t="str">
        <f t="shared" si="1"/>
        <v>En meta</v>
      </c>
      <c r="I23" s="51"/>
      <c r="J23" s="52" t="str">
        <f t="shared" si="2"/>
        <v/>
      </c>
      <c r="K23" s="51"/>
      <c r="L23" s="52" t="str">
        <f t="shared" si="3"/>
        <v/>
      </c>
      <c r="M23" s="51"/>
      <c r="N23" s="52" t="str">
        <f t="shared" si="4"/>
        <v/>
      </c>
      <c r="O23" s="51"/>
      <c r="P23" s="52" t="str">
        <f t="shared" si="5"/>
        <v/>
      </c>
      <c r="Q23" s="51"/>
      <c r="R23" s="52" t="str">
        <f t="shared" si="6"/>
        <v/>
      </c>
      <c r="S23" s="51"/>
      <c r="T23" s="52" t="str">
        <f t="shared" si="7"/>
        <v/>
      </c>
      <c r="U23" s="53"/>
      <c r="V23" s="52" t="str">
        <f t="shared" si="8"/>
        <v/>
      </c>
      <c r="W23" s="51"/>
      <c r="X23" s="52" t="str">
        <f t="shared" si="9"/>
        <v/>
      </c>
    </row>
    <row r="24" spans="1:24" x14ac:dyDescent="0.35">
      <c r="A24" s="27">
        <v>14</v>
      </c>
      <c r="B24" s="54">
        <v>46279</v>
      </c>
      <c r="C24" s="55">
        <f t="shared" si="0"/>
        <v>0.12345679012345678</v>
      </c>
      <c r="D24" s="48"/>
      <c r="E24" s="55">
        <f>SUM($C$11:C24)</f>
        <v>1.7283950617283956</v>
      </c>
      <c r="F24" s="55">
        <f>SUM($D$11:D24)</f>
        <v>9</v>
      </c>
      <c r="G24" s="56">
        <f>IF(COUNT($D$11:D24)=0,"",F24/E24)</f>
        <v>5.2071428571428555</v>
      </c>
      <c r="H24" s="57" t="str">
        <f t="shared" si="1"/>
        <v>En meta</v>
      </c>
      <c r="I24" s="51"/>
      <c r="J24" s="58" t="str">
        <f t="shared" si="2"/>
        <v/>
      </c>
      <c r="K24" s="51"/>
      <c r="L24" s="58" t="str">
        <f t="shared" si="3"/>
        <v/>
      </c>
      <c r="M24" s="51"/>
      <c r="N24" s="58" t="str">
        <f t="shared" si="4"/>
        <v/>
      </c>
      <c r="O24" s="51"/>
      <c r="P24" s="58" t="str">
        <f t="shared" si="5"/>
        <v/>
      </c>
      <c r="Q24" s="51"/>
      <c r="R24" s="58" t="str">
        <f t="shared" si="6"/>
        <v/>
      </c>
      <c r="S24" s="51"/>
      <c r="T24" s="58" t="str">
        <f t="shared" si="7"/>
        <v/>
      </c>
      <c r="U24" s="53"/>
      <c r="V24" s="58" t="str">
        <f t="shared" si="8"/>
        <v/>
      </c>
      <c r="W24" s="51"/>
      <c r="X24" s="58" t="str">
        <f t="shared" si="9"/>
        <v/>
      </c>
    </row>
    <row r="25" spans="1:24" x14ac:dyDescent="0.35">
      <c r="A25" s="20">
        <v>15</v>
      </c>
      <c r="B25" s="46">
        <v>46286</v>
      </c>
      <c r="C25" s="47">
        <f t="shared" si="0"/>
        <v>0.12345679012345678</v>
      </c>
      <c r="D25" s="48"/>
      <c r="E25" s="47">
        <f>SUM($C$11:C25)</f>
        <v>1.8518518518518525</v>
      </c>
      <c r="F25" s="47">
        <f>SUM($D$11:D25)</f>
        <v>9</v>
      </c>
      <c r="G25" s="49">
        <f>IF(COUNT($D$11:D25)=0,"",F25/E25)</f>
        <v>4.8599999999999985</v>
      </c>
      <c r="H25" s="50" t="str">
        <f t="shared" si="1"/>
        <v>En meta</v>
      </c>
      <c r="I25" s="51"/>
      <c r="J25" s="52" t="str">
        <f t="shared" si="2"/>
        <v/>
      </c>
      <c r="K25" s="51"/>
      <c r="L25" s="52" t="str">
        <f t="shared" si="3"/>
        <v/>
      </c>
      <c r="M25" s="51"/>
      <c r="N25" s="52" t="str">
        <f t="shared" si="4"/>
        <v/>
      </c>
      <c r="O25" s="51"/>
      <c r="P25" s="52" t="str">
        <f t="shared" si="5"/>
        <v/>
      </c>
      <c r="Q25" s="51"/>
      <c r="R25" s="52" t="str">
        <f t="shared" si="6"/>
        <v/>
      </c>
      <c r="S25" s="51"/>
      <c r="T25" s="52" t="str">
        <f t="shared" si="7"/>
        <v/>
      </c>
      <c r="U25" s="53"/>
      <c r="V25" s="52" t="str">
        <f t="shared" si="8"/>
        <v/>
      </c>
      <c r="W25" s="51"/>
      <c r="X25" s="52" t="str">
        <f t="shared" si="9"/>
        <v/>
      </c>
    </row>
    <row r="26" spans="1:24" x14ac:dyDescent="0.35">
      <c r="A26" s="27">
        <v>16</v>
      </c>
      <c r="B26" s="54">
        <v>46293</v>
      </c>
      <c r="C26" s="55">
        <f t="shared" si="0"/>
        <v>0.12345679012345678</v>
      </c>
      <c r="D26" s="48"/>
      <c r="E26" s="55">
        <f>SUM($C$11:C26)</f>
        <v>1.9753086419753094</v>
      </c>
      <c r="F26" s="55">
        <f>SUM($D$11:D26)</f>
        <v>9</v>
      </c>
      <c r="G26" s="56">
        <f>IF(COUNT($D$11:D26)=0,"",F26/E26)</f>
        <v>4.5562499999999986</v>
      </c>
      <c r="H26" s="57" t="str">
        <f t="shared" si="1"/>
        <v>En meta</v>
      </c>
      <c r="I26" s="51"/>
      <c r="J26" s="58" t="str">
        <f t="shared" si="2"/>
        <v/>
      </c>
      <c r="K26" s="51"/>
      <c r="L26" s="58" t="str">
        <f t="shared" si="3"/>
        <v/>
      </c>
      <c r="M26" s="51"/>
      <c r="N26" s="58" t="str">
        <f t="shared" si="4"/>
        <v/>
      </c>
      <c r="O26" s="51"/>
      <c r="P26" s="58" t="str">
        <f t="shared" si="5"/>
        <v/>
      </c>
      <c r="Q26" s="51"/>
      <c r="R26" s="58" t="str">
        <f t="shared" si="6"/>
        <v/>
      </c>
      <c r="S26" s="51"/>
      <c r="T26" s="58" t="str">
        <f t="shared" si="7"/>
        <v/>
      </c>
      <c r="U26" s="53"/>
      <c r="V26" s="58" t="str">
        <f t="shared" si="8"/>
        <v/>
      </c>
      <c r="W26" s="51"/>
      <c r="X26" s="58" t="str">
        <f t="shared" si="9"/>
        <v/>
      </c>
    </row>
    <row r="27" spans="1:24" x14ac:dyDescent="0.35">
      <c r="A27" s="20">
        <v>17</v>
      </c>
      <c r="B27" s="46">
        <v>46300</v>
      </c>
      <c r="C27" s="47">
        <f t="shared" si="0"/>
        <v>0.12345679012345678</v>
      </c>
      <c r="D27" s="48"/>
      <c r="E27" s="47">
        <f>SUM($C$11:C27)</f>
        <v>2.0987654320987663</v>
      </c>
      <c r="F27" s="47">
        <f>SUM($D$11:D27)</f>
        <v>9</v>
      </c>
      <c r="G27" s="49">
        <f>IF(COUNT($D$11:D27)=0,"",F27/E27)</f>
        <v>4.2882352941176451</v>
      </c>
      <c r="H27" s="50" t="str">
        <f t="shared" si="1"/>
        <v>En meta</v>
      </c>
      <c r="I27" s="51"/>
      <c r="J27" s="52" t="str">
        <f t="shared" si="2"/>
        <v/>
      </c>
      <c r="K27" s="51"/>
      <c r="L27" s="52" t="str">
        <f t="shared" si="3"/>
        <v/>
      </c>
      <c r="M27" s="51"/>
      <c r="N27" s="52" t="str">
        <f t="shared" si="4"/>
        <v/>
      </c>
      <c r="O27" s="51"/>
      <c r="P27" s="52" t="str">
        <f t="shared" si="5"/>
        <v/>
      </c>
      <c r="Q27" s="51"/>
      <c r="R27" s="52" t="str">
        <f t="shared" si="6"/>
        <v/>
      </c>
      <c r="S27" s="51"/>
      <c r="T27" s="52" t="str">
        <f t="shared" si="7"/>
        <v/>
      </c>
      <c r="U27" s="53"/>
      <c r="V27" s="52" t="str">
        <f t="shared" si="8"/>
        <v/>
      </c>
      <c r="W27" s="51"/>
      <c r="X27" s="52" t="str">
        <f t="shared" si="9"/>
        <v/>
      </c>
    </row>
    <row r="28" spans="1:24" x14ac:dyDescent="0.35">
      <c r="A28" s="27">
        <v>18</v>
      </c>
      <c r="B28" s="54">
        <v>46307</v>
      </c>
      <c r="C28" s="55">
        <f t="shared" si="0"/>
        <v>0.12345679012345678</v>
      </c>
      <c r="D28" s="48"/>
      <c r="E28" s="55">
        <f>SUM($C$11:C28)</f>
        <v>2.2222222222222232</v>
      </c>
      <c r="F28" s="55">
        <f>SUM($D$11:D28)</f>
        <v>9</v>
      </c>
      <c r="G28" s="56">
        <f>IF(COUNT($D$11:D28)=0,"",F28/E28)</f>
        <v>4.049999999999998</v>
      </c>
      <c r="H28" s="57" t="str">
        <f t="shared" si="1"/>
        <v>En meta</v>
      </c>
      <c r="I28" s="51"/>
      <c r="J28" s="58" t="str">
        <f t="shared" si="2"/>
        <v/>
      </c>
      <c r="K28" s="51"/>
      <c r="L28" s="58" t="str">
        <f t="shared" si="3"/>
        <v/>
      </c>
      <c r="M28" s="51"/>
      <c r="N28" s="58" t="str">
        <f t="shared" si="4"/>
        <v/>
      </c>
      <c r="O28" s="51"/>
      <c r="P28" s="58" t="str">
        <f t="shared" si="5"/>
        <v/>
      </c>
      <c r="Q28" s="51"/>
      <c r="R28" s="58" t="str">
        <f t="shared" si="6"/>
        <v/>
      </c>
      <c r="S28" s="51"/>
      <c r="T28" s="58" t="str">
        <f t="shared" si="7"/>
        <v/>
      </c>
      <c r="U28" s="53"/>
      <c r="V28" s="58" t="str">
        <f t="shared" si="8"/>
        <v/>
      </c>
      <c r="W28" s="51"/>
      <c r="X28" s="58" t="str">
        <f t="shared" si="9"/>
        <v/>
      </c>
    </row>
    <row r="29" spans="1:24" x14ac:dyDescent="0.35">
      <c r="A29" s="20">
        <v>19</v>
      </c>
      <c r="B29" s="46">
        <v>46314</v>
      </c>
      <c r="C29" s="47">
        <f t="shared" si="0"/>
        <v>0.12345679012345678</v>
      </c>
      <c r="D29" s="48"/>
      <c r="E29" s="47">
        <f>SUM($C$11:C29)</f>
        <v>2.3456790123456801</v>
      </c>
      <c r="F29" s="47">
        <f>SUM($D$11:D29)</f>
        <v>9</v>
      </c>
      <c r="G29" s="49">
        <f>IF(COUNT($D$11:D29)=0,"",F29/E29)</f>
        <v>3.8368421052631563</v>
      </c>
      <c r="H29" s="50" t="str">
        <f t="shared" si="1"/>
        <v>En meta</v>
      </c>
      <c r="I29" s="51"/>
      <c r="J29" s="52" t="str">
        <f t="shared" si="2"/>
        <v/>
      </c>
      <c r="K29" s="51"/>
      <c r="L29" s="52" t="str">
        <f t="shared" si="3"/>
        <v/>
      </c>
      <c r="M29" s="51"/>
      <c r="N29" s="52" t="str">
        <f t="shared" si="4"/>
        <v/>
      </c>
      <c r="O29" s="51"/>
      <c r="P29" s="52" t="str">
        <f t="shared" si="5"/>
        <v/>
      </c>
      <c r="Q29" s="51"/>
      <c r="R29" s="52" t="str">
        <f t="shared" si="6"/>
        <v/>
      </c>
      <c r="S29" s="51"/>
      <c r="T29" s="52" t="str">
        <f t="shared" si="7"/>
        <v/>
      </c>
      <c r="U29" s="53"/>
      <c r="V29" s="52" t="str">
        <f t="shared" si="8"/>
        <v/>
      </c>
      <c r="W29" s="51"/>
      <c r="X29" s="52" t="str">
        <f t="shared" si="9"/>
        <v/>
      </c>
    </row>
    <row r="30" spans="1:24" x14ac:dyDescent="0.35">
      <c r="A30" s="27">
        <v>20</v>
      </c>
      <c r="B30" s="54">
        <v>46321</v>
      </c>
      <c r="C30" s="55">
        <f t="shared" si="0"/>
        <v>0.12345679012345678</v>
      </c>
      <c r="D30" s="48"/>
      <c r="E30" s="55">
        <f>SUM($C$11:C30)</f>
        <v>2.469135802469137</v>
      </c>
      <c r="F30" s="55">
        <f>SUM($D$11:D30)</f>
        <v>9</v>
      </c>
      <c r="G30" s="56">
        <f>IF(COUNT($D$11:D30)=0,"",F30/E30)</f>
        <v>3.6449999999999982</v>
      </c>
      <c r="H30" s="57" t="str">
        <f t="shared" si="1"/>
        <v>En meta</v>
      </c>
      <c r="I30" s="51"/>
      <c r="J30" s="58" t="str">
        <f t="shared" si="2"/>
        <v/>
      </c>
      <c r="K30" s="51"/>
      <c r="L30" s="58" t="str">
        <f t="shared" si="3"/>
        <v/>
      </c>
      <c r="M30" s="51"/>
      <c r="N30" s="58" t="str">
        <f t="shared" si="4"/>
        <v/>
      </c>
      <c r="O30" s="51"/>
      <c r="P30" s="58" t="str">
        <f t="shared" si="5"/>
        <v/>
      </c>
      <c r="Q30" s="51"/>
      <c r="R30" s="58" t="str">
        <f t="shared" si="6"/>
        <v/>
      </c>
      <c r="S30" s="51"/>
      <c r="T30" s="58" t="str">
        <f t="shared" si="7"/>
        <v/>
      </c>
      <c r="U30" s="53"/>
      <c r="V30" s="58" t="str">
        <f t="shared" si="8"/>
        <v/>
      </c>
      <c r="W30" s="51"/>
      <c r="X30" s="58" t="str">
        <f t="shared" si="9"/>
        <v/>
      </c>
    </row>
    <row r="31" spans="1:24" x14ac:dyDescent="0.35">
      <c r="A31" s="20">
        <v>21</v>
      </c>
      <c r="B31" s="46">
        <v>46328</v>
      </c>
      <c r="C31" s="47">
        <f t="shared" si="0"/>
        <v>0.12345679012345678</v>
      </c>
      <c r="D31" s="48"/>
      <c r="E31" s="47">
        <f>SUM($C$11:C31)</f>
        <v>2.5925925925925939</v>
      </c>
      <c r="F31" s="47">
        <f>SUM($D$11:D31)</f>
        <v>9</v>
      </c>
      <c r="G31" s="49">
        <f>IF(COUNT($D$11:D31)=0,"",F31/E31)</f>
        <v>3.4714285714285698</v>
      </c>
      <c r="H31" s="50" t="str">
        <f t="shared" si="1"/>
        <v>En meta</v>
      </c>
      <c r="I31" s="51"/>
      <c r="J31" s="52" t="str">
        <f t="shared" si="2"/>
        <v/>
      </c>
      <c r="K31" s="51"/>
      <c r="L31" s="52" t="str">
        <f t="shared" si="3"/>
        <v/>
      </c>
      <c r="M31" s="51"/>
      <c r="N31" s="52" t="str">
        <f t="shared" si="4"/>
        <v/>
      </c>
      <c r="O31" s="51"/>
      <c r="P31" s="52" t="str">
        <f t="shared" si="5"/>
        <v/>
      </c>
      <c r="Q31" s="51"/>
      <c r="R31" s="52" t="str">
        <f t="shared" si="6"/>
        <v/>
      </c>
      <c r="S31" s="51"/>
      <c r="T31" s="52" t="str">
        <f t="shared" si="7"/>
        <v/>
      </c>
      <c r="U31" s="53"/>
      <c r="V31" s="52" t="str">
        <f t="shared" si="8"/>
        <v/>
      </c>
      <c r="W31" s="51"/>
      <c r="X31" s="52" t="str">
        <f t="shared" si="9"/>
        <v/>
      </c>
    </row>
    <row r="32" spans="1:24" x14ac:dyDescent="0.35">
      <c r="A32" s="27">
        <v>22</v>
      </c>
      <c r="B32" s="54">
        <v>46335</v>
      </c>
      <c r="C32" s="55">
        <f t="shared" si="0"/>
        <v>0.12345679012345678</v>
      </c>
      <c r="D32" s="48"/>
      <c r="E32" s="55">
        <f>SUM($C$11:C32)</f>
        <v>2.7160493827160508</v>
      </c>
      <c r="F32" s="55">
        <f>SUM($D$11:D32)</f>
        <v>9</v>
      </c>
      <c r="G32" s="56">
        <f>IF(COUNT($D$11:D32)=0,"",F32/E32)</f>
        <v>3.3136363636363617</v>
      </c>
      <c r="H32" s="57" t="str">
        <f t="shared" si="1"/>
        <v>En meta</v>
      </c>
      <c r="I32" s="51"/>
      <c r="J32" s="58" t="str">
        <f t="shared" si="2"/>
        <v/>
      </c>
      <c r="K32" s="51"/>
      <c r="L32" s="58" t="str">
        <f t="shared" si="3"/>
        <v/>
      </c>
      <c r="M32" s="51"/>
      <c r="N32" s="58" t="str">
        <f t="shared" si="4"/>
        <v/>
      </c>
      <c r="O32" s="51"/>
      <c r="P32" s="58" t="str">
        <f t="shared" si="5"/>
        <v/>
      </c>
      <c r="Q32" s="51"/>
      <c r="R32" s="58" t="str">
        <f t="shared" si="6"/>
        <v/>
      </c>
      <c r="S32" s="51"/>
      <c r="T32" s="58" t="str">
        <f t="shared" si="7"/>
        <v/>
      </c>
      <c r="U32" s="53"/>
      <c r="V32" s="58" t="str">
        <f t="shared" si="8"/>
        <v/>
      </c>
      <c r="W32" s="51"/>
      <c r="X32" s="58" t="str">
        <f t="shared" si="9"/>
        <v/>
      </c>
    </row>
    <row r="33" spans="1:24" x14ac:dyDescent="0.35">
      <c r="A33" s="20">
        <v>23</v>
      </c>
      <c r="B33" s="46">
        <v>46342</v>
      </c>
      <c r="C33" s="47">
        <f t="shared" si="0"/>
        <v>0.12345679012345678</v>
      </c>
      <c r="D33" s="48"/>
      <c r="E33" s="47">
        <f>SUM($C$11:C33)</f>
        <v>2.8395061728395077</v>
      </c>
      <c r="F33" s="47">
        <f>SUM($D$11:D33)</f>
        <v>9</v>
      </c>
      <c r="G33" s="49">
        <f>IF(COUNT($D$11:D33)=0,"",F33/E33)</f>
        <v>3.1695652173913027</v>
      </c>
      <c r="H33" s="50" t="str">
        <f t="shared" si="1"/>
        <v>En meta</v>
      </c>
      <c r="I33" s="51"/>
      <c r="J33" s="52" t="str">
        <f t="shared" si="2"/>
        <v/>
      </c>
      <c r="K33" s="51"/>
      <c r="L33" s="52" t="str">
        <f t="shared" si="3"/>
        <v/>
      </c>
      <c r="M33" s="51"/>
      <c r="N33" s="52" t="str">
        <f t="shared" si="4"/>
        <v/>
      </c>
      <c r="O33" s="51"/>
      <c r="P33" s="52" t="str">
        <f t="shared" si="5"/>
        <v/>
      </c>
      <c r="Q33" s="51"/>
      <c r="R33" s="52" t="str">
        <f t="shared" si="6"/>
        <v/>
      </c>
      <c r="S33" s="51"/>
      <c r="T33" s="52" t="str">
        <f t="shared" si="7"/>
        <v/>
      </c>
      <c r="U33" s="53"/>
      <c r="V33" s="52" t="str">
        <f t="shared" si="8"/>
        <v/>
      </c>
      <c r="W33" s="51"/>
      <c r="X33" s="52" t="str">
        <f t="shared" si="9"/>
        <v/>
      </c>
    </row>
    <row r="34" spans="1:24" x14ac:dyDescent="0.35">
      <c r="A34" s="27">
        <v>24</v>
      </c>
      <c r="B34" s="54">
        <v>46349</v>
      </c>
      <c r="C34" s="55">
        <f t="shared" si="0"/>
        <v>0.12345679012345678</v>
      </c>
      <c r="D34" s="48"/>
      <c r="E34" s="55">
        <f>SUM($C$11:C34)</f>
        <v>2.9629629629629646</v>
      </c>
      <c r="F34" s="55">
        <f>SUM($D$11:D34)</f>
        <v>9</v>
      </c>
      <c r="G34" s="56">
        <f>IF(COUNT($D$11:D34)=0,"",F34/E34)</f>
        <v>3.0374999999999983</v>
      </c>
      <c r="H34" s="57" t="str">
        <f t="shared" si="1"/>
        <v>En meta</v>
      </c>
      <c r="I34" s="51"/>
      <c r="J34" s="58" t="str">
        <f t="shared" si="2"/>
        <v/>
      </c>
      <c r="K34" s="51"/>
      <c r="L34" s="58" t="str">
        <f t="shared" si="3"/>
        <v/>
      </c>
      <c r="M34" s="51"/>
      <c r="N34" s="58" t="str">
        <f t="shared" si="4"/>
        <v/>
      </c>
      <c r="O34" s="51"/>
      <c r="P34" s="58" t="str">
        <f t="shared" si="5"/>
        <v/>
      </c>
      <c r="Q34" s="51"/>
      <c r="R34" s="58" t="str">
        <f t="shared" si="6"/>
        <v/>
      </c>
      <c r="S34" s="51"/>
      <c r="T34" s="58" t="str">
        <f t="shared" si="7"/>
        <v/>
      </c>
      <c r="U34" s="53"/>
      <c r="V34" s="58" t="str">
        <f t="shared" si="8"/>
        <v/>
      </c>
      <c r="W34" s="51"/>
      <c r="X34" s="58" t="str">
        <f t="shared" si="9"/>
        <v/>
      </c>
    </row>
    <row r="35" spans="1:24" x14ac:dyDescent="0.35">
      <c r="A35" s="20">
        <v>25</v>
      </c>
      <c r="B35" s="46">
        <v>46356</v>
      </c>
      <c r="C35" s="47">
        <f t="shared" si="0"/>
        <v>0.12345679012345678</v>
      </c>
      <c r="D35" s="48"/>
      <c r="E35" s="47">
        <f>SUM($C$11:C35)</f>
        <v>3.0864197530864215</v>
      </c>
      <c r="F35" s="47">
        <f>SUM($D$11:D35)</f>
        <v>9</v>
      </c>
      <c r="G35" s="49">
        <f>IF(COUNT($D$11:D35)=0,"",F35/E35)</f>
        <v>2.9159999999999986</v>
      </c>
      <c r="H35" s="50" t="str">
        <f t="shared" si="1"/>
        <v>En meta</v>
      </c>
      <c r="I35" s="51"/>
      <c r="J35" s="52" t="str">
        <f t="shared" si="2"/>
        <v/>
      </c>
      <c r="K35" s="51"/>
      <c r="L35" s="52" t="str">
        <f t="shared" si="3"/>
        <v/>
      </c>
      <c r="M35" s="51"/>
      <c r="N35" s="52" t="str">
        <f t="shared" si="4"/>
        <v/>
      </c>
      <c r="O35" s="51"/>
      <c r="P35" s="52" t="str">
        <f t="shared" si="5"/>
        <v/>
      </c>
      <c r="Q35" s="51"/>
      <c r="R35" s="52" t="str">
        <f t="shared" si="6"/>
        <v/>
      </c>
      <c r="S35" s="51"/>
      <c r="T35" s="52" t="str">
        <f t="shared" si="7"/>
        <v/>
      </c>
      <c r="U35" s="53"/>
      <c r="V35" s="52" t="str">
        <f t="shared" si="8"/>
        <v/>
      </c>
      <c r="W35" s="51"/>
      <c r="X35" s="52" t="str">
        <f t="shared" si="9"/>
        <v/>
      </c>
    </row>
    <row r="36" spans="1:24" x14ac:dyDescent="0.35">
      <c r="A36" s="27">
        <v>26</v>
      </c>
      <c r="B36" s="54">
        <v>46363</v>
      </c>
      <c r="C36" s="55">
        <f t="shared" si="0"/>
        <v>0.12345679012345678</v>
      </c>
      <c r="D36" s="48"/>
      <c r="E36" s="55">
        <f>SUM($C$11:C36)</f>
        <v>3.2098765432098784</v>
      </c>
      <c r="F36" s="55">
        <f>SUM($D$11:D36)</f>
        <v>9</v>
      </c>
      <c r="G36" s="56">
        <f>IF(COUNT($D$11:D36)=0,"",F36/E36)</f>
        <v>2.8038461538461523</v>
      </c>
      <c r="H36" s="57" t="str">
        <f t="shared" si="1"/>
        <v>En meta</v>
      </c>
      <c r="I36" s="51"/>
      <c r="J36" s="58" t="str">
        <f t="shared" si="2"/>
        <v/>
      </c>
      <c r="K36" s="51"/>
      <c r="L36" s="58" t="str">
        <f t="shared" si="3"/>
        <v/>
      </c>
      <c r="M36" s="51"/>
      <c r="N36" s="58" t="str">
        <f t="shared" si="4"/>
        <v/>
      </c>
      <c r="O36" s="51"/>
      <c r="P36" s="58" t="str">
        <f t="shared" si="5"/>
        <v/>
      </c>
      <c r="Q36" s="51"/>
      <c r="R36" s="58" t="str">
        <f t="shared" si="6"/>
        <v/>
      </c>
      <c r="S36" s="51"/>
      <c r="T36" s="58" t="str">
        <f t="shared" si="7"/>
        <v/>
      </c>
      <c r="U36" s="53"/>
      <c r="V36" s="58" t="str">
        <f t="shared" si="8"/>
        <v/>
      </c>
      <c r="W36" s="51"/>
      <c r="X36" s="58" t="str">
        <f t="shared" si="9"/>
        <v/>
      </c>
    </row>
    <row r="37" spans="1:24" x14ac:dyDescent="0.35">
      <c r="A37" s="20">
        <v>27</v>
      </c>
      <c r="B37" s="46">
        <v>46370</v>
      </c>
      <c r="C37" s="47">
        <f t="shared" si="0"/>
        <v>0.12345679012345678</v>
      </c>
      <c r="D37" s="48"/>
      <c r="E37" s="47">
        <f>SUM($C$11:C37)</f>
        <v>3.3333333333333353</v>
      </c>
      <c r="F37" s="47">
        <f>SUM($D$11:D37)</f>
        <v>9</v>
      </c>
      <c r="G37" s="49">
        <f>IF(COUNT($D$11:D37)=0,"",F37/E37)</f>
        <v>2.6999999999999984</v>
      </c>
      <c r="H37" s="50" t="str">
        <f t="shared" si="1"/>
        <v>En meta</v>
      </c>
      <c r="I37" s="51"/>
      <c r="J37" s="52" t="str">
        <f t="shared" si="2"/>
        <v/>
      </c>
      <c r="K37" s="51"/>
      <c r="L37" s="52" t="str">
        <f t="shared" si="3"/>
        <v/>
      </c>
      <c r="M37" s="51"/>
      <c r="N37" s="52" t="str">
        <f t="shared" si="4"/>
        <v/>
      </c>
      <c r="O37" s="51"/>
      <c r="P37" s="52" t="str">
        <f t="shared" si="5"/>
        <v/>
      </c>
      <c r="Q37" s="51"/>
      <c r="R37" s="52" t="str">
        <f t="shared" si="6"/>
        <v/>
      </c>
      <c r="S37" s="51"/>
      <c r="T37" s="52" t="str">
        <f t="shared" si="7"/>
        <v/>
      </c>
      <c r="U37" s="53"/>
      <c r="V37" s="52" t="str">
        <f t="shared" si="8"/>
        <v/>
      </c>
      <c r="W37" s="51"/>
      <c r="X37" s="52" t="str">
        <f t="shared" si="9"/>
        <v/>
      </c>
    </row>
    <row r="38" spans="1:24" x14ac:dyDescent="0.35">
      <c r="A38" s="27">
        <v>28</v>
      </c>
      <c r="B38" s="54">
        <v>46377</v>
      </c>
      <c r="C38" s="55">
        <f t="shared" si="0"/>
        <v>0.12345679012345678</v>
      </c>
      <c r="D38" s="48"/>
      <c r="E38" s="55">
        <f>SUM($C$11:C38)</f>
        <v>3.4567901234567922</v>
      </c>
      <c r="F38" s="55">
        <f>SUM($D$11:D38)</f>
        <v>9</v>
      </c>
      <c r="G38" s="56">
        <f>IF(COUNT($D$11:D38)=0,"",F38/E38)</f>
        <v>2.6035714285714269</v>
      </c>
      <c r="H38" s="57" t="str">
        <f t="shared" si="1"/>
        <v>En meta</v>
      </c>
      <c r="I38" s="51"/>
      <c r="J38" s="58" t="str">
        <f t="shared" si="2"/>
        <v/>
      </c>
      <c r="K38" s="51"/>
      <c r="L38" s="58" t="str">
        <f t="shared" si="3"/>
        <v/>
      </c>
      <c r="M38" s="51"/>
      <c r="N38" s="58" t="str">
        <f t="shared" si="4"/>
        <v/>
      </c>
      <c r="O38" s="51"/>
      <c r="P38" s="58" t="str">
        <f t="shared" si="5"/>
        <v/>
      </c>
      <c r="Q38" s="51"/>
      <c r="R38" s="58" t="str">
        <f t="shared" si="6"/>
        <v/>
      </c>
      <c r="S38" s="51"/>
      <c r="T38" s="58" t="str">
        <f t="shared" si="7"/>
        <v/>
      </c>
      <c r="U38" s="53"/>
      <c r="V38" s="58" t="str">
        <f t="shared" si="8"/>
        <v/>
      </c>
      <c r="W38" s="51"/>
      <c r="X38" s="58" t="str">
        <f t="shared" si="9"/>
        <v/>
      </c>
    </row>
    <row r="39" spans="1:24" x14ac:dyDescent="0.35">
      <c r="A39" s="20">
        <v>29</v>
      </c>
      <c r="B39" s="46">
        <v>46384</v>
      </c>
      <c r="C39" s="47">
        <f t="shared" si="0"/>
        <v>0.12345679012345678</v>
      </c>
      <c r="D39" s="48"/>
      <c r="E39" s="47">
        <f>SUM($C$11:C39)</f>
        <v>3.580246913580249</v>
      </c>
      <c r="F39" s="47">
        <f>SUM($D$11:D39)</f>
        <v>9</v>
      </c>
      <c r="G39" s="49">
        <f>IF(COUNT($D$11:D39)=0,"",F39/E39)</f>
        <v>2.5137931034482746</v>
      </c>
      <c r="H39" s="50" t="str">
        <f t="shared" si="1"/>
        <v>En meta</v>
      </c>
      <c r="I39" s="51"/>
      <c r="J39" s="52" t="str">
        <f t="shared" si="2"/>
        <v/>
      </c>
      <c r="K39" s="51"/>
      <c r="L39" s="52" t="str">
        <f t="shared" si="3"/>
        <v/>
      </c>
      <c r="M39" s="51"/>
      <c r="N39" s="52" t="str">
        <f t="shared" si="4"/>
        <v/>
      </c>
      <c r="O39" s="51"/>
      <c r="P39" s="52" t="str">
        <f t="shared" si="5"/>
        <v/>
      </c>
      <c r="Q39" s="51"/>
      <c r="R39" s="52" t="str">
        <f t="shared" si="6"/>
        <v/>
      </c>
      <c r="S39" s="51"/>
      <c r="T39" s="52" t="str">
        <f t="shared" si="7"/>
        <v/>
      </c>
      <c r="U39" s="53"/>
      <c r="V39" s="52" t="str">
        <f t="shared" si="8"/>
        <v/>
      </c>
      <c r="W39" s="51"/>
      <c r="X39" s="52" t="str">
        <f t="shared" si="9"/>
        <v/>
      </c>
    </row>
    <row r="40" spans="1:24" x14ac:dyDescent="0.35">
      <c r="A40" s="27">
        <v>30</v>
      </c>
      <c r="B40" s="54">
        <v>46391</v>
      </c>
      <c r="C40" s="55">
        <f t="shared" si="0"/>
        <v>0.12345679012345678</v>
      </c>
      <c r="D40" s="48"/>
      <c r="E40" s="55">
        <f>SUM($C$11:C40)</f>
        <v>3.7037037037037059</v>
      </c>
      <c r="F40" s="55">
        <f>SUM($D$11:D40)</f>
        <v>9</v>
      </c>
      <c r="G40" s="56">
        <f>IF(COUNT($D$11:D40)=0,"",F40/E40)</f>
        <v>2.4299999999999984</v>
      </c>
      <c r="H40" s="57" t="str">
        <f t="shared" si="1"/>
        <v>En meta</v>
      </c>
      <c r="I40" s="51"/>
      <c r="J40" s="58" t="str">
        <f t="shared" si="2"/>
        <v/>
      </c>
      <c r="K40" s="51"/>
      <c r="L40" s="58" t="str">
        <f t="shared" si="3"/>
        <v/>
      </c>
      <c r="M40" s="51"/>
      <c r="N40" s="58" t="str">
        <f t="shared" si="4"/>
        <v/>
      </c>
      <c r="O40" s="51"/>
      <c r="P40" s="58" t="str">
        <f t="shared" si="5"/>
        <v/>
      </c>
      <c r="Q40" s="51"/>
      <c r="R40" s="58" t="str">
        <f t="shared" si="6"/>
        <v/>
      </c>
      <c r="S40" s="51"/>
      <c r="T40" s="58" t="str">
        <f t="shared" si="7"/>
        <v/>
      </c>
      <c r="U40" s="53"/>
      <c r="V40" s="58" t="str">
        <f t="shared" si="8"/>
        <v/>
      </c>
      <c r="W40" s="51"/>
      <c r="X40" s="58" t="str">
        <f t="shared" si="9"/>
        <v/>
      </c>
    </row>
    <row r="41" spans="1:24" x14ac:dyDescent="0.35">
      <c r="A41" s="20">
        <v>31</v>
      </c>
      <c r="B41" s="46">
        <v>46398</v>
      </c>
      <c r="C41" s="47">
        <f t="shared" si="0"/>
        <v>0.12345679012345678</v>
      </c>
      <c r="D41" s="48"/>
      <c r="E41" s="47">
        <f>SUM($C$11:C41)</f>
        <v>3.8271604938271628</v>
      </c>
      <c r="F41" s="47">
        <f>SUM($D$11:D41)</f>
        <v>9</v>
      </c>
      <c r="G41" s="49">
        <f>IF(COUNT($D$11:D41)=0,"",F41/E41)</f>
        <v>2.3516129032258051</v>
      </c>
      <c r="H41" s="50" t="str">
        <f t="shared" si="1"/>
        <v>En meta</v>
      </c>
      <c r="I41" s="51"/>
      <c r="J41" s="52" t="str">
        <f t="shared" si="2"/>
        <v/>
      </c>
      <c r="K41" s="51"/>
      <c r="L41" s="52" t="str">
        <f t="shared" si="3"/>
        <v/>
      </c>
      <c r="M41" s="51"/>
      <c r="N41" s="52" t="str">
        <f t="shared" si="4"/>
        <v/>
      </c>
      <c r="O41" s="51"/>
      <c r="P41" s="52" t="str">
        <f t="shared" si="5"/>
        <v/>
      </c>
      <c r="Q41" s="51"/>
      <c r="R41" s="52" t="str">
        <f t="shared" si="6"/>
        <v/>
      </c>
      <c r="S41" s="51"/>
      <c r="T41" s="52" t="str">
        <f t="shared" si="7"/>
        <v/>
      </c>
      <c r="U41" s="53"/>
      <c r="V41" s="52" t="str">
        <f t="shared" si="8"/>
        <v/>
      </c>
      <c r="W41" s="51"/>
      <c r="X41" s="52" t="str">
        <f t="shared" si="9"/>
        <v/>
      </c>
    </row>
    <row r="42" spans="1:24" x14ac:dyDescent="0.35">
      <c r="A42" s="27">
        <v>32</v>
      </c>
      <c r="B42" s="54">
        <v>46405</v>
      </c>
      <c r="C42" s="55">
        <f t="shared" si="0"/>
        <v>0.12345679012345678</v>
      </c>
      <c r="D42" s="48"/>
      <c r="E42" s="55">
        <f>SUM($C$11:C42)</f>
        <v>3.9506172839506197</v>
      </c>
      <c r="F42" s="55">
        <f>SUM($D$11:D42)</f>
        <v>9</v>
      </c>
      <c r="G42" s="56">
        <f>IF(COUNT($D$11:D42)=0,"",F42/E42)</f>
        <v>2.2781249999999984</v>
      </c>
      <c r="H42" s="57" t="str">
        <f t="shared" si="1"/>
        <v>En meta</v>
      </c>
      <c r="I42" s="51"/>
      <c r="J42" s="58" t="str">
        <f t="shared" si="2"/>
        <v/>
      </c>
      <c r="K42" s="51"/>
      <c r="L42" s="58" t="str">
        <f t="shared" si="3"/>
        <v/>
      </c>
      <c r="M42" s="51"/>
      <c r="N42" s="58" t="str">
        <f t="shared" si="4"/>
        <v/>
      </c>
      <c r="O42" s="51"/>
      <c r="P42" s="58" t="str">
        <f t="shared" si="5"/>
        <v/>
      </c>
      <c r="Q42" s="51"/>
      <c r="R42" s="58" t="str">
        <f t="shared" si="6"/>
        <v/>
      </c>
      <c r="S42" s="51"/>
      <c r="T42" s="58" t="str">
        <f t="shared" si="7"/>
        <v/>
      </c>
      <c r="U42" s="53"/>
      <c r="V42" s="58" t="str">
        <f t="shared" si="8"/>
        <v/>
      </c>
      <c r="W42" s="51"/>
      <c r="X42" s="58" t="str">
        <f t="shared" si="9"/>
        <v/>
      </c>
    </row>
    <row r="43" spans="1:24" x14ac:dyDescent="0.35">
      <c r="A43" s="20">
        <v>33</v>
      </c>
      <c r="B43" s="46">
        <v>46412</v>
      </c>
      <c r="C43" s="47">
        <f t="shared" ref="C43:C74" si="10">$B$5/$B$8</f>
        <v>0.12345679012345678</v>
      </c>
      <c r="D43" s="48"/>
      <c r="E43" s="47">
        <f>SUM($C$11:C43)</f>
        <v>4.0740740740740762</v>
      </c>
      <c r="F43" s="47">
        <f>SUM($D$11:D43)</f>
        <v>9</v>
      </c>
      <c r="G43" s="49">
        <f>IF(COUNT($D$11:D43)=0,"",F43/E43)</f>
        <v>2.2090909090909081</v>
      </c>
      <c r="H43" s="50" t="str">
        <f t="shared" ref="H43:H74" si="11">IF(G43="","",IF(G43&gt;=0.95,"En meta",IF(G43&gt;=0.8,"Riesgo","Atrasado")))</f>
        <v>En meta</v>
      </c>
      <c r="I43" s="51"/>
      <c r="J43" s="52" t="str">
        <f t="shared" ref="J43:J74" si="12">IF(I43="","",IF($I$9="","",IF($I$9=0,"",I43/$I$9)))</f>
        <v/>
      </c>
      <c r="K43" s="51"/>
      <c r="L43" s="52" t="str">
        <f t="shared" ref="L43:L74" si="13">IF(K43="","",IF($K$9="","",IF($K$9=0,"",K43/$K$9)))</f>
        <v/>
      </c>
      <c r="M43" s="51"/>
      <c r="N43" s="52" t="str">
        <f t="shared" ref="N43:N74" si="14">IF(M43="","",IF($M$9="","",IF($M$9=0,"",M43/$M$9)))</f>
        <v/>
      </c>
      <c r="O43" s="51"/>
      <c r="P43" s="52" t="str">
        <f t="shared" ref="P43:P74" si="15">IF(O43="","",IF($O$9="","",IF($O$9=0,"",O43/$O$9)))</f>
        <v/>
      </c>
      <c r="Q43" s="51"/>
      <c r="R43" s="52" t="str">
        <f t="shared" ref="R43:R74" si="16">IF(Q43="","",IF($Q$9="","",IF($Q$9=0,"",Q43/$Q$9)))</f>
        <v/>
      </c>
      <c r="S43" s="51"/>
      <c r="T43" s="52" t="str">
        <f t="shared" ref="T43:T74" si="17">IF(S43="","",IF($S$9="","",IF($S$9=0,"",S43/$S$9)))</f>
        <v/>
      </c>
      <c r="U43" s="53"/>
      <c r="V43" s="52" t="str">
        <f t="shared" ref="V43:V74" si="18">IF(U43="","",IF($U$9="","",IF($U$9=0,"",U43/$U$9)))</f>
        <v/>
      </c>
      <c r="W43" s="51"/>
      <c r="X43" s="52" t="str">
        <f t="shared" ref="X43:X74" si="19">IF(W43="","",IF($W$9="","",IF($W$9=0,"",W43/$W$9)))</f>
        <v/>
      </c>
    </row>
    <row r="44" spans="1:24" x14ac:dyDescent="0.35">
      <c r="A44" s="27">
        <v>34</v>
      </c>
      <c r="B44" s="54">
        <v>46419</v>
      </c>
      <c r="C44" s="55">
        <f t="shared" si="10"/>
        <v>0.12345679012345678</v>
      </c>
      <c r="D44" s="48"/>
      <c r="E44" s="55">
        <f>SUM($C$11:C44)</f>
        <v>4.1975308641975326</v>
      </c>
      <c r="F44" s="55">
        <f>SUM($D$11:D44)</f>
        <v>9</v>
      </c>
      <c r="G44" s="56">
        <f>IF(COUNT($D$11:D44)=0,"",F44/E44)</f>
        <v>2.1441176470588226</v>
      </c>
      <c r="H44" s="57" t="str">
        <f t="shared" si="11"/>
        <v>En meta</v>
      </c>
      <c r="I44" s="51"/>
      <c r="J44" s="58" t="str">
        <f t="shared" si="12"/>
        <v/>
      </c>
      <c r="K44" s="51"/>
      <c r="L44" s="58" t="str">
        <f t="shared" si="13"/>
        <v/>
      </c>
      <c r="M44" s="51"/>
      <c r="N44" s="58" t="str">
        <f t="shared" si="14"/>
        <v/>
      </c>
      <c r="O44" s="51"/>
      <c r="P44" s="58" t="str">
        <f t="shared" si="15"/>
        <v/>
      </c>
      <c r="Q44" s="51"/>
      <c r="R44" s="58" t="str">
        <f t="shared" si="16"/>
        <v/>
      </c>
      <c r="S44" s="51"/>
      <c r="T44" s="58" t="str">
        <f t="shared" si="17"/>
        <v/>
      </c>
      <c r="U44" s="53"/>
      <c r="V44" s="58" t="str">
        <f t="shared" si="18"/>
        <v/>
      </c>
      <c r="W44" s="51"/>
      <c r="X44" s="58" t="str">
        <f t="shared" si="19"/>
        <v/>
      </c>
    </row>
    <row r="45" spans="1:24" x14ac:dyDescent="0.35">
      <c r="A45" s="20">
        <v>35</v>
      </c>
      <c r="B45" s="46">
        <v>46426</v>
      </c>
      <c r="C45" s="47">
        <f t="shared" si="10"/>
        <v>0.12345679012345678</v>
      </c>
      <c r="D45" s="48"/>
      <c r="E45" s="47">
        <f>SUM($C$11:C45)</f>
        <v>4.3209876543209891</v>
      </c>
      <c r="F45" s="47">
        <f>SUM($D$11:D45)</f>
        <v>9</v>
      </c>
      <c r="G45" s="49">
        <f>IF(COUNT($D$11:D45)=0,"",F45/E45)</f>
        <v>2.0828571428571423</v>
      </c>
      <c r="H45" s="50" t="str">
        <f t="shared" si="11"/>
        <v>En meta</v>
      </c>
      <c r="I45" s="51"/>
      <c r="J45" s="52" t="str">
        <f t="shared" si="12"/>
        <v/>
      </c>
      <c r="K45" s="51"/>
      <c r="L45" s="52" t="str">
        <f t="shared" si="13"/>
        <v/>
      </c>
      <c r="M45" s="51"/>
      <c r="N45" s="52" t="str">
        <f t="shared" si="14"/>
        <v/>
      </c>
      <c r="O45" s="51"/>
      <c r="P45" s="52" t="str">
        <f t="shared" si="15"/>
        <v/>
      </c>
      <c r="Q45" s="51"/>
      <c r="R45" s="52" t="str">
        <f t="shared" si="16"/>
        <v/>
      </c>
      <c r="S45" s="51"/>
      <c r="T45" s="52" t="str">
        <f t="shared" si="17"/>
        <v/>
      </c>
      <c r="U45" s="53"/>
      <c r="V45" s="52" t="str">
        <f t="shared" si="18"/>
        <v/>
      </c>
      <c r="W45" s="51"/>
      <c r="X45" s="52" t="str">
        <f t="shared" si="19"/>
        <v/>
      </c>
    </row>
    <row r="46" spans="1:24" x14ac:dyDescent="0.35">
      <c r="A46" s="27">
        <v>36</v>
      </c>
      <c r="B46" s="54">
        <v>46433</v>
      </c>
      <c r="C46" s="55">
        <f t="shared" si="10"/>
        <v>0.12345679012345678</v>
      </c>
      <c r="D46" s="48"/>
      <c r="E46" s="55">
        <f>SUM($C$11:C46)</f>
        <v>4.4444444444444455</v>
      </c>
      <c r="F46" s="55">
        <f>SUM($D$11:D46)</f>
        <v>9</v>
      </c>
      <c r="G46" s="56">
        <f>IF(COUNT($D$11:D46)=0,"",F46/E46)</f>
        <v>2.0249999999999995</v>
      </c>
      <c r="H46" s="57" t="str">
        <f t="shared" si="11"/>
        <v>En meta</v>
      </c>
      <c r="I46" s="51"/>
      <c r="J46" s="58" t="str">
        <f t="shared" si="12"/>
        <v/>
      </c>
      <c r="K46" s="51"/>
      <c r="L46" s="58" t="str">
        <f t="shared" si="13"/>
        <v/>
      </c>
      <c r="M46" s="51"/>
      <c r="N46" s="58" t="str">
        <f t="shared" si="14"/>
        <v/>
      </c>
      <c r="O46" s="51"/>
      <c r="P46" s="58" t="str">
        <f t="shared" si="15"/>
        <v/>
      </c>
      <c r="Q46" s="51"/>
      <c r="R46" s="58" t="str">
        <f t="shared" si="16"/>
        <v/>
      </c>
      <c r="S46" s="51"/>
      <c r="T46" s="58" t="str">
        <f t="shared" si="17"/>
        <v/>
      </c>
      <c r="U46" s="53"/>
      <c r="V46" s="58" t="str">
        <f t="shared" si="18"/>
        <v/>
      </c>
      <c r="W46" s="51"/>
      <c r="X46" s="58" t="str">
        <f t="shared" si="19"/>
        <v/>
      </c>
    </row>
    <row r="47" spans="1:24" x14ac:dyDescent="0.35">
      <c r="A47" s="20">
        <v>37</v>
      </c>
      <c r="B47" s="46">
        <v>46440</v>
      </c>
      <c r="C47" s="47">
        <f t="shared" si="10"/>
        <v>0.12345679012345678</v>
      </c>
      <c r="D47" s="48"/>
      <c r="E47" s="47">
        <f>SUM($C$11:C47)</f>
        <v>4.567901234567902</v>
      </c>
      <c r="F47" s="47">
        <f>SUM($D$11:D47)</f>
        <v>9</v>
      </c>
      <c r="G47" s="49">
        <f>IF(COUNT($D$11:D47)=0,"",F47/E47)</f>
        <v>1.9702702702702699</v>
      </c>
      <c r="H47" s="50" t="str">
        <f t="shared" si="11"/>
        <v>En meta</v>
      </c>
      <c r="I47" s="51"/>
      <c r="J47" s="52" t="str">
        <f t="shared" si="12"/>
        <v/>
      </c>
      <c r="K47" s="51"/>
      <c r="L47" s="52" t="str">
        <f t="shared" si="13"/>
        <v/>
      </c>
      <c r="M47" s="51"/>
      <c r="N47" s="52" t="str">
        <f t="shared" si="14"/>
        <v/>
      </c>
      <c r="O47" s="51"/>
      <c r="P47" s="52" t="str">
        <f t="shared" si="15"/>
        <v/>
      </c>
      <c r="Q47" s="51"/>
      <c r="R47" s="52" t="str">
        <f t="shared" si="16"/>
        <v/>
      </c>
      <c r="S47" s="51"/>
      <c r="T47" s="52" t="str">
        <f t="shared" si="17"/>
        <v/>
      </c>
      <c r="U47" s="53"/>
      <c r="V47" s="52" t="str">
        <f t="shared" si="18"/>
        <v/>
      </c>
      <c r="W47" s="51"/>
      <c r="X47" s="52" t="str">
        <f t="shared" si="19"/>
        <v/>
      </c>
    </row>
    <row r="48" spans="1:24" x14ac:dyDescent="0.35">
      <c r="A48" s="27">
        <v>38</v>
      </c>
      <c r="B48" s="54">
        <v>46447</v>
      </c>
      <c r="C48" s="55">
        <f t="shared" si="10"/>
        <v>0.12345679012345678</v>
      </c>
      <c r="D48" s="48"/>
      <c r="E48" s="55">
        <f>SUM($C$11:C48)</f>
        <v>4.6913580246913584</v>
      </c>
      <c r="F48" s="55">
        <f>SUM($D$11:D48)</f>
        <v>9</v>
      </c>
      <c r="G48" s="56">
        <f>IF(COUNT($D$11:D48)=0,"",F48/E48)</f>
        <v>1.9184210526315788</v>
      </c>
      <c r="H48" s="57" t="str">
        <f t="shared" si="11"/>
        <v>En meta</v>
      </c>
      <c r="I48" s="51"/>
      <c r="J48" s="58" t="str">
        <f t="shared" si="12"/>
        <v/>
      </c>
      <c r="K48" s="51"/>
      <c r="L48" s="58" t="str">
        <f t="shared" si="13"/>
        <v/>
      </c>
      <c r="M48" s="51"/>
      <c r="N48" s="58" t="str">
        <f t="shared" si="14"/>
        <v/>
      </c>
      <c r="O48" s="51"/>
      <c r="P48" s="58" t="str">
        <f t="shared" si="15"/>
        <v/>
      </c>
      <c r="Q48" s="51"/>
      <c r="R48" s="58" t="str">
        <f t="shared" si="16"/>
        <v/>
      </c>
      <c r="S48" s="51"/>
      <c r="T48" s="58" t="str">
        <f t="shared" si="17"/>
        <v/>
      </c>
      <c r="U48" s="53"/>
      <c r="V48" s="58" t="str">
        <f t="shared" si="18"/>
        <v/>
      </c>
      <c r="W48" s="51"/>
      <c r="X48" s="58" t="str">
        <f t="shared" si="19"/>
        <v/>
      </c>
    </row>
    <row r="49" spans="1:24" x14ac:dyDescent="0.35">
      <c r="A49" s="20">
        <v>39</v>
      </c>
      <c r="B49" s="46">
        <v>46454</v>
      </c>
      <c r="C49" s="47">
        <f t="shared" si="10"/>
        <v>0.12345679012345678</v>
      </c>
      <c r="D49" s="48"/>
      <c r="E49" s="47">
        <f>SUM($C$11:C49)</f>
        <v>4.8148148148148149</v>
      </c>
      <c r="F49" s="47">
        <f>SUM($D$11:D49)</f>
        <v>9</v>
      </c>
      <c r="G49" s="49">
        <f>IF(COUNT($D$11:D49)=0,"",F49/E49)</f>
        <v>1.8692307692307693</v>
      </c>
      <c r="H49" s="50" t="str">
        <f t="shared" si="11"/>
        <v>En meta</v>
      </c>
      <c r="I49" s="51"/>
      <c r="J49" s="52" t="str">
        <f t="shared" si="12"/>
        <v/>
      </c>
      <c r="K49" s="51"/>
      <c r="L49" s="52" t="str">
        <f t="shared" si="13"/>
        <v/>
      </c>
      <c r="M49" s="51"/>
      <c r="N49" s="52" t="str">
        <f t="shared" si="14"/>
        <v/>
      </c>
      <c r="O49" s="51"/>
      <c r="P49" s="52" t="str">
        <f t="shared" si="15"/>
        <v/>
      </c>
      <c r="Q49" s="51"/>
      <c r="R49" s="52" t="str">
        <f t="shared" si="16"/>
        <v/>
      </c>
      <c r="S49" s="51"/>
      <c r="T49" s="52" t="str">
        <f t="shared" si="17"/>
        <v/>
      </c>
      <c r="U49" s="53"/>
      <c r="V49" s="52" t="str">
        <f t="shared" si="18"/>
        <v/>
      </c>
      <c r="W49" s="51"/>
      <c r="X49" s="52" t="str">
        <f t="shared" si="19"/>
        <v/>
      </c>
    </row>
    <row r="50" spans="1:24" x14ac:dyDescent="0.35">
      <c r="A50" s="27">
        <v>40</v>
      </c>
      <c r="B50" s="54">
        <v>46461</v>
      </c>
      <c r="C50" s="55">
        <f t="shared" si="10"/>
        <v>0.12345679012345678</v>
      </c>
      <c r="D50" s="48"/>
      <c r="E50" s="55">
        <f>SUM($C$11:C50)</f>
        <v>4.9382716049382713</v>
      </c>
      <c r="F50" s="55">
        <f>SUM($D$11:D50)</f>
        <v>9</v>
      </c>
      <c r="G50" s="56">
        <f>IF(COUNT($D$11:D50)=0,"",F50/E50)</f>
        <v>1.8225</v>
      </c>
      <c r="H50" s="57" t="str">
        <f t="shared" si="11"/>
        <v>En meta</v>
      </c>
      <c r="I50" s="51"/>
      <c r="J50" s="58" t="str">
        <f t="shared" si="12"/>
        <v/>
      </c>
      <c r="K50" s="51"/>
      <c r="L50" s="58" t="str">
        <f t="shared" si="13"/>
        <v/>
      </c>
      <c r="M50" s="51"/>
      <c r="N50" s="58" t="str">
        <f t="shared" si="14"/>
        <v/>
      </c>
      <c r="O50" s="51"/>
      <c r="P50" s="58" t="str">
        <f t="shared" si="15"/>
        <v/>
      </c>
      <c r="Q50" s="51"/>
      <c r="R50" s="58" t="str">
        <f t="shared" si="16"/>
        <v/>
      </c>
      <c r="S50" s="51"/>
      <c r="T50" s="58" t="str">
        <f t="shared" si="17"/>
        <v/>
      </c>
      <c r="U50" s="53"/>
      <c r="V50" s="58" t="str">
        <f t="shared" si="18"/>
        <v/>
      </c>
      <c r="W50" s="51"/>
      <c r="X50" s="58" t="str">
        <f t="shared" si="19"/>
        <v/>
      </c>
    </row>
    <row r="51" spans="1:24" x14ac:dyDescent="0.35">
      <c r="A51" s="20">
        <v>41</v>
      </c>
      <c r="B51" s="46">
        <v>46468</v>
      </c>
      <c r="C51" s="47">
        <f t="shared" si="10"/>
        <v>0.12345679012345678</v>
      </c>
      <c r="D51" s="48"/>
      <c r="E51" s="47">
        <f>SUM($C$11:C51)</f>
        <v>5.0617283950617278</v>
      </c>
      <c r="F51" s="47">
        <f>SUM($D$11:D51)</f>
        <v>9</v>
      </c>
      <c r="G51" s="49">
        <f>IF(COUNT($D$11:D51)=0,"",F51/E51)</f>
        <v>1.7780487804878051</v>
      </c>
      <c r="H51" s="50" t="str">
        <f t="shared" si="11"/>
        <v>En meta</v>
      </c>
      <c r="I51" s="51"/>
      <c r="J51" s="52" t="str">
        <f t="shared" si="12"/>
        <v/>
      </c>
      <c r="K51" s="51"/>
      <c r="L51" s="52" t="str">
        <f t="shared" si="13"/>
        <v/>
      </c>
      <c r="M51" s="51"/>
      <c r="N51" s="52" t="str">
        <f t="shared" si="14"/>
        <v/>
      </c>
      <c r="O51" s="51"/>
      <c r="P51" s="52" t="str">
        <f t="shared" si="15"/>
        <v/>
      </c>
      <c r="Q51" s="51"/>
      <c r="R51" s="52" t="str">
        <f t="shared" si="16"/>
        <v/>
      </c>
      <c r="S51" s="51"/>
      <c r="T51" s="52" t="str">
        <f t="shared" si="17"/>
        <v/>
      </c>
      <c r="U51" s="53"/>
      <c r="V51" s="52" t="str">
        <f t="shared" si="18"/>
        <v/>
      </c>
      <c r="W51" s="51"/>
      <c r="X51" s="52" t="str">
        <f t="shared" si="19"/>
        <v/>
      </c>
    </row>
    <row r="52" spans="1:24" x14ac:dyDescent="0.35">
      <c r="A52" s="27">
        <v>42</v>
      </c>
      <c r="B52" s="54">
        <v>46475</v>
      </c>
      <c r="C52" s="55">
        <f t="shared" si="10"/>
        <v>0.12345679012345678</v>
      </c>
      <c r="D52" s="48"/>
      <c r="E52" s="55">
        <f>SUM($C$11:C52)</f>
        <v>5.1851851851851842</v>
      </c>
      <c r="F52" s="55">
        <f>SUM($D$11:D52)</f>
        <v>9</v>
      </c>
      <c r="G52" s="56">
        <f>IF(COUNT($D$11:D52)=0,"",F52/E52)</f>
        <v>1.735714285714286</v>
      </c>
      <c r="H52" s="57" t="str">
        <f t="shared" si="11"/>
        <v>En meta</v>
      </c>
      <c r="I52" s="51"/>
      <c r="J52" s="58" t="str">
        <f t="shared" si="12"/>
        <v/>
      </c>
      <c r="K52" s="51"/>
      <c r="L52" s="58" t="str">
        <f t="shared" si="13"/>
        <v/>
      </c>
      <c r="M52" s="51"/>
      <c r="N52" s="58" t="str">
        <f t="shared" si="14"/>
        <v/>
      </c>
      <c r="O52" s="51"/>
      <c r="P52" s="58" t="str">
        <f t="shared" si="15"/>
        <v/>
      </c>
      <c r="Q52" s="51"/>
      <c r="R52" s="58" t="str">
        <f t="shared" si="16"/>
        <v/>
      </c>
      <c r="S52" s="51"/>
      <c r="T52" s="58" t="str">
        <f t="shared" si="17"/>
        <v/>
      </c>
      <c r="U52" s="53"/>
      <c r="V52" s="58" t="str">
        <f t="shared" si="18"/>
        <v/>
      </c>
      <c r="W52" s="51"/>
      <c r="X52" s="58" t="str">
        <f t="shared" si="19"/>
        <v/>
      </c>
    </row>
    <row r="53" spans="1:24" x14ac:dyDescent="0.35">
      <c r="A53" s="20">
        <v>43</v>
      </c>
      <c r="B53" s="46">
        <v>46482</v>
      </c>
      <c r="C53" s="47">
        <f t="shared" si="10"/>
        <v>0.12345679012345678</v>
      </c>
      <c r="D53" s="48"/>
      <c r="E53" s="47">
        <f>SUM($C$11:C53)</f>
        <v>5.3086419753086407</v>
      </c>
      <c r="F53" s="47">
        <f>SUM($D$11:D53)</f>
        <v>9</v>
      </c>
      <c r="G53" s="49">
        <f>IF(COUNT($D$11:D53)=0,"",F53/E53)</f>
        <v>1.6953488372093026</v>
      </c>
      <c r="H53" s="50" t="str">
        <f t="shared" si="11"/>
        <v>En meta</v>
      </c>
      <c r="I53" s="51"/>
      <c r="J53" s="52" t="str">
        <f t="shared" si="12"/>
        <v/>
      </c>
      <c r="K53" s="51"/>
      <c r="L53" s="52" t="str">
        <f t="shared" si="13"/>
        <v/>
      </c>
      <c r="M53" s="51"/>
      <c r="N53" s="52" t="str">
        <f t="shared" si="14"/>
        <v/>
      </c>
      <c r="O53" s="51"/>
      <c r="P53" s="52" t="str">
        <f t="shared" si="15"/>
        <v/>
      </c>
      <c r="Q53" s="51"/>
      <c r="R53" s="52" t="str">
        <f t="shared" si="16"/>
        <v/>
      </c>
      <c r="S53" s="51"/>
      <c r="T53" s="52" t="str">
        <f t="shared" si="17"/>
        <v/>
      </c>
      <c r="U53" s="53"/>
      <c r="V53" s="52" t="str">
        <f t="shared" si="18"/>
        <v/>
      </c>
      <c r="W53" s="51"/>
      <c r="X53" s="52" t="str">
        <f t="shared" si="19"/>
        <v/>
      </c>
    </row>
    <row r="54" spans="1:24" x14ac:dyDescent="0.35">
      <c r="A54" s="27">
        <v>44</v>
      </c>
      <c r="B54" s="54">
        <v>46489</v>
      </c>
      <c r="C54" s="55">
        <f t="shared" si="10"/>
        <v>0.12345679012345678</v>
      </c>
      <c r="D54" s="48"/>
      <c r="E54" s="55">
        <f>SUM($C$11:C54)</f>
        <v>5.4320987654320971</v>
      </c>
      <c r="F54" s="55">
        <f>SUM($D$11:D54)</f>
        <v>9</v>
      </c>
      <c r="G54" s="56">
        <f>IF(COUNT($D$11:D54)=0,"",F54/E54)</f>
        <v>1.6568181818181824</v>
      </c>
      <c r="H54" s="57" t="str">
        <f t="shared" si="11"/>
        <v>En meta</v>
      </c>
      <c r="I54" s="51"/>
      <c r="J54" s="58" t="str">
        <f t="shared" si="12"/>
        <v/>
      </c>
      <c r="K54" s="51"/>
      <c r="L54" s="58" t="str">
        <f t="shared" si="13"/>
        <v/>
      </c>
      <c r="M54" s="51"/>
      <c r="N54" s="58" t="str">
        <f t="shared" si="14"/>
        <v/>
      </c>
      <c r="O54" s="51"/>
      <c r="P54" s="58" t="str">
        <f t="shared" si="15"/>
        <v/>
      </c>
      <c r="Q54" s="51"/>
      <c r="R54" s="58" t="str">
        <f t="shared" si="16"/>
        <v/>
      </c>
      <c r="S54" s="51"/>
      <c r="T54" s="58" t="str">
        <f t="shared" si="17"/>
        <v/>
      </c>
      <c r="U54" s="53"/>
      <c r="V54" s="58" t="str">
        <f t="shared" si="18"/>
        <v/>
      </c>
      <c r="W54" s="51"/>
      <c r="X54" s="58" t="str">
        <f t="shared" si="19"/>
        <v/>
      </c>
    </row>
    <row r="55" spans="1:24" x14ac:dyDescent="0.35">
      <c r="A55" s="20">
        <v>45</v>
      </c>
      <c r="B55" s="46">
        <v>46496</v>
      </c>
      <c r="C55" s="47">
        <f t="shared" si="10"/>
        <v>0.12345679012345678</v>
      </c>
      <c r="D55" s="48"/>
      <c r="E55" s="47">
        <f>SUM($C$11:C55)</f>
        <v>5.5555555555555536</v>
      </c>
      <c r="F55" s="47">
        <f>SUM($D$11:D55)</f>
        <v>9</v>
      </c>
      <c r="G55" s="49">
        <f>IF(COUNT($D$11:D55)=0,"",F55/E55)</f>
        <v>1.6200000000000006</v>
      </c>
      <c r="H55" s="50" t="str">
        <f t="shared" si="11"/>
        <v>En meta</v>
      </c>
      <c r="I55" s="51"/>
      <c r="J55" s="52" t="str">
        <f t="shared" si="12"/>
        <v/>
      </c>
      <c r="K55" s="51"/>
      <c r="L55" s="52" t="str">
        <f t="shared" si="13"/>
        <v/>
      </c>
      <c r="M55" s="51"/>
      <c r="N55" s="52" t="str">
        <f t="shared" si="14"/>
        <v/>
      </c>
      <c r="O55" s="51"/>
      <c r="P55" s="52" t="str">
        <f t="shared" si="15"/>
        <v/>
      </c>
      <c r="Q55" s="51"/>
      <c r="R55" s="52" t="str">
        <f t="shared" si="16"/>
        <v/>
      </c>
      <c r="S55" s="51"/>
      <c r="T55" s="52" t="str">
        <f t="shared" si="17"/>
        <v/>
      </c>
      <c r="U55" s="53"/>
      <c r="V55" s="52" t="str">
        <f t="shared" si="18"/>
        <v/>
      </c>
      <c r="W55" s="51"/>
      <c r="X55" s="52" t="str">
        <f t="shared" si="19"/>
        <v/>
      </c>
    </row>
    <row r="56" spans="1:24" x14ac:dyDescent="0.35">
      <c r="A56" s="27">
        <v>46</v>
      </c>
      <c r="B56" s="54">
        <v>46503</v>
      </c>
      <c r="C56" s="55">
        <f t="shared" si="10"/>
        <v>0.12345679012345678</v>
      </c>
      <c r="D56" s="48"/>
      <c r="E56" s="55">
        <f>SUM($C$11:C56)</f>
        <v>5.67901234567901</v>
      </c>
      <c r="F56" s="55">
        <f>SUM($D$11:D56)</f>
        <v>9</v>
      </c>
      <c r="G56" s="56">
        <f>IF(COUNT($D$11:D56)=0,"",F56/E56)</f>
        <v>1.5847826086956529</v>
      </c>
      <c r="H56" s="57" t="str">
        <f t="shared" si="11"/>
        <v>En meta</v>
      </c>
      <c r="I56" s="51"/>
      <c r="J56" s="58" t="str">
        <f t="shared" si="12"/>
        <v/>
      </c>
      <c r="K56" s="51"/>
      <c r="L56" s="58" t="str">
        <f t="shared" si="13"/>
        <v/>
      </c>
      <c r="M56" s="51"/>
      <c r="N56" s="58" t="str">
        <f t="shared" si="14"/>
        <v/>
      </c>
      <c r="O56" s="51"/>
      <c r="P56" s="58" t="str">
        <f t="shared" si="15"/>
        <v/>
      </c>
      <c r="Q56" s="51"/>
      <c r="R56" s="58" t="str">
        <f t="shared" si="16"/>
        <v/>
      </c>
      <c r="S56" s="51"/>
      <c r="T56" s="58" t="str">
        <f t="shared" si="17"/>
        <v/>
      </c>
      <c r="U56" s="53"/>
      <c r="V56" s="58" t="str">
        <f t="shared" si="18"/>
        <v/>
      </c>
      <c r="W56" s="51"/>
      <c r="X56" s="58" t="str">
        <f t="shared" si="19"/>
        <v/>
      </c>
    </row>
    <row r="57" spans="1:24" x14ac:dyDescent="0.35">
      <c r="A57" s="20">
        <v>47</v>
      </c>
      <c r="B57" s="46">
        <v>46510</v>
      </c>
      <c r="C57" s="47">
        <f t="shared" si="10"/>
        <v>0.12345679012345678</v>
      </c>
      <c r="D57" s="48"/>
      <c r="E57" s="47">
        <f>SUM($C$11:C57)</f>
        <v>5.8024691358024665</v>
      </c>
      <c r="F57" s="47">
        <f>SUM($D$11:D57)</f>
        <v>9</v>
      </c>
      <c r="G57" s="49">
        <f>IF(COUNT($D$11:D57)=0,"",F57/E57)</f>
        <v>1.5510638297872348</v>
      </c>
      <c r="H57" s="50" t="str">
        <f t="shared" si="11"/>
        <v>En meta</v>
      </c>
      <c r="I57" s="51"/>
      <c r="J57" s="52" t="str">
        <f t="shared" si="12"/>
        <v/>
      </c>
      <c r="K57" s="51"/>
      <c r="L57" s="52" t="str">
        <f t="shared" si="13"/>
        <v/>
      </c>
      <c r="M57" s="51"/>
      <c r="N57" s="52" t="str">
        <f t="shared" si="14"/>
        <v/>
      </c>
      <c r="O57" s="51"/>
      <c r="P57" s="52" t="str">
        <f t="shared" si="15"/>
        <v/>
      </c>
      <c r="Q57" s="51"/>
      <c r="R57" s="52" t="str">
        <f t="shared" si="16"/>
        <v/>
      </c>
      <c r="S57" s="51"/>
      <c r="T57" s="52" t="str">
        <f t="shared" si="17"/>
        <v/>
      </c>
      <c r="U57" s="53"/>
      <c r="V57" s="52" t="str">
        <f t="shared" si="18"/>
        <v/>
      </c>
      <c r="W57" s="51"/>
      <c r="X57" s="52" t="str">
        <f t="shared" si="19"/>
        <v/>
      </c>
    </row>
    <row r="58" spans="1:24" x14ac:dyDescent="0.35">
      <c r="A58" s="27">
        <v>48</v>
      </c>
      <c r="B58" s="54">
        <v>46517</v>
      </c>
      <c r="C58" s="55">
        <f t="shared" si="10"/>
        <v>0.12345679012345678</v>
      </c>
      <c r="D58" s="48"/>
      <c r="E58" s="55">
        <f>SUM($C$11:C58)</f>
        <v>5.9259259259259229</v>
      </c>
      <c r="F58" s="55">
        <f>SUM($D$11:D58)</f>
        <v>9</v>
      </c>
      <c r="G58" s="56">
        <f>IF(COUNT($D$11:D58)=0,"",F58/E58)</f>
        <v>1.5187500000000007</v>
      </c>
      <c r="H58" s="57" t="str">
        <f t="shared" si="11"/>
        <v>En meta</v>
      </c>
      <c r="I58" s="51"/>
      <c r="J58" s="58" t="str">
        <f t="shared" si="12"/>
        <v/>
      </c>
      <c r="K58" s="51"/>
      <c r="L58" s="58" t="str">
        <f t="shared" si="13"/>
        <v/>
      </c>
      <c r="M58" s="51"/>
      <c r="N58" s="58" t="str">
        <f t="shared" si="14"/>
        <v/>
      </c>
      <c r="O58" s="51"/>
      <c r="P58" s="58" t="str">
        <f t="shared" si="15"/>
        <v/>
      </c>
      <c r="Q58" s="51"/>
      <c r="R58" s="58" t="str">
        <f t="shared" si="16"/>
        <v/>
      </c>
      <c r="S58" s="51"/>
      <c r="T58" s="58" t="str">
        <f t="shared" si="17"/>
        <v/>
      </c>
      <c r="U58" s="53"/>
      <c r="V58" s="58" t="str">
        <f t="shared" si="18"/>
        <v/>
      </c>
      <c r="W58" s="51"/>
      <c r="X58" s="58" t="str">
        <f t="shared" si="19"/>
        <v/>
      </c>
    </row>
    <row r="59" spans="1:24" x14ac:dyDescent="0.35">
      <c r="A59" s="20">
        <v>49</v>
      </c>
      <c r="B59" s="46">
        <v>46524</v>
      </c>
      <c r="C59" s="47">
        <f t="shared" si="10"/>
        <v>0.12345679012345678</v>
      </c>
      <c r="D59" s="48"/>
      <c r="E59" s="47">
        <f>SUM($C$11:C59)</f>
        <v>6.0493827160493794</v>
      </c>
      <c r="F59" s="47">
        <f>SUM($D$11:D59)</f>
        <v>9</v>
      </c>
      <c r="G59" s="49">
        <f>IF(COUNT($D$11:D59)=0,"",F59/E59)</f>
        <v>1.4877551020408171</v>
      </c>
      <c r="H59" s="50" t="str">
        <f t="shared" si="11"/>
        <v>En meta</v>
      </c>
      <c r="I59" s="51"/>
      <c r="J59" s="52" t="str">
        <f t="shared" si="12"/>
        <v/>
      </c>
      <c r="K59" s="51"/>
      <c r="L59" s="52" t="str">
        <f t="shared" si="13"/>
        <v/>
      </c>
      <c r="M59" s="51"/>
      <c r="N59" s="52" t="str">
        <f t="shared" si="14"/>
        <v/>
      </c>
      <c r="O59" s="51"/>
      <c r="P59" s="52" t="str">
        <f t="shared" si="15"/>
        <v/>
      </c>
      <c r="Q59" s="51"/>
      <c r="R59" s="52" t="str">
        <f t="shared" si="16"/>
        <v/>
      </c>
      <c r="S59" s="51"/>
      <c r="T59" s="52" t="str">
        <f t="shared" si="17"/>
        <v/>
      </c>
      <c r="U59" s="53"/>
      <c r="V59" s="52" t="str">
        <f t="shared" si="18"/>
        <v/>
      </c>
      <c r="W59" s="51"/>
      <c r="X59" s="52" t="str">
        <f t="shared" si="19"/>
        <v/>
      </c>
    </row>
    <row r="60" spans="1:24" x14ac:dyDescent="0.35">
      <c r="A60" s="27">
        <v>50</v>
      </c>
      <c r="B60" s="54">
        <v>46531</v>
      </c>
      <c r="C60" s="55">
        <f t="shared" si="10"/>
        <v>0.12345679012345678</v>
      </c>
      <c r="D60" s="48"/>
      <c r="E60" s="55">
        <f>SUM($C$11:C60)</f>
        <v>6.1728395061728358</v>
      </c>
      <c r="F60" s="55">
        <f>SUM($D$11:D60)</f>
        <v>9</v>
      </c>
      <c r="G60" s="56">
        <f>IF(COUNT($D$11:D60)=0,"",F60/E60)</f>
        <v>1.4580000000000009</v>
      </c>
      <c r="H60" s="57" t="str">
        <f t="shared" si="11"/>
        <v>En meta</v>
      </c>
      <c r="I60" s="51"/>
      <c r="J60" s="58" t="str">
        <f t="shared" si="12"/>
        <v/>
      </c>
      <c r="K60" s="51"/>
      <c r="L60" s="58" t="str">
        <f t="shared" si="13"/>
        <v/>
      </c>
      <c r="M60" s="51"/>
      <c r="N60" s="58" t="str">
        <f t="shared" si="14"/>
        <v/>
      </c>
      <c r="O60" s="51"/>
      <c r="P60" s="58" t="str">
        <f t="shared" si="15"/>
        <v/>
      </c>
      <c r="Q60" s="51"/>
      <c r="R60" s="58" t="str">
        <f t="shared" si="16"/>
        <v/>
      </c>
      <c r="S60" s="51"/>
      <c r="T60" s="58" t="str">
        <f t="shared" si="17"/>
        <v/>
      </c>
      <c r="U60" s="53"/>
      <c r="V60" s="58" t="str">
        <f t="shared" si="18"/>
        <v/>
      </c>
      <c r="W60" s="51"/>
      <c r="X60" s="58" t="str">
        <f t="shared" si="19"/>
        <v/>
      </c>
    </row>
    <row r="61" spans="1:24" x14ac:dyDescent="0.35">
      <c r="A61" s="20">
        <v>51</v>
      </c>
      <c r="B61" s="46">
        <v>46538</v>
      </c>
      <c r="C61" s="47">
        <f t="shared" si="10"/>
        <v>0.12345679012345678</v>
      </c>
      <c r="D61" s="48"/>
      <c r="E61" s="47">
        <f>SUM($C$11:C61)</f>
        <v>6.2962962962962923</v>
      </c>
      <c r="F61" s="47">
        <f>SUM($D$11:D61)</f>
        <v>9</v>
      </c>
      <c r="G61" s="49">
        <f>IF(COUNT($D$11:D61)=0,"",F61/E61)</f>
        <v>1.4294117647058833</v>
      </c>
      <c r="H61" s="50" t="str">
        <f t="shared" si="11"/>
        <v>En meta</v>
      </c>
      <c r="I61" s="51"/>
      <c r="J61" s="52" t="str">
        <f t="shared" si="12"/>
        <v/>
      </c>
      <c r="K61" s="51"/>
      <c r="L61" s="52" t="str">
        <f t="shared" si="13"/>
        <v/>
      </c>
      <c r="M61" s="51"/>
      <c r="N61" s="52" t="str">
        <f t="shared" si="14"/>
        <v/>
      </c>
      <c r="O61" s="51"/>
      <c r="P61" s="52" t="str">
        <f t="shared" si="15"/>
        <v/>
      </c>
      <c r="Q61" s="51"/>
      <c r="R61" s="52" t="str">
        <f t="shared" si="16"/>
        <v/>
      </c>
      <c r="S61" s="51"/>
      <c r="T61" s="52" t="str">
        <f t="shared" si="17"/>
        <v/>
      </c>
      <c r="U61" s="53"/>
      <c r="V61" s="52" t="str">
        <f t="shared" si="18"/>
        <v/>
      </c>
      <c r="W61" s="51"/>
      <c r="X61" s="52" t="str">
        <f t="shared" si="19"/>
        <v/>
      </c>
    </row>
    <row r="62" spans="1:24" x14ac:dyDescent="0.35">
      <c r="A62" s="27">
        <v>52</v>
      </c>
      <c r="B62" s="54">
        <v>46545</v>
      </c>
      <c r="C62" s="55">
        <f t="shared" si="10"/>
        <v>0.12345679012345678</v>
      </c>
      <c r="D62" s="48"/>
      <c r="E62" s="55">
        <f>SUM($C$11:C62)</f>
        <v>6.4197530864197487</v>
      </c>
      <c r="F62" s="55">
        <f>SUM($D$11:D62)</f>
        <v>9</v>
      </c>
      <c r="G62" s="56">
        <f>IF(COUNT($D$11:D62)=0,"",F62/E62)</f>
        <v>1.4019230769230779</v>
      </c>
      <c r="H62" s="57" t="str">
        <f t="shared" si="11"/>
        <v>En meta</v>
      </c>
      <c r="I62" s="51"/>
      <c r="J62" s="58" t="str">
        <f t="shared" si="12"/>
        <v/>
      </c>
      <c r="K62" s="51"/>
      <c r="L62" s="58" t="str">
        <f t="shared" si="13"/>
        <v/>
      </c>
      <c r="M62" s="51"/>
      <c r="N62" s="58" t="str">
        <f t="shared" si="14"/>
        <v/>
      </c>
      <c r="O62" s="51"/>
      <c r="P62" s="58" t="str">
        <f t="shared" si="15"/>
        <v/>
      </c>
      <c r="Q62" s="51"/>
      <c r="R62" s="58" t="str">
        <f t="shared" si="16"/>
        <v/>
      </c>
      <c r="S62" s="51"/>
      <c r="T62" s="58" t="str">
        <f t="shared" si="17"/>
        <v/>
      </c>
      <c r="U62" s="53"/>
      <c r="V62" s="58" t="str">
        <f t="shared" si="18"/>
        <v/>
      </c>
      <c r="W62" s="51"/>
      <c r="X62" s="58" t="str">
        <f t="shared" si="19"/>
        <v/>
      </c>
    </row>
    <row r="63" spans="1:24" x14ac:dyDescent="0.35">
      <c r="A63" s="20">
        <v>53</v>
      </c>
      <c r="B63" s="46">
        <v>46552</v>
      </c>
      <c r="C63" s="47">
        <f t="shared" si="10"/>
        <v>0.12345679012345678</v>
      </c>
      <c r="D63" s="48"/>
      <c r="E63" s="47">
        <f>SUM($C$11:C63)</f>
        <v>6.5432098765432052</v>
      </c>
      <c r="F63" s="47">
        <f>SUM($D$11:D63)</f>
        <v>9</v>
      </c>
      <c r="G63" s="49">
        <f>IF(COUNT($D$11:D63)=0,"",F63/E63)</f>
        <v>1.3754716981132085</v>
      </c>
      <c r="H63" s="50" t="str">
        <f t="shared" si="11"/>
        <v>En meta</v>
      </c>
      <c r="I63" s="51"/>
      <c r="J63" s="52" t="str">
        <f t="shared" si="12"/>
        <v/>
      </c>
      <c r="K63" s="51"/>
      <c r="L63" s="52" t="str">
        <f t="shared" si="13"/>
        <v/>
      </c>
      <c r="M63" s="51"/>
      <c r="N63" s="52" t="str">
        <f t="shared" si="14"/>
        <v/>
      </c>
      <c r="O63" s="51"/>
      <c r="P63" s="52" t="str">
        <f t="shared" si="15"/>
        <v/>
      </c>
      <c r="Q63" s="51"/>
      <c r="R63" s="52" t="str">
        <f t="shared" si="16"/>
        <v/>
      </c>
      <c r="S63" s="51"/>
      <c r="T63" s="52" t="str">
        <f t="shared" si="17"/>
        <v/>
      </c>
      <c r="U63" s="53"/>
      <c r="V63" s="52" t="str">
        <f t="shared" si="18"/>
        <v/>
      </c>
      <c r="W63" s="51"/>
      <c r="X63" s="52" t="str">
        <f t="shared" si="19"/>
        <v/>
      </c>
    </row>
    <row r="64" spans="1:24" x14ac:dyDescent="0.35">
      <c r="A64" s="27">
        <v>54</v>
      </c>
      <c r="B64" s="54">
        <v>46559</v>
      </c>
      <c r="C64" s="55">
        <f t="shared" si="10"/>
        <v>0.12345679012345678</v>
      </c>
      <c r="D64" s="48"/>
      <c r="E64" s="55">
        <f>SUM($C$11:C64)</f>
        <v>6.6666666666666616</v>
      </c>
      <c r="F64" s="55">
        <f>SUM($D$11:D64)</f>
        <v>9</v>
      </c>
      <c r="G64" s="56">
        <f>IF(COUNT($D$11:D64)=0,"",F64/E64)</f>
        <v>1.350000000000001</v>
      </c>
      <c r="H64" s="57" t="str">
        <f t="shared" si="11"/>
        <v>En meta</v>
      </c>
      <c r="I64" s="51"/>
      <c r="J64" s="58" t="str">
        <f t="shared" si="12"/>
        <v/>
      </c>
      <c r="K64" s="51"/>
      <c r="L64" s="58" t="str">
        <f t="shared" si="13"/>
        <v/>
      </c>
      <c r="M64" s="51"/>
      <c r="N64" s="58" t="str">
        <f t="shared" si="14"/>
        <v/>
      </c>
      <c r="O64" s="51"/>
      <c r="P64" s="58" t="str">
        <f t="shared" si="15"/>
        <v/>
      </c>
      <c r="Q64" s="51"/>
      <c r="R64" s="58" t="str">
        <f t="shared" si="16"/>
        <v/>
      </c>
      <c r="S64" s="51"/>
      <c r="T64" s="58" t="str">
        <f t="shared" si="17"/>
        <v/>
      </c>
      <c r="U64" s="53"/>
      <c r="V64" s="58" t="str">
        <f t="shared" si="18"/>
        <v/>
      </c>
      <c r="W64" s="51"/>
      <c r="X64" s="58" t="str">
        <f t="shared" si="19"/>
        <v/>
      </c>
    </row>
    <row r="65" spans="1:24" x14ac:dyDescent="0.35">
      <c r="A65" s="20">
        <v>55</v>
      </c>
      <c r="B65" s="46">
        <v>46566</v>
      </c>
      <c r="C65" s="47">
        <f t="shared" si="10"/>
        <v>0.12345679012345678</v>
      </c>
      <c r="D65" s="48"/>
      <c r="E65" s="47">
        <f>SUM($C$11:C65)</f>
        <v>6.7901234567901181</v>
      </c>
      <c r="F65" s="47">
        <f>SUM($D$11:D65)</f>
        <v>9</v>
      </c>
      <c r="G65" s="49">
        <f>IF(COUNT($D$11:D65)=0,"",F65/E65)</f>
        <v>1.3254545454545466</v>
      </c>
      <c r="H65" s="50" t="str">
        <f t="shared" si="11"/>
        <v>En meta</v>
      </c>
      <c r="I65" s="51"/>
      <c r="J65" s="52" t="str">
        <f t="shared" si="12"/>
        <v/>
      </c>
      <c r="K65" s="51"/>
      <c r="L65" s="52" t="str">
        <f t="shared" si="13"/>
        <v/>
      </c>
      <c r="M65" s="51"/>
      <c r="N65" s="52" t="str">
        <f t="shared" si="14"/>
        <v/>
      </c>
      <c r="O65" s="51"/>
      <c r="P65" s="52" t="str">
        <f t="shared" si="15"/>
        <v/>
      </c>
      <c r="Q65" s="51"/>
      <c r="R65" s="52" t="str">
        <f t="shared" si="16"/>
        <v/>
      </c>
      <c r="S65" s="51"/>
      <c r="T65" s="52" t="str">
        <f t="shared" si="17"/>
        <v/>
      </c>
      <c r="U65" s="53"/>
      <c r="V65" s="52" t="str">
        <f t="shared" si="18"/>
        <v/>
      </c>
      <c r="W65" s="51"/>
      <c r="X65" s="52" t="str">
        <f t="shared" si="19"/>
        <v/>
      </c>
    </row>
    <row r="66" spans="1:24" x14ac:dyDescent="0.35">
      <c r="A66" s="27">
        <v>56</v>
      </c>
      <c r="B66" s="54">
        <v>46573</v>
      </c>
      <c r="C66" s="55">
        <f t="shared" si="10"/>
        <v>0.12345679012345678</v>
      </c>
      <c r="D66" s="48"/>
      <c r="E66" s="55">
        <f>SUM($C$11:C66)</f>
        <v>6.9135802469135745</v>
      </c>
      <c r="F66" s="55">
        <f>SUM($D$11:D66)</f>
        <v>9</v>
      </c>
      <c r="G66" s="56">
        <f>IF(COUNT($D$11:D66)=0,"",F66/E66)</f>
        <v>1.3017857142857154</v>
      </c>
      <c r="H66" s="57" t="str">
        <f t="shared" si="11"/>
        <v>En meta</v>
      </c>
      <c r="I66" s="51"/>
      <c r="J66" s="58" t="str">
        <f t="shared" si="12"/>
        <v/>
      </c>
      <c r="K66" s="51"/>
      <c r="L66" s="58" t="str">
        <f t="shared" si="13"/>
        <v/>
      </c>
      <c r="M66" s="51"/>
      <c r="N66" s="58" t="str">
        <f t="shared" si="14"/>
        <v/>
      </c>
      <c r="O66" s="51"/>
      <c r="P66" s="58" t="str">
        <f t="shared" si="15"/>
        <v/>
      </c>
      <c r="Q66" s="51"/>
      <c r="R66" s="58" t="str">
        <f t="shared" si="16"/>
        <v/>
      </c>
      <c r="S66" s="51"/>
      <c r="T66" s="58" t="str">
        <f t="shared" si="17"/>
        <v/>
      </c>
      <c r="U66" s="53"/>
      <c r="V66" s="58" t="str">
        <f t="shared" si="18"/>
        <v/>
      </c>
      <c r="W66" s="51"/>
      <c r="X66" s="58" t="str">
        <f t="shared" si="19"/>
        <v/>
      </c>
    </row>
    <row r="67" spans="1:24" x14ac:dyDescent="0.35">
      <c r="A67" s="20">
        <v>57</v>
      </c>
      <c r="B67" s="46">
        <v>46580</v>
      </c>
      <c r="C67" s="47">
        <f t="shared" si="10"/>
        <v>0.12345679012345678</v>
      </c>
      <c r="D67" s="48"/>
      <c r="E67" s="47">
        <f>SUM($C$11:C67)</f>
        <v>7.037037037037031</v>
      </c>
      <c r="F67" s="47">
        <f>SUM($D$11:D67)</f>
        <v>9</v>
      </c>
      <c r="G67" s="49">
        <f>IF(COUNT($D$11:D67)=0,"",F67/E67)</f>
        <v>1.2789473684210537</v>
      </c>
      <c r="H67" s="50" t="str">
        <f t="shared" si="11"/>
        <v>En meta</v>
      </c>
      <c r="I67" s="51"/>
      <c r="J67" s="52" t="str">
        <f t="shared" si="12"/>
        <v/>
      </c>
      <c r="K67" s="51"/>
      <c r="L67" s="52" t="str">
        <f t="shared" si="13"/>
        <v/>
      </c>
      <c r="M67" s="51"/>
      <c r="N67" s="52" t="str">
        <f t="shared" si="14"/>
        <v/>
      </c>
      <c r="O67" s="51"/>
      <c r="P67" s="52" t="str">
        <f t="shared" si="15"/>
        <v/>
      </c>
      <c r="Q67" s="51"/>
      <c r="R67" s="52" t="str">
        <f t="shared" si="16"/>
        <v/>
      </c>
      <c r="S67" s="51"/>
      <c r="T67" s="52" t="str">
        <f t="shared" si="17"/>
        <v/>
      </c>
      <c r="U67" s="53"/>
      <c r="V67" s="52" t="str">
        <f t="shared" si="18"/>
        <v/>
      </c>
      <c r="W67" s="51"/>
      <c r="X67" s="52" t="str">
        <f t="shared" si="19"/>
        <v/>
      </c>
    </row>
    <row r="68" spans="1:24" x14ac:dyDescent="0.35">
      <c r="A68" s="27">
        <v>58</v>
      </c>
      <c r="B68" s="54">
        <v>46587</v>
      </c>
      <c r="C68" s="55">
        <f t="shared" si="10"/>
        <v>0.12345679012345678</v>
      </c>
      <c r="D68" s="48"/>
      <c r="E68" s="55">
        <f>SUM($C$11:C68)</f>
        <v>7.1604938271604874</v>
      </c>
      <c r="F68" s="55">
        <f>SUM($D$11:D68)</f>
        <v>9</v>
      </c>
      <c r="G68" s="56">
        <f>IF(COUNT($D$11:D68)=0,"",F68/E68)</f>
        <v>1.2568965517241391</v>
      </c>
      <c r="H68" s="57" t="str">
        <f t="shared" si="11"/>
        <v>En meta</v>
      </c>
      <c r="I68" s="51"/>
      <c r="J68" s="58" t="str">
        <f t="shared" si="12"/>
        <v/>
      </c>
      <c r="K68" s="51"/>
      <c r="L68" s="58" t="str">
        <f t="shared" si="13"/>
        <v/>
      </c>
      <c r="M68" s="51"/>
      <c r="N68" s="58" t="str">
        <f t="shared" si="14"/>
        <v/>
      </c>
      <c r="O68" s="51"/>
      <c r="P68" s="58" t="str">
        <f t="shared" si="15"/>
        <v/>
      </c>
      <c r="Q68" s="51"/>
      <c r="R68" s="58" t="str">
        <f t="shared" si="16"/>
        <v/>
      </c>
      <c r="S68" s="51"/>
      <c r="T68" s="58" t="str">
        <f t="shared" si="17"/>
        <v/>
      </c>
      <c r="U68" s="53"/>
      <c r="V68" s="58" t="str">
        <f t="shared" si="18"/>
        <v/>
      </c>
      <c r="W68" s="51"/>
      <c r="X68" s="58" t="str">
        <f t="shared" si="19"/>
        <v/>
      </c>
    </row>
    <row r="69" spans="1:24" x14ac:dyDescent="0.35">
      <c r="A69" s="20">
        <v>59</v>
      </c>
      <c r="B69" s="46">
        <v>46594</v>
      </c>
      <c r="C69" s="47">
        <f t="shared" si="10"/>
        <v>0.12345679012345678</v>
      </c>
      <c r="D69" s="48"/>
      <c r="E69" s="47">
        <f>SUM($C$11:C69)</f>
        <v>7.2839506172839439</v>
      </c>
      <c r="F69" s="47">
        <f>SUM($D$11:D69)</f>
        <v>9</v>
      </c>
      <c r="G69" s="49">
        <f>IF(COUNT($D$11:D69)=0,"",F69/E69)</f>
        <v>1.2355932203389841</v>
      </c>
      <c r="H69" s="50" t="str">
        <f t="shared" si="11"/>
        <v>En meta</v>
      </c>
      <c r="I69" s="51"/>
      <c r="J69" s="52" t="str">
        <f t="shared" si="12"/>
        <v/>
      </c>
      <c r="K69" s="51"/>
      <c r="L69" s="52" t="str">
        <f t="shared" si="13"/>
        <v/>
      </c>
      <c r="M69" s="51"/>
      <c r="N69" s="52" t="str">
        <f t="shared" si="14"/>
        <v/>
      </c>
      <c r="O69" s="51"/>
      <c r="P69" s="52" t="str">
        <f t="shared" si="15"/>
        <v/>
      </c>
      <c r="Q69" s="51"/>
      <c r="R69" s="52" t="str">
        <f t="shared" si="16"/>
        <v/>
      </c>
      <c r="S69" s="51"/>
      <c r="T69" s="52" t="str">
        <f t="shared" si="17"/>
        <v/>
      </c>
      <c r="U69" s="53"/>
      <c r="V69" s="52" t="str">
        <f t="shared" si="18"/>
        <v/>
      </c>
      <c r="W69" s="51"/>
      <c r="X69" s="52" t="str">
        <f t="shared" si="19"/>
        <v/>
      </c>
    </row>
    <row r="70" spans="1:24" x14ac:dyDescent="0.35">
      <c r="A70" s="27">
        <v>60</v>
      </c>
      <c r="B70" s="54">
        <v>46601</v>
      </c>
      <c r="C70" s="55">
        <f t="shared" si="10"/>
        <v>0.12345679012345678</v>
      </c>
      <c r="D70" s="48"/>
      <c r="E70" s="55">
        <f>SUM($C$11:C70)</f>
        <v>7.4074074074074003</v>
      </c>
      <c r="F70" s="55">
        <f>SUM($D$11:D70)</f>
        <v>9</v>
      </c>
      <c r="G70" s="56">
        <f>IF(COUNT($D$11:D70)=0,"",F70/E70)</f>
        <v>1.2150000000000012</v>
      </c>
      <c r="H70" s="57" t="str">
        <f t="shared" si="11"/>
        <v>En meta</v>
      </c>
      <c r="I70" s="51"/>
      <c r="J70" s="58" t="str">
        <f t="shared" si="12"/>
        <v/>
      </c>
      <c r="K70" s="51"/>
      <c r="L70" s="58" t="str">
        <f t="shared" si="13"/>
        <v/>
      </c>
      <c r="M70" s="51"/>
      <c r="N70" s="58" t="str">
        <f t="shared" si="14"/>
        <v/>
      </c>
      <c r="O70" s="51"/>
      <c r="P70" s="58" t="str">
        <f t="shared" si="15"/>
        <v/>
      </c>
      <c r="Q70" s="51"/>
      <c r="R70" s="58" t="str">
        <f t="shared" si="16"/>
        <v/>
      </c>
      <c r="S70" s="51"/>
      <c r="T70" s="58" t="str">
        <f t="shared" si="17"/>
        <v/>
      </c>
      <c r="U70" s="53"/>
      <c r="V70" s="58" t="str">
        <f t="shared" si="18"/>
        <v/>
      </c>
      <c r="W70" s="51"/>
      <c r="X70" s="58" t="str">
        <f t="shared" si="19"/>
        <v/>
      </c>
    </row>
    <row r="71" spans="1:24" x14ac:dyDescent="0.35">
      <c r="A71" s="20">
        <v>61</v>
      </c>
      <c r="B71" s="46">
        <v>46608</v>
      </c>
      <c r="C71" s="47">
        <f t="shared" si="10"/>
        <v>0.12345679012345678</v>
      </c>
      <c r="D71" s="48"/>
      <c r="E71" s="47">
        <f>SUM($C$11:C71)</f>
        <v>7.5308641975308568</v>
      </c>
      <c r="F71" s="47">
        <f>SUM($D$11:D71)</f>
        <v>9</v>
      </c>
      <c r="G71" s="49">
        <f>IF(COUNT($D$11:D71)=0,"",F71/E71)</f>
        <v>1.1950819672131159</v>
      </c>
      <c r="H71" s="50" t="str">
        <f t="shared" si="11"/>
        <v>En meta</v>
      </c>
      <c r="I71" s="51"/>
      <c r="J71" s="52" t="str">
        <f t="shared" si="12"/>
        <v/>
      </c>
      <c r="K71" s="51"/>
      <c r="L71" s="52" t="str">
        <f t="shared" si="13"/>
        <v/>
      </c>
      <c r="M71" s="51"/>
      <c r="N71" s="52" t="str">
        <f t="shared" si="14"/>
        <v/>
      </c>
      <c r="O71" s="51"/>
      <c r="P71" s="52" t="str">
        <f t="shared" si="15"/>
        <v/>
      </c>
      <c r="Q71" s="51"/>
      <c r="R71" s="52" t="str">
        <f t="shared" si="16"/>
        <v/>
      </c>
      <c r="S71" s="51"/>
      <c r="T71" s="52" t="str">
        <f t="shared" si="17"/>
        <v/>
      </c>
      <c r="U71" s="53"/>
      <c r="V71" s="52" t="str">
        <f t="shared" si="18"/>
        <v/>
      </c>
      <c r="W71" s="51"/>
      <c r="X71" s="52" t="str">
        <f t="shared" si="19"/>
        <v/>
      </c>
    </row>
    <row r="72" spans="1:24" x14ac:dyDescent="0.35">
      <c r="A72" s="27">
        <v>62</v>
      </c>
      <c r="B72" s="54">
        <v>46615</v>
      </c>
      <c r="C72" s="55">
        <f t="shared" si="10"/>
        <v>0.12345679012345678</v>
      </c>
      <c r="D72" s="48"/>
      <c r="E72" s="55">
        <f>SUM($C$11:C72)</f>
        <v>7.6543209876543132</v>
      </c>
      <c r="F72" s="55">
        <f>SUM($D$11:D72)</f>
        <v>9</v>
      </c>
      <c r="G72" s="56">
        <f>IF(COUNT($D$11:D72)=0,"",F72/E72)</f>
        <v>1.1758064516129043</v>
      </c>
      <c r="H72" s="57" t="str">
        <f t="shared" si="11"/>
        <v>En meta</v>
      </c>
      <c r="I72" s="51"/>
      <c r="J72" s="58" t="str">
        <f t="shared" si="12"/>
        <v/>
      </c>
      <c r="K72" s="51"/>
      <c r="L72" s="58" t="str">
        <f t="shared" si="13"/>
        <v/>
      </c>
      <c r="M72" s="51"/>
      <c r="N72" s="58" t="str">
        <f t="shared" si="14"/>
        <v/>
      </c>
      <c r="O72" s="51"/>
      <c r="P72" s="58" t="str">
        <f t="shared" si="15"/>
        <v/>
      </c>
      <c r="Q72" s="51"/>
      <c r="R72" s="58" t="str">
        <f t="shared" si="16"/>
        <v/>
      </c>
      <c r="S72" s="51"/>
      <c r="T72" s="58" t="str">
        <f t="shared" si="17"/>
        <v/>
      </c>
      <c r="U72" s="53"/>
      <c r="V72" s="58" t="str">
        <f t="shared" si="18"/>
        <v/>
      </c>
      <c r="W72" s="51"/>
      <c r="X72" s="58" t="str">
        <f t="shared" si="19"/>
        <v/>
      </c>
    </row>
    <row r="73" spans="1:24" x14ac:dyDescent="0.35">
      <c r="A73" s="20">
        <v>63</v>
      </c>
      <c r="B73" s="46">
        <v>46622</v>
      </c>
      <c r="C73" s="47">
        <f t="shared" si="10"/>
        <v>0.12345679012345678</v>
      </c>
      <c r="D73" s="48"/>
      <c r="E73" s="47">
        <f>SUM($C$11:C73)</f>
        <v>7.7777777777777697</v>
      </c>
      <c r="F73" s="47">
        <f>SUM($D$11:D73)</f>
        <v>9</v>
      </c>
      <c r="G73" s="49">
        <f>IF(COUNT($D$11:D73)=0,"",F73/E73)</f>
        <v>1.1571428571428584</v>
      </c>
      <c r="H73" s="50" t="str">
        <f t="shared" si="11"/>
        <v>En meta</v>
      </c>
      <c r="I73" s="51"/>
      <c r="J73" s="52" t="str">
        <f t="shared" si="12"/>
        <v/>
      </c>
      <c r="K73" s="51"/>
      <c r="L73" s="52" t="str">
        <f t="shared" si="13"/>
        <v/>
      </c>
      <c r="M73" s="51"/>
      <c r="N73" s="52" t="str">
        <f t="shared" si="14"/>
        <v/>
      </c>
      <c r="O73" s="51"/>
      <c r="P73" s="52" t="str">
        <f t="shared" si="15"/>
        <v/>
      </c>
      <c r="Q73" s="51"/>
      <c r="R73" s="52" t="str">
        <f t="shared" si="16"/>
        <v/>
      </c>
      <c r="S73" s="51"/>
      <c r="T73" s="52" t="str">
        <f t="shared" si="17"/>
        <v/>
      </c>
      <c r="U73" s="53"/>
      <c r="V73" s="52" t="str">
        <f t="shared" si="18"/>
        <v/>
      </c>
      <c r="W73" s="51"/>
      <c r="X73" s="52" t="str">
        <f t="shared" si="19"/>
        <v/>
      </c>
    </row>
    <row r="74" spans="1:24" x14ac:dyDescent="0.35">
      <c r="A74" s="27">
        <v>64</v>
      </c>
      <c r="B74" s="54">
        <v>46629</v>
      </c>
      <c r="C74" s="55">
        <f t="shared" si="10"/>
        <v>0.12345679012345678</v>
      </c>
      <c r="D74" s="48"/>
      <c r="E74" s="55">
        <f>SUM($C$11:C74)</f>
        <v>7.9012345679012261</v>
      </c>
      <c r="F74" s="55">
        <f>SUM($D$11:D74)</f>
        <v>9</v>
      </c>
      <c r="G74" s="56">
        <f>IF(COUNT($D$11:D74)=0,"",F74/E74)</f>
        <v>1.1390625000000012</v>
      </c>
      <c r="H74" s="57" t="str">
        <f t="shared" si="11"/>
        <v>En meta</v>
      </c>
      <c r="I74" s="51"/>
      <c r="J74" s="58" t="str">
        <f t="shared" si="12"/>
        <v/>
      </c>
      <c r="K74" s="51"/>
      <c r="L74" s="58" t="str">
        <f t="shared" si="13"/>
        <v/>
      </c>
      <c r="M74" s="51"/>
      <c r="N74" s="58" t="str">
        <f t="shared" si="14"/>
        <v/>
      </c>
      <c r="O74" s="51"/>
      <c r="P74" s="58" t="str">
        <f t="shared" si="15"/>
        <v/>
      </c>
      <c r="Q74" s="51"/>
      <c r="R74" s="58" t="str">
        <f t="shared" si="16"/>
        <v/>
      </c>
      <c r="S74" s="51"/>
      <c r="T74" s="58" t="str">
        <f t="shared" si="17"/>
        <v/>
      </c>
      <c r="U74" s="53"/>
      <c r="V74" s="58" t="str">
        <f t="shared" si="18"/>
        <v/>
      </c>
      <c r="W74" s="51"/>
      <c r="X74" s="58" t="str">
        <f t="shared" si="19"/>
        <v/>
      </c>
    </row>
    <row r="75" spans="1:24" x14ac:dyDescent="0.35">
      <c r="A75" s="20">
        <v>65</v>
      </c>
      <c r="B75" s="46">
        <v>46636</v>
      </c>
      <c r="C75" s="47">
        <f t="shared" ref="C75:C91" si="20">$B$5/$B$8</f>
        <v>0.12345679012345678</v>
      </c>
      <c r="D75" s="48"/>
      <c r="E75" s="47">
        <f>SUM($C$11:C75)</f>
        <v>8.0246913580246826</v>
      </c>
      <c r="F75" s="47">
        <f>SUM($D$11:D75)</f>
        <v>9</v>
      </c>
      <c r="G75" s="49">
        <f>IF(COUNT($D$11:D75)=0,"",F75/E75)</f>
        <v>1.1215384615384627</v>
      </c>
      <c r="H75" s="50" t="str">
        <f t="shared" ref="H75:H106" si="21">IF(G75="","",IF(G75&gt;=0.95,"En meta",IF(G75&gt;=0.8,"Riesgo","Atrasado")))</f>
        <v>En meta</v>
      </c>
      <c r="I75" s="51"/>
      <c r="J75" s="52" t="str">
        <f t="shared" ref="J75:J106" si="22">IF(I75="","",IF($I$9="","",IF($I$9=0,"",I75/$I$9)))</f>
        <v/>
      </c>
      <c r="K75" s="51"/>
      <c r="L75" s="52" t="str">
        <f t="shared" ref="L75:L106" si="23">IF(K75="","",IF($K$9="","",IF($K$9=0,"",K75/$K$9)))</f>
        <v/>
      </c>
      <c r="M75" s="51"/>
      <c r="N75" s="52" t="str">
        <f t="shared" ref="N75:N106" si="24">IF(M75="","",IF($M$9="","",IF($M$9=0,"",M75/$M$9)))</f>
        <v/>
      </c>
      <c r="O75" s="51"/>
      <c r="P75" s="52" t="str">
        <f t="shared" ref="P75:P106" si="25">IF(O75="","",IF($O$9="","",IF($O$9=0,"",O75/$O$9)))</f>
        <v/>
      </c>
      <c r="Q75" s="51"/>
      <c r="R75" s="52" t="str">
        <f t="shared" ref="R75:R106" si="26">IF(Q75="","",IF($Q$9="","",IF($Q$9=0,"",Q75/$Q$9)))</f>
        <v/>
      </c>
      <c r="S75" s="51"/>
      <c r="T75" s="52" t="str">
        <f t="shared" ref="T75:T106" si="27">IF(S75="","",IF($S$9="","",IF($S$9=0,"",S75/$S$9)))</f>
        <v/>
      </c>
      <c r="U75" s="53"/>
      <c r="V75" s="52" t="str">
        <f t="shared" ref="V75:V106" si="28">IF(U75="","",IF($U$9="","",IF($U$9=0,"",U75/$U$9)))</f>
        <v/>
      </c>
      <c r="W75" s="51"/>
      <c r="X75" s="52" t="str">
        <f t="shared" ref="X75:X106" si="29">IF(W75="","",IF($W$9="","",IF($W$9=0,"",W75/$W$9)))</f>
        <v/>
      </c>
    </row>
    <row r="76" spans="1:24" x14ac:dyDescent="0.35">
      <c r="A76" s="27">
        <v>66</v>
      </c>
      <c r="B76" s="54">
        <v>46643</v>
      </c>
      <c r="C76" s="55">
        <f t="shared" si="20"/>
        <v>0.12345679012345678</v>
      </c>
      <c r="D76" s="48"/>
      <c r="E76" s="55">
        <f>SUM($C$11:C76)</f>
        <v>8.1481481481481399</v>
      </c>
      <c r="F76" s="55">
        <f>SUM($D$11:D76)</f>
        <v>9</v>
      </c>
      <c r="G76" s="56">
        <f>IF(COUNT($D$11:D76)=0,"",F76/E76)</f>
        <v>1.1045454545454556</v>
      </c>
      <c r="H76" s="57" t="str">
        <f t="shared" si="21"/>
        <v>En meta</v>
      </c>
      <c r="I76" s="51"/>
      <c r="J76" s="58" t="str">
        <f t="shared" si="22"/>
        <v/>
      </c>
      <c r="K76" s="51"/>
      <c r="L76" s="58" t="str">
        <f t="shared" si="23"/>
        <v/>
      </c>
      <c r="M76" s="51"/>
      <c r="N76" s="58" t="str">
        <f t="shared" si="24"/>
        <v/>
      </c>
      <c r="O76" s="51"/>
      <c r="P76" s="58" t="str">
        <f t="shared" si="25"/>
        <v/>
      </c>
      <c r="Q76" s="51"/>
      <c r="R76" s="58" t="str">
        <f t="shared" si="26"/>
        <v/>
      </c>
      <c r="S76" s="51"/>
      <c r="T76" s="58" t="str">
        <f t="shared" si="27"/>
        <v/>
      </c>
      <c r="U76" s="53"/>
      <c r="V76" s="58" t="str">
        <f t="shared" si="28"/>
        <v/>
      </c>
      <c r="W76" s="51"/>
      <c r="X76" s="58" t="str">
        <f t="shared" si="29"/>
        <v/>
      </c>
    </row>
    <row r="77" spans="1:24" x14ac:dyDescent="0.35">
      <c r="A77" s="20">
        <v>67</v>
      </c>
      <c r="B77" s="46">
        <v>46650</v>
      </c>
      <c r="C77" s="47">
        <f t="shared" si="20"/>
        <v>0.12345679012345678</v>
      </c>
      <c r="D77" s="48"/>
      <c r="E77" s="47">
        <f>SUM($C$11:C77)</f>
        <v>8.2716049382715973</v>
      </c>
      <c r="F77" s="47">
        <f>SUM($D$11:D77)</f>
        <v>9</v>
      </c>
      <c r="G77" s="49">
        <f>IF(COUNT($D$11:D77)=0,"",F77/E77)</f>
        <v>1.0880597014925384</v>
      </c>
      <c r="H77" s="50" t="str">
        <f t="shared" si="21"/>
        <v>En meta</v>
      </c>
      <c r="I77" s="51"/>
      <c r="J77" s="52" t="str">
        <f t="shared" si="22"/>
        <v/>
      </c>
      <c r="K77" s="51"/>
      <c r="L77" s="52" t="str">
        <f t="shared" si="23"/>
        <v/>
      </c>
      <c r="M77" s="51"/>
      <c r="N77" s="52" t="str">
        <f t="shared" si="24"/>
        <v/>
      </c>
      <c r="O77" s="51"/>
      <c r="P77" s="52" t="str">
        <f t="shared" si="25"/>
        <v/>
      </c>
      <c r="Q77" s="51"/>
      <c r="R77" s="52" t="str">
        <f t="shared" si="26"/>
        <v/>
      </c>
      <c r="S77" s="51"/>
      <c r="T77" s="52" t="str">
        <f t="shared" si="27"/>
        <v/>
      </c>
      <c r="U77" s="53"/>
      <c r="V77" s="52" t="str">
        <f t="shared" si="28"/>
        <v/>
      </c>
      <c r="W77" s="51"/>
      <c r="X77" s="52" t="str">
        <f t="shared" si="29"/>
        <v/>
      </c>
    </row>
    <row r="78" spans="1:24" x14ac:dyDescent="0.35">
      <c r="A78" s="27">
        <v>68</v>
      </c>
      <c r="B78" s="54">
        <v>46657</v>
      </c>
      <c r="C78" s="55">
        <f t="shared" si="20"/>
        <v>0.12345679012345678</v>
      </c>
      <c r="D78" s="48"/>
      <c r="E78" s="55">
        <f>SUM($C$11:C78)</f>
        <v>8.3950617283950546</v>
      </c>
      <c r="F78" s="55">
        <f>SUM($D$11:D78)</f>
        <v>9</v>
      </c>
      <c r="G78" s="56">
        <f>IF(COUNT($D$11:D78)=0,"",F78/E78)</f>
        <v>1.0720588235294126</v>
      </c>
      <c r="H78" s="57" t="str">
        <f t="shared" si="21"/>
        <v>En meta</v>
      </c>
      <c r="I78" s="51"/>
      <c r="J78" s="58" t="str">
        <f t="shared" si="22"/>
        <v/>
      </c>
      <c r="K78" s="51"/>
      <c r="L78" s="58" t="str">
        <f t="shared" si="23"/>
        <v/>
      </c>
      <c r="M78" s="51"/>
      <c r="N78" s="58" t="str">
        <f t="shared" si="24"/>
        <v/>
      </c>
      <c r="O78" s="51"/>
      <c r="P78" s="58" t="str">
        <f t="shared" si="25"/>
        <v/>
      </c>
      <c r="Q78" s="51"/>
      <c r="R78" s="58" t="str">
        <f t="shared" si="26"/>
        <v/>
      </c>
      <c r="S78" s="51"/>
      <c r="T78" s="58" t="str">
        <f t="shared" si="27"/>
        <v/>
      </c>
      <c r="U78" s="53"/>
      <c r="V78" s="58" t="str">
        <f t="shared" si="28"/>
        <v/>
      </c>
      <c r="W78" s="51"/>
      <c r="X78" s="58" t="str">
        <f t="shared" si="29"/>
        <v/>
      </c>
    </row>
    <row r="79" spans="1:24" x14ac:dyDescent="0.35">
      <c r="A79" s="20">
        <v>69</v>
      </c>
      <c r="B79" s="46">
        <v>46664</v>
      </c>
      <c r="C79" s="47">
        <f t="shared" si="20"/>
        <v>0.12345679012345678</v>
      </c>
      <c r="D79" s="48"/>
      <c r="E79" s="47">
        <f>SUM($C$11:C79)</f>
        <v>8.5185185185185119</v>
      </c>
      <c r="F79" s="47">
        <f>SUM($D$11:D79)</f>
        <v>9</v>
      </c>
      <c r="G79" s="49">
        <f>IF(COUNT($D$11:D79)=0,"",F79/E79)</f>
        <v>1.0565217391304356</v>
      </c>
      <c r="H79" s="50" t="str">
        <f t="shared" si="21"/>
        <v>En meta</v>
      </c>
      <c r="I79" s="51"/>
      <c r="J79" s="52" t="str">
        <f t="shared" si="22"/>
        <v/>
      </c>
      <c r="K79" s="51"/>
      <c r="L79" s="52" t="str">
        <f t="shared" si="23"/>
        <v/>
      </c>
      <c r="M79" s="51"/>
      <c r="N79" s="52" t="str">
        <f t="shared" si="24"/>
        <v/>
      </c>
      <c r="O79" s="51"/>
      <c r="P79" s="52" t="str">
        <f t="shared" si="25"/>
        <v/>
      </c>
      <c r="Q79" s="51"/>
      <c r="R79" s="52" t="str">
        <f t="shared" si="26"/>
        <v/>
      </c>
      <c r="S79" s="51"/>
      <c r="T79" s="52" t="str">
        <f t="shared" si="27"/>
        <v/>
      </c>
      <c r="U79" s="53"/>
      <c r="V79" s="52" t="str">
        <f t="shared" si="28"/>
        <v/>
      </c>
      <c r="W79" s="51"/>
      <c r="X79" s="52" t="str">
        <f t="shared" si="29"/>
        <v/>
      </c>
    </row>
    <row r="80" spans="1:24" x14ac:dyDescent="0.35">
      <c r="A80" s="27">
        <v>70</v>
      </c>
      <c r="B80" s="54">
        <v>46671</v>
      </c>
      <c r="C80" s="55">
        <f t="shared" si="20"/>
        <v>0.12345679012345678</v>
      </c>
      <c r="D80" s="48"/>
      <c r="E80" s="55">
        <f>SUM($C$11:C80)</f>
        <v>8.6419753086419693</v>
      </c>
      <c r="F80" s="55">
        <f>SUM($D$11:D80)</f>
        <v>9</v>
      </c>
      <c r="G80" s="56">
        <f>IF(COUNT($D$11:D80)=0,"",F80/E80)</f>
        <v>1.0414285714285723</v>
      </c>
      <c r="H80" s="57" t="str">
        <f t="shared" si="21"/>
        <v>En meta</v>
      </c>
      <c r="I80" s="51"/>
      <c r="J80" s="58" t="str">
        <f t="shared" si="22"/>
        <v/>
      </c>
      <c r="K80" s="51"/>
      <c r="L80" s="58" t="str">
        <f t="shared" si="23"/>
        <v/>
      </c>
      <c r="M80" s="51"/>
      <c r="N80" s="58" t="str">
        <f t="shared" si="24"/>
        <v/>
      </c>
      <c r="O80" s="51"/>
      <c r="P80" s="58" t="str">
        <f t="shared" si="25"/>
        <v/>
      </c>
      <c r="Q80" s="51"/>
      <c r="R80" s="58" t="str">
        <f t="shared" si="26"/>
        <v/>
      </c>
      <c r="S80" s="51"/>
      <c r="T80" s="58" t="str">
        <f t="shared" si="27"/>
        <v/>
      </c>
      <c r="U80" s="53"/>
      <c r="V80" s="58" t="str">
        <f t="shared" si="28"/>
        <v/>
      </c>
      <c r="W80" s="51"/>
      <c r="X80" s="58" t="str">
        <f t="shared" si="29"/>
        <v/>
      </c>
    </row>
    <row r="81" spans="1:24" x14ac:dyDescent="0.35">
      <c r="A81" s="20">
        <v>71</v>
      </c>
      <c r="B81" s="46">
        <v>46678</v>
      </c>
      <c r="C81" s="47">
        <f t="shared" si="20"/>
        <v>0.12345679012345678</v>
      </c>
      <c r="D81" s="48"/>
      <c r="E81" s="47">
        <f>SUM($C$11:C81)</f>
        <v>8.7654320987654266</v>
      </c>
      <c r="F81" s="47">
        <f>SUM($D$11:D81)</f>
        <v>9</v>
      </c>
      <c r="G81" s="49">
        <f>IF(COUNT($D$11:D81)=0,"",F81/E81)</f>
        <v>1.0267605633802823</v>
      </c>
      <c r="H81" s="50" t="str">
        <f t="shared" si="21"/>
        <v>En meta</v>
      </c>
      <c r="I81" s="51"/>
      <c r="J81" s="52" t="str">
        <f t="shared" si="22"/>
        <v/>
      </c>
      <c r="K81" s="51"/>
      <c r="L81" s="52" t="str">
        <f t="shared" si="23"/>
        <v/>
      </c>
      <c r="M81" s="51"/>
      <c r="N81" s="52" t="str">
        <f t="shared" si="24"/>
        <v/>
      </c>
      <c r="O81" s="51"/>
      <c r="P81" s="52" t="str">
        <f t="shared" si="25"/>
        <v/>
      </c>
      <c r="Q81" s="51"/>
      <c r="R81" s="52" t="str">
        <f t="shared" si="26"/>
        <v/>
      </c>
      <c r="S81" s="51"/>
      <c r="T81" s="52" t="str">
        <f t="shared" si="27"/>
        <v/>
      </c>
      <c r="U81" s="53"/>
      <c r="V81" s="52" t="str">
        <f t="shared" si="28"/>
        <v/>
      </c>
      <c r="W81" s="51"/>
      <c r="X81" s="52" t="str">
        <f t="shared" si="29"/>
        <v/>
      </c>
    </row>
    <row r="82" spans="1:24" x14ac:dyDescent="0.35">
      <c r="A82" s="27">
        <v>72</v>
      </c>
      <c r="B82" s="54">
        <v>46685</v>
      </c>
      <c r="C82" s="55">
        <f t="shared" si="20"/>
        <v>0.12345679012345678</v>
      </c>
      <c r="D82" s="48"/>
      <c r="E82" s="55">
        <f>SUM($C$11:C82)</f>
        <v>8.888888888888884</v>
      </c>
      <c r="F82" s="55">
        <f>SUM($D$11:D82)</f>
        <v>9</v>
      </c>
      <c r="G82" s="56">
        <f>IF(COUNT($D$11:D82)=0,"",F82/E82)</f>
        <v>1.0125000000000006</v>
      </c>
      <c r="H82" s="57" t="str">
        <f t="shared" si="21"/>
        <v>En meta</v>
      </c>
      <c r="I82" s="51"/>
      <c r="J82" s="58" t="str">
        <f t="shared" si="22"/>
        <v/>
      </c>
      <c r="K82" s="51"/>
      <c r="L82" s="58" t="str">
        <f t="shared" si="23"/>
        <v/>
      </c>
      <c r="M82" s="51"/>
      <c r="N82" s="58" t="str">
        <f t="shared" si="24"/>
        <v/>
      </c>
      <c r="O82" s="51"/>
      <c r="P82" s="58" t="str">
        <f t="shared" si="25"/>
        <v/>
      </c>
      <c r="Q82" s="51"/>
      <c r="R82" s="58" t="str">
        <f t="shared" si="26"/>
        <v/>
      </c>
      <c r="S82" s="51"/>
      <c r="T82" s="58" t="str">
        <f t="shared" si="27"/>
        <v/>
      </c>
      <c r="U82" s="53"/>
      <c r="V82" s="58" t="str">
        <f t="shared" si="28"/>
        <v/>
      </c>
      <c r="W82" s="51"/>
      <c r="X82" s="58" t="str">
        <f t="shared" si="29"/>
        <v/>
      </c>
    </row>
    <row r="83" spans="1:24" x14ac:dyDescent="0.35">
      <c r="A83" s="20">
        <v>73</v>
      </c>
      <c r="B83" s="46">
        <v>46692</v>
      </c>
      <c r="C83" s="47">
        <f t="shared" si="20"/>
        <v>0.12345679012345678</v>
      </c>
      <c r="D83" s="48"/>
      <c r="E83" s="47">
        <f>SUM($C$11:C83)</f>
        <v>9.0123456790123413</v>
      </c>
      <c r="F83" s="47">
        <f>SUM($D$11:D83)</f>
        <v>9</v>
      </c>
      <c r="G83" s="49">
        <f>IF(COUNT($D$11:D83)=0,"",F83/E83)</f>
        <v>0.99863013698630188</v>
      </c>
      <c r="H83" s="50" t="str">
        <f t="shared" si="21"/>
        <v>En meta</v>
      </c>
      <c r="I83" s="51"/>
      <c r="J83" s="52" t="str">
        <f t="shared" si="22"/>
        <v/>
      </c>
      <c r="K83" s="51"/>
      <c r="L83" s="52" t="str">
        <f t="shared" si="23"/>
        <v/>
      </c>
      <c r="M83" s="51"/>
      <c r="N83" s="52" t="str">
        <f t="shared" si="24"/>
        <v/>
      </c>
      <c r="O83" s="51"/>
      <c r="P83" s="52" t="str">
        <f t="shared" si="25"/>
        <v/>
      </c>
      <c r="Q83" s="51"/>
      <c r="R83" s="52" t="str">
        <f t="shared" si="26"/>
        <v/>
      </c>
      <c r="S83" s="51"/>
      <c r="T83" s="52" t="str">
        <f t="shared" si="27"/>
        <v/>
      </c>
      <c r="U83" s="53"/>
      <c r="V83" s="52" t="str">
        <f t="shared" si="28"/>
        <v/>
      </c>
      <c r="W83" s="51"/>
      <c r="X83" s="52" t="str">
        <f t="shared" si="29"/>
        <v/>
      </c>
    </row>
    <row r="84" spans="1:24" x14ac:dyDescent="0.35">
      <c r="A84" s="27">
        <v>74</v>
      </c>
      <c r="B84" s="54">
        <v>46699</v>
      </c>
      <c r="C84" s="55">
        <f t="shared" si="20"/>
        <v>0.12345679012345678</v>
      </c>
      <c r="D84" s="48"/>
      <c r="E84" s="55">
        <f>SUM($C$11:C84)</f>
        <v>9.1358024691357986</v>
      </c>
      <c r="F84" s="55">
        <f>SUM($D$11:D84)</f>
        <v>9</v>
      </c>
      <c r="G84" s="56">
        <f>IF(COUNT($D$11:D84)=0,"",F84/E84)</f>
        <v>0.98513513513513551</v>
      </c>
      <c r="H84" s="57" t="str">
        <f t="shared" si="21"/>
        <v>En meta</v>
      </c>
      <c r="I84" s="51"/>
      <c r="J84" s="58" t="str">
        <f t="shared" si="22"/>
        <v/>
      </c>
      <c r="K84" s="51"/>
      <c r="L84" s="58" t="str">
        <f t="shared" si="23"/>
        <v/>
      </c>
      <c r="M84" s="51"/>
      <c r="N84" s="58" t="str">
        <f t="shared" si="24"/>
        <v/>
      </c>
      <c r="O84" s="51"/>
      <c r="P84" s="58" t="str">
        <f t="shared" si="25"/>
        <v/>
      </c>
      <c r="Q84" s="51"/>
      <c r="R84" s="58" t="str">
        <f t="shared" si="26"/>
        <v/>
      </c>
      <c r="S84" s="51"/>
      <c r="T84" s="58" t="str">
        <f t="shared" si="27"/>
        <v/>
      </c>
      <c r="U84" s="53"/>
      <c r="V84" s="58" t="str">
        <f t="shared" si="28"/>
        <v/>
      </c>
      <c r="W84" s="51"/>
      <c r="X84" s="58" t="str">
        <f t="shared" si="29"/>
        <v/>
      </c>
    </row>
    <row r="85" spans="1:24" x14ac:dyDescent="0.35">
      <c r="A85" s="20">
        <v>75</v>
      </c>
      <c r="B85" s="46">
        <v>46706</v>
      </c>
      <c r="C85" s="47">
        <f t="shared" si="20"/>
        <v>0.12345679012345678</v>
      </c>
      <c r="D85" s="48"/>
      <c r="E85" s="47">
        <f>SUM($C$11:C85)</f>
        <v>9.259259259259256</v>
      </c>
      <c r="F85" s="47">
        <f>SUM($D$11:D85)</f>
        <v>9</v>
      </c>
      <c r="G85" s="49">
        <f>IF(COUNT($D$11:D85)=0,"",F85/E85)</f>
        <v>0.97200000000000031</v>
      </c>
      <c r="H85" s="50" t="str">
        <f t="shared" si="21"/>
        <v>En meta</v>
      </c>
      <c r="I85" s="51"/>
      <c r="J85" s="52" t="str">
        <f t="shared" si="22"/>
        <v/>
      </c>
      <c r="K85" s="51"/>
      <c r="L85" s="52" t="str">
        <f t="shared" si="23"/>
        <v/>
      </c>
      <c r="M85" s="51"/>
      <c r="N85" s="52" t="str">
        <f t="shared" si="24"/>
        <v/>
      </c>
      <c r="O85" s="51"/>
      <c r="P85" s="52" t="str">
        <f t="shared" si="25"/>
        <v/>
      </c>
      <c r="Q85" s="51"/>
      <c r="R85" s="52" t="str">
        <f t="shared" si="26"/>
        <v/>
      </c>
      <c r="S85" s="51"/>
      <c r="T85" s="52" t="str">
        <f t="shared" si="27"/>
        <v/>
      </c>
      <c r="U85" s="53"/>
      <c r="V85" s="52" t="str">
        <f t="shared" si="28"/>
        <v/>
      </c>
      <c r="W85" s="51"/>
      <c r="X85" s="52" t="str">
        <f t="shared" si="29"/>
        <v/>
      </c>
    </row>
    <row r="86" spans="1:24" x14ac:dyDescent="0.35">
      <c r="A86" s="27">
        <v>76</v>
      </c>
      <c r="B86" s="54">
        <v>46713</v>
      </c>
      <c r="C86" s="55">
        <f t="shared" si="20"/>
        <v>0.12345679012345678</v>
      </c>
      <c r="D86" s="48"/>
      <c r="E86" s="55">
        <f>SUM($C$11:C86)</f>
        <v>9.3827160493827133</v>
      </c>
      <c r="F86" s="55">
        <f>SUM($D$11:D86)</f>
        <v>9</v>
      </c>
      <c r="G86" s="56">
        <f>IF(COUNT($D$11:D86)=0,"",F86/E86)</f>
        <v>0.95921052631578974</v>
      </c>
      <c r="H86" s="57" t="str">
        <f t="shared" si="21"/>
        <v>En meta</v>
      </c>
      <c r="I86" s="51"/>
      <c r="J86" s="58" t="str">
        <f t="shared" si="22"/>
        <v/>
      </c>
      <c r="K86" s="51"/>
      <c r="L86" s="58" t="str">
        <f t="shared" si="23"/>
        <v/>
      </c>
      <c r="M86" s="51"/>
      <c r="N86" s="58" t="str">
        <f t="shared" si="24"/>
        <v/>
      </c>
      <c r="O86" s="51"/>
      <c r="P86" s="58" t="str">
        <f t="shared" si="25"/>
        <v/>
      </c>
      <c r="Q86" s="51"/>
      <c r="R86" s="58" t="str">
        <f t="shared" si="26"/>
        <v/>
      </c>
      <c r="S86" s="51"/>
      <c r="T86" s="58" t="str">
        <f t="shared" si="27"/>
        <v/>
      </c>
      <c r="U86" s="53"/>
      <c r="V86" s="58" t="str">
        <f t="shared" si="28"/>
        <v/>
      </c>
      <c r="W86" s="51"/>
      <c r="X86" s="58" t="str">
        <f t="shared" si="29"/>
        <v/>
      </c>
    </row>
    <row r="87" spans="1:24" x14ac:dyDescent="0.35">
      <c r="A87" s="20">
        <v>77</v>
      </c>
      <c r="B87" s="46">
        <v>46720</v>
      </c>
      <c r="C87" s="47">
        <f t="shared" si="20"/>
        <v>0.12345679012345678</v>
      </c>
      <c r="D87" s="48"/>
      <c r="E87" s="47">
        <f>SUM($C$11:C87)</f>
        <v>9.5061728395061706</v>
      </c>
      <c r="F87" s="47">
        <f>SUM($D$11:D87)</f>
        <v>9</v>
      </c>
      <c r="G87" s="49">
        <f>IF(COUNT($D$11:D87)=0,"",F87/E87)</f>
        <v>0.94675324675324701</v>
      </c>
      <c r="H87" s="50" t="str">
        <f t="shared" si="21"/>
        <v>Riesgo</v>
      </c>
      <c r="I87" s="51"/>
      <c r="J87" s="52" t="str">
        <f t="shared" si="22"/>
        <v/>
      </c>
      <c r="K87" s="51"/>
      <c r="L87" s="52" t="str">
        <f t="shared" si="23"/>
        <v/>
      </c>
      <c r="M87" s="51"/>
      <c r="N87" s="52" t="str">
        <f t="shared" si="24"/>
        <v/>
      </c>
      <c r="O87" s="51"/>
      <c r="P87" s="52" t="str">
        <f t="shared" si="25"/>
        <v/>
      </c>
      <c r="Q87" s="51"/>
      <c r="R87" s="52" t="str">
        <f t="shared" si="26"/>
        <v/>
      </c>
      <c r="S87" s="51"/>
      <c r="T87" s="52" t="str">
        <f t="shared" si="27"/>
        <v/>
      </c>
      <c r="U87" s="53"/>
      <c r="V87" s="52" t="str">
        <f t="shared" si="28"/>
        <v/>
      </c>
      <c r="W87" s="51"/>
      <c r="X87" s="52" t="str">
        <f t="shared" si="29"/>
        <v/>
      </c>
    </row>
    <row r="88" spans="1:24" x14ac:dyDescent="0.35">
      <c r="A88" s="27">
        <v>78</v>
      </c>
      <c r="B88" s="54">
        <v>46727</v>
      </c>
      <c r="C88" s="55">
        <f t="shared" si="20"/>
        <v>0.12345679012345678</v>
      </c>
      <c r="D88" s="48"/>
      <c r="E88" s="55">
        <f>SUM($C$11:C88)</f>
        <v>9.629629629629628</v>
      </c>
      <c r="F88" s="55">
        <f>SUM($D$11:D88)</f>
        <v>9</v>
      </c>
      <c r="G88" s="56">
        <f>IF(COUNT($D$11:D88)=0,"",F88/E88)</f>
        <v>0.93461538461538474</v>
      </c>
      <c r="H88" s="57" t="str">
        <f t="shared" si="21"/>
        <v>Riesgo</v>
      </c>
      <c r="I88" s="51"/>
      <c r="J88" s="58" t="str">
        <f t="shared" si="22"/>
        <v/>
      </c>
      <c r="K88" s="51"/>
      <c r="L88" s="58" t="str">
        <f t="shared" si="23"/>
        <v/>
      </c>
      <c r="M88" s="51"/>
      <c r="N88" s="58" t="str">
        <f t="shared" si="24"/>
        <v/>
      </c>
      <c r="O88" s="51"/>
      <c r="P88" s="58" t="str">
        <f t="shared" si="25"/>
        <v/>
      </c>
      <c r="Q88" s="51"/>
      <c r="R88" s="58" t="str">
        <f t="shared" si="26"/>
        <v/>
      </c>
      <c r="S88" s="51"/>
      <c r="T88" s="58" t="str">
        <f t="shared" si="27"/>
        <v/>
      </c>
      <c r="U88" s="53"/>
      <c r="V88" s="58" t="str">
        <f t="shared" si="28"/>
        <v/>
      </c>
      <c r="W88" s="51"/>
      <c r="X88" s="58" t="str">
        <f t="shared" si="29"/>
        <v/>
      </c>
    </row>
    <row r="89" spans="1:24" x14ac:dyDescent="0.35">
      <c r="A89" s="20">
        <v>79</v>
      </c>
      <c r="B89" s="46">
        <v>46734</v>
      </c>
      <c r="C89" s="47">
        <f t="shared" si="20"/>
        <v>0.12345679012345678</v>
      </c>
      <c r="D89" s="48"/>
      <c r="E89" s="47">
        <f>SUM($C$11:C89)</f>
        <v>9.7530864197530853</v>
      </c>
      <c r="F89" s="47">
        <f>SUM($D$11:D89)</f>
        <v>9</v>
      </c>
      <c r="G89" s="49">
        <f>IF(COUNT($D$11:D89)=0,"",F89/E89)</f>
        <v>0.92278481012658242</v>
      </c>
      <c r="H89" s="50" t="str">
        <f t="shared" si="21"/>
        <v>Riesgo</v>
      </c>
      <c r="I89" s="51"/>
      <c r="J89" s="52" t="str">
        <f t="shared" si="22"/>
        <v/>
      </c>
      <c r="K89" s="51"/>
      <c r="L89" s="52" t="str">
        <f t="shared" si="23"/>
        <v/>
      </c>
      <c r="M89" s="51"/>
      <c r="N89" s="52" t="str">
        <f t="shared" si="24"/>
        <v/>
      </c>
      <c r="O89" s="51"/>
      <c r="P89" s="52" t="str">
        <f t="shared" si="25"/>
        <v/>
      </c>
      <c r="Q89" s="51"/>
      <c r="R89" s="52" t="str">
        <f t="shared" si="26"/>
        <v/>
      </c>
      <c r="S89" s="51"/>
      <c r="T89" s="52" t="str">
        <f t="shared" si="27"/>
        <v/>
      </c>
      <c r="U89" s="53"/>
      <c r="V89" s="52" t="str">
        <f t="shared" si="28"/>
        <v/>
      </c>
      <c r="W89" s="51"/>
      <c r="X89" s="52" t="str">
        <f t="shared" si="29"/>
        <v/>
      </c>
    </row>
    <row r="90" spans="1:24" x14ac:dyDescent="0.35">
      <c r="A90" s="27">
        <v>80</v>
      </c>
      <c r="B90" s="54">
        <v>46741</v>
      </c>
      <c r="C90" s="55">
        <f t="shared" si="20"/>
        <v>0.12345679012345678</v>
      </c>
      <c r="D90" s="48"/>
      <c r="E90" s="55">
        <f>SUM($C$11:C90)</f>
        <v>9.8765432098765427</v>
      </c>
      <c r="F90" s="55">
        <f>SUM($D$11:D90)</f>
        <v>9</v>
      </c>
      <c r="G90" s="56">
        <f>IF(COUNT($D$11:D90)=0,"",F90/E90)</f>
        <v>0.91125</v>
      </c>
      <c r="H90" s="57" t="str">
        <f t="shared" si="21"/>
        <v>Riesgo</v>
      </c>
      <c r="I90" s="51"/>
      <c r="J90" s="58" t="str">
        <f t="shared" si="22"/>
        <v/>
      </c>
      <c r="K90" s="51"/>
      <c r="L90" s="58" t="str">
        <f t="shared" si="23"/>
        <v/>
      </c>
      <c r="M90" s="51"/>
      <c r="N90" s="58" t="str">
        <f t="shared" si="24"/>
        <v/>
      </c>
      <c r="O90" s="51"/>
      <c r="P90" s="58" t="str">
        <f t="shared" si="25"/>
        <v/>
      </c>
      <c r="Q90" s="51"/>
      <c r="R90" s="58" t="str">
        <f t="shared" si="26"/>
        <v/>
      </c>
      <c r="S90" s="51"/>
      <c r="T90" s="58" t="str">
        <f t="shared" si="27"/>
        <v/>
      </c>
      <c r="U90" s="53"/>
      <c r="V90" s="58" t="str">
        <f t="shared" si="28"/>
        <v/>
      </c>
      <c r="W90" s="51"/>
      <c r="X90" s="58" t="str">
        <f t="shared" si="29"/>
        <v/>
      </c>
    </row>
    <row r="91" spans="1:24" x14ac:dyDescent="0.35">
      <c r="A91" s="20">
        <v>81</v>
      </c>
      <c r="B91" s="46">
        <v>46748</v>
      </c>
      <c r="C91" s="47">
        <f t="shared" si="20"/>
        <v>0.12345679012345678</v>
      </c>
      <c r="D91" s="48"/>
      <c r="E91" s="47">
        <f>SUM($C$11:C91)</f>
        <v>10</v>
      </c>
      <c r="F91" s="47">
        <f>SUM($D$11:D91)</f>
        <v>9</v>
      </c>
      <c r="G91" s="49">
        <f>IF(COUNT($D$11:D91)=0,"",F91/E91)</f>
        <v>0.9</v>
      </c>
      <c r="H91" s="50" t="str">
        <f t="shared" si="21"/>
        <v>Riesgo</v>
      </c>
      <c r="I91" s="51"/>
      <c r="J91" s="52" t="str">
        <f t="shared" si="22"/>
        <v/>
      </c>
      <c r="K91" s="51"/>
      <c r="L91" s="52" t="str">
        <f t="shared" si="23"/>
        <v/>
      </c>
      <c r="M91" s="51"/>
      <c r="N91" s="52" t="str">
        <f t="shared" si="24"/>
        <v/>
      </c>
      <c r="O91" s="51"/>
      <c r="P91" s="52" t="str">
        <f t="shared" si="25"/>
        <v/>
      </c>
      <c r="Q91" s="51"/>
      <c r="R91" s="52" t="str">
        <f t="shared" si="26"/>
        <v/>
      </c>
      <c r="S91" s="51"/>
      <c r="T91" s="52" t="str">
        <f t="shared" si="27"/>
        <v/>
      </c>
      <c r="U91" s="53"/>
      <c r="V91" s="52" t="str">
        <f t="shared" si="28"/>
        <v/>
      </c>
      <c r="W91" s="51"/>
      <c r="X91" s="52" t="str">
        <f t="shared" si="29"/>
        <v/>
      </c>
    </row>
  </sheetData>
  <mergeCells count="17">
    <mergeCell ref="S9:T9"/>
    <mergeCell ref="U9:V9"/>
    <mergeCell ref="W9:X9"/>
    <mergeCell ref="I9:J9"/>
    <mergeCell ref="K9:L9"/>
    <mergeCell ref="M9:N9"/>
    <mergeCell ref="O9:P9"/>
    <mergeCell ref="Q9:R9"/>
    <mergeCell ref="A1:X1"/>
    <mergeCell ref="I8:J8"/>
    <mergeCell ref="K8:L8"/>
    <mergeCell ref="M8:N8"/>
    <mergeCell ref="O8:P8"/>
    <mergeCell ref="Q8:R8"/>
    <mergeCell ref="S8:T8"/>
    <mergeCell ref="U8:V8"/>
    <mergeCell ref="W8:X8"/>
  </mergeCells>
  <conditionalFormatting sqref="H11:H91">
    <cfRule type="containsText" dxfId="20" priority="2" operator="containsText" text="En meta">
      <formula>NOT(ISERROR(SEARCH("En meta",H11)))</formula>
    </cfRule>
    <cfRule type="containsText" dxfId="19" priority="3" operator="containsText" text="Riesgo">
      <formula>NOT(ISERROR(SEARCH("Riesgo",H11)))</formula>
    </cfRule>
    <cfRule type="containsText" dxfId="18" priority="4" operator="containsText" text="Atrasado">
      <formula>NOT(ISERROR(SEARCH("Atrasado",H11)))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1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ColWidth="8.6328125" defaultRowHeight="14.5" x14ac:dyDescent="0.35"/>
  <cols>
    <col min="1" max="1" width="5" customWidth="1"/>
    <col min="2" max="2" width="11" customWidth="1"/>
    <col min="3" max="3" width="12" customWidth="1"/>
    <col min="4" max="4" width="11" customWidth="1"/>
    <col min="5" max="6" width="12" customWidth="1"/>
    <col min="7" max="7" width="13" customWidth="1"/>
    <col min="8" max="9" width="11" customWidth="1"/>
    <col min="10" max="10" width="7" customWidth="1"/>
    <col min="11" max="11" width="11" customWidth="1"/>
    <col min="12" max="12" width="7" customWidth="1"/>
    <col min="13" max="13" width="11" customWidth="1"/>
    <col min="14" max="14" width="7" customWidth="1"/>
    <col min="15" max="15" width="11" customWidth="1"/>
    <col min="16" max="16" width="7" customWidth="1"/>
    <col min="17" max="17" width="11" customWidth="1"/>
    <col min="18" max="18" width="7" customWidth="1"/>
    <col min="19" max="19" width="11" customWidth="1"/>
    <col min="20" max="20" width="7" customWidth="1"/>
    <col min="21" max="21" width="11" customWidth="1"/>
    <col min="22" max="22" width="7" customWidth="1"/>
    <col min="23" max="23" width="11" customWidth="1"/>
    <col min="24" max="24" width="7" customWidth="1"/>
  </cols>
  <sheetData>
    <row r="1" spans="1:24" ht="18" x14ac:dyDescent="0.4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7" t="s">
        <v>46</v>
      </c>
      <c r="B2" s="38" t="s">
        <v>95</v>
      </c>
    </row>
    <row r="3" spans="1:24" x14ac:dyDescent="0.35">
      <c r="A3" s="7" t="s">
        <v>48</v>
      </c>
      <c r="B3" s="38" t="s">
        <v>96</v>
      </c>
    </row>
    <row r="4" spans="1:24" x14ac:dyDescent="0.35">
      <c r="A4" s="7" t="s">
        <v>50</v>
      </c>
      <c r="B4" s="39" t="s">
        <v>51</v>
      </c>
      <c r="D4" s="7" t="s">
        <v>52</v>
      </c>
      <c r="E4" s="38" t="s">
        <v>28</v>
      </c>
    </row>
    <row r="5" spans="1:24" x14ac:dyDescent="0.35">
      <c r="A5" s="7" t="s">
        <v>53</v>
      </c>
      <c r="B5" s="61">
        <v>1</v>
      </c>
      <c r="D5" s="7" t="s">
        <v>54</v>
      </c>
      <c r="E5" s="41">
        <v>46188</v>
      </c>
      <c r="G5" s="7" t="s">
        <v>55</v>
      </c>
      <c r="H5" s="41">
        <v>46748</v>
      </c>
    </row>
    <row r="6" spans="1:24" x14ac:dyDescent="0.35">
      <c r="A6" s="7" t="s">
        <v>56</v>
      </c>
      <c r="B6" s="38" t="s">
        <v>57</v>
      </c>
    </row>
    <row r="8" spans="1:24" ht="42" customHeight="1" x14ac:dyDescent="0.35">
      <c r="A8" s="7" t="s">
        <v>58</v>
      </c>
      <c r="B8" s="42">
        <f>COUNT(A11:A91)</f>
        <v>81</v>
      </c>
      <c r="H8" s="43" t="s">
        <v>59</v>
      </c>
      <c r="I8" s="3" t="s">
        <v>97</v>
      </c>
      <c r="J8" s="3"/>
      <c r="K8" s="3" t="s">
        <v>98</v>
      </c>
      <c r="L8" s="3"/>
      <c r="M8" s="3" t="s">
        <v>99</v>
      </c>
      <c r="N8" s="3"/>
      <c r="O8" s="3" t="s">
        <v>100</v>
      </c>
      <c r="P8" s="3"/>
      <c r="Q8" s="3" t="s">
        <v>101</v>
      </c>
      <c r="R8" s="3"/>
      <c r="S8" s="3" t="s">
        <v>102</v>
      </c>
      <c r="T8" s="3"/>
      <c r="U8" s="3" t="s">
        <v>67</v>
      </c>
      <c r="V8" s="3"/>
      <c r="W8" s="3" t="s">
        <v>67</v>
      </c>
      <c r="X8" s="3"/>
    </row>
    <row r="9" spans="1:24" x14ac:dyDescent="0.35">
      <c r="A9" s="44" t="s">
        <v>68</v>
      </c>
      <c r="H9" s="43" t="s">
        <v>69</v>
      </c>
      <c r="I9" s="1">
        <v>1</v>
      </c>
      <c r="J9" s="1"/>
      <c r="K9" s="2">
        <v>1</v>
      </c>
      <c r="L9" s="2"/>
      <c r="M9" s="1">
        <v>1</v>
      </c>
      <c r="N9" s="1"/>
      <c r="O9" s="1">
        <v>1</v>
      </c>
      <c r="P9" s="1"/>
      <c r="Q9" s="2">
        <v>5</v>
      </c>
      <c r="R9" s="2"/>
      <c r="S9" s="1">
        <v>1</v>
      </c>
      <c r="T9" s="1"/>
      <c r="U9" s="2"/>
      <c r="V9" s="2"/>
      <c r="W9" s="2"/>
      <c r="X9" s="2"/>
    </row>
    <row r="10" spans="1:24" x14ac:dyDescent="0.35">
      <c r="A10" s="9" t="s">
        <v>11</v>
      </c>
      <c r="B10" s="9" t="s">
        <v>70</v>
      </c>
      <c r="C10" s="9" t="s">
        <v>15</v>
      </c>
      <c r="D10" s="9" t="s">
        <v>72</v>
      </c>
      <c r="E10" s="9"/>
      <c r="F10" s="9"/>
      <c r="G10" s="9" t="s">
        <v>103</v>
      </c>
      <c r="H10" s="9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spans="1:24" x14ac:dyDescent="0.35">
      <c r="A11" s="20">
        <v>1</v>
      </c>
      <c r="B11" s="46">
        <v>46188</v>
      </c>
      <c r="C11" s="62">
        <f t="shared" ref="C11:C42" si="0">$B$5</f>
        <v>1</v>
      </c>
      <c r="D11" s="48"/>
      <c r="E11" s="20"/>
      <c r="F11" s="20"/>
      <c r="G11" s="49" t="str">
        <f t="shared" ref="G11:G42" si="1">IF(D11="","",D11-C11)</f>
        <v/>
      </c>
      <c r="H11" s="50" t="str">
        <f t="shared" ref="H11:H42" si="2">IF(D11="","",IF(D11&gt;=C11,"En meta",IF(D11&gt;=C11-0.05,"Riesgo","Atrasado")))</f>
        <v/>
      </c>
      <c r="I11" s="53"/>
      <c r="J11" s="52" t="str">
        <f t="shared" ref="J11:J42" si="3">IF(I11="","",IF($I$9="","",IF($I$9=0,"",I11/$I$9)))</f>
        <v/>
      </c>
      <c r="K11" s="51"/>
      <c r="L11" s="52" t="str">
        <f t="shared" ref="L11:L42" si="4">IF(K11="","",IF($K$9="","",IF($K$9=0,"",K11/$K$9)))</f>
        <v/>
      </c>
      <c r="M11" s="53"/>
      <c r="N11" s="52" t="str">
        <f t="shared" ref="N11:N42" si="5">IF(M11="","",IF($M$9="","",IF($M$9=0,"",M11/$M$9)))</f>
        <v/>
      </c>
      <c r="O11" s="53"/>
      <c r="P11" s="52" t="str">
        <f t="shared" ref="P11:P42" si="6">IF(O11="","",IF($O$9="","",IF($O$9=0,"",O11/$O$9)))</f>
        <v/>
      </c>
      <c r="Q11" s="51"/>
      <c r="R11" s="52" t="str">
        <f t="shared" ref="R11:R42" si="7">IF(Q11="","",IF($Q$9="","",IF($Q$9=0,"",Q11/$Q$9)))</f>
        <v/>
      </c>
      <c r="S11" s="53"/>
      <c r="T11" s="52" t="str">
        <f t="shared" ref="T11:T42" si="8">IF(S11="","",IF($S$9="","",IF($S$9=0,"",S11/$S$9)))</f>
        <v/>
      </c>
      <c r="U11" s="51"/>
      <c r="V11" s="52" t="str">
        <f t="shared" ref="V11:V42" si="9">IF(U11="","",IF($U$9="","",IF($U$9=0,"",U11/$U$9)))</f>
        <v/>
      </c>
      <c r="W11" s="51"/>
      <c r="X11" s="52" t="str">
        <f t="shared" ref="X11:X42" si="10">IF(W11="","",IF($W$9="","",IF($W$9=0,"",W11/$W$9)))</f>
        <v/>
      </c>
    </row>
    <row r="12" spans="1:24" x14ac:dyDescent="0.35">
      <c r="A12" s="27">
        <v>2</v>
      </c>
      <c r="B12" s="54">
        <v>46195</v>
      </c>
      <c r="C12" s="63">
        <f t="shared" si="0"/>
        <v>1</v>
      </c>
      <c r="D12" s="48"/>
      <c r="E12" s="27"/>
      <c r="F12" s="27"/>
      <c r="G12" s="56" t="str">
        <f t="shared" si="1"/>
        <v/>
      </c>
      <c r="H12" s="57" t="str">
        <f t="shared" si="2"/>
        <v/>
      </c>
      <c r="I12" s="53"/>
      <c r="J12" s="58" t="str">
        <f t="shared" si="3"/>
        <v/>
      </c>
      <c r="K12" s="51"/>
      <c r="L12" s="58" t="str">
        <f t="shared" si="4"/>
        <v/>
      </c>
      <c r="M12" s="53"/>
      <c r="N12" s="58" t="str">
        <f t="shared" si="5"/>
        <v/>
      </c>
      <c r="O12" s="53"/>
      <c r="P12" s="58" t="str">
        <f t="shared" si="6"/>
        <v/>
      </c>
      <c r="Q12" s="51"/>
      <c r="R12" s="58" t="str">
        <f t="shared" si="7"/>
        <v/>
      </c>
      <c r="S12" s="53"/>
      <c r="T12" s="58" t="str">
        <f t="shared" si="8"/>
        <v/>
      </c>
      <c r="U12" s="51"/>
      <c r="V12" s="58" t="str">
        <f t="shared" si="9"/>
        <v/>
      </c>
      <c r="W12" s="51"/>
      <c r="X12" s="58" t="str">
        <f t="shared" si="10"/>
        <v/>
      </c>
    </row>
    <row r="13" spans="1:24" x14ac:dyDescent="0.35">
      <c r="A13" s="20">
        <v>3</v>
      </c>
      <c r="B13" s="46">
        <v>46202</v>
      </c>
      <c r="C13" s="62">
        <f t="shared" si="0"/>
        <v>1</v>
      </c>
      <c r="D13" s="48"/>
      <c r="E13" s="20"/>
      <c r="F13" s="20"/>
      <c r="G13" s="49" t="str">
        <f t="shared" si="1"/>
        <v/>
      </c>
      <c r="H13" s="50" t="str">
        <f t="shared" si="2"/>
        <v/>
      </c>
      <c r="I13" s="53"/>
      <c r="J13" s="52" t="str">
        <f t="shared" si="3"/>
        <v/>
      </c>
      <c r="K13" s="51"/>
      <c r="L13" s="52" t="str">
        <f t="shared" si="4"/>
        <v/>
      </c>
      <c r="M13" s="53"/>
      <c r="N13" s="52" t="str">
        <f t="shared" si="5"/>
        <v/>
      </c>
      <c r="O13" s="53"/>
      <c r="P13" s="52" t="str">
        <f t="shared" si="6"/>
        <v/>
      </c>
      <c r="Q13" s="51"/>
      <c r="R13" s="52" t="str">
        <f t="shared" si="7"/>
        <v/>
      </c>
      <c r="S13" s="53"/>
      <c r="T13" s="52" t="str">
        <f t="shared" si="8"/>
        <v/>
      </c>
      <c r="U13" s="51"/>
      <c r="V13" s="52" t="str">
        <f t="shared" si="9"/>
        <v/>
      </c>
      <c r="W13" s="51"/>
      <c r="X13" s="52" t="str">
        <f t="shared" si="10"/>
        <v/>
      </c>
    </row>
    <row r="14" spans="1:24" x14ac:dyDescent="0.35">
      <c r="A14" s="27">
        <v>4</v>
      </c>
      <c r="B14" s="54">
        <v>46209</v>
      </c>
      <c r="C14" s="63">
        <f t="shared" si="0"/>
        <v>1</v>
      </c>
      <c r="D14" s="48"/>
      <c r="E14" s="27"/>
      <c r="F14" s="27"/>
      <c r="G14" s="56" t="str">
        <f t="shared" si="1"/>
        <v/>
      </c>
      <c r="H14" s="57" t="str">
        <f t="shared" si="2"/>
        <v/>
      </c>
      <c r="I14" s="53"/>
      <c r="J14" s="58" t="str">
        <f t="shared" si="3"/>
        <v/>
      </c>
      <c r="K14" s="51"/>
      <c r="L14" s="58" t="str">
        <f t="shared" si="4"/>
        <v/>
      </c>
      <c r="M14" s="53"/>
      <c r="N14" s="58" t="str">
        <f t="shared" si="5"/>
        <v/>
      </c>
      <c r="O14" s="53"/>
      <c r="P14" s="58" t="str">
        <f t="shared" si="6"/>
        <v/>
      </c>
      <c r="Q14" s="51"/>
      <c r="R14" s="58" t="str">
        <f t="shared" si="7"/>
        <v/>
      </c>
      <c r="S14" s="53"/>
      <c r="T14" s="58" t="str">
        <f t="shared" si="8"/>
        <v/>
      </c>
      <c r="U14" s="51"/>
      <c r="V14" s="58" t="str">
        <f t="shared" si="9"/>
        <v/>
      </c>
      <c r="W14" s="51"/>
      <c r="X14" s="58" t="str">
        <f t="shared" si="10"/>
        <v/>
      </c>
    </row>
    <row r="15" spans="1:24" x14ac:dyDescent="0.35">
      <c r="A15" s="20">
        <v>5</v>
      </c>
      <c r="B15" s="46">
        <v>46216</v>
      </c>
      <c r="C15" s="62">
        <f t="shared" si="0"/>
        <v>1</v>
      </c>
      <c r="D15" s="48"/>
      <c r="E15" s="20"/>
      <c r="F15" s="20"/>
      <c r="G15" s="49" t="str">
        <f t="shared" si="1"/>
        <v/>
      </c>
      <c r="H15" s="50" t="str">
        <f t="shared" si="2"/>
        <v/>
      </c>
      <c r="I15" s="53"/>
      <c r="J15" s="52" t="str">
        <f t="shared" si="3"/>
        <v/>
      </c>
      <c r="K15" s="51"/>
      <c r="L15" s="52" t="str">
        <f t="shared" si="4"/>
        <v/>
      </c>
      <c r="M15" s="53"/>
      <c r="N15" s="52" t="str">
        <f t="shared" si="5"/>
        <v/>
      </c>
      <c r="O15" s="53"/>
      <c r="P15" s="52" t="str">
        <f t="shared" si="6"/>
        <v/>
      </c>
      <c r="Q15" s="51"/>
      <c r="R15" s="52" t="str">
        <f t="shared" si="7"/>
        <v/>
      </c>
      <c r="S15" s="53"/>
      <c r="T15" s="52" t="str">
        <f t="shared" si="8"/>
        <v/>
      </c>
      <c r="U15" s="51"/>
      <c r="V15" s="52" t="str">
        <f t="shared" si="9"/>
        <v/>
      </c>
      <c r="W15" s="51"/>
      <c r="X15" s="52" t="str">
        <f t="shared" si="10"/>
        <v/>
      </c>
    </row>
    <row r="16" spans="1:24" x14ac:dyDescent="0.35">
      <c r="A16" s="27">
        <v>6</v>
      </c>
      <c r="B16" s="54">
        <v>46223</v>
      </c>
      <c r="C16" s="63">
        <f t="shared" si="0"/>
        <v>1</v>
      </c>
      <c r="D16" s="48"/>
      <c r="E16" s="27"/>
      <c r="F16" s="27"/>
      <c r="G16" s="56" t="str">
        <f t="shared" si="1"/>
        <v/>
      </c>
      <c r="H16" s="57" t="str">
        <f t="shared" si="2"/>
        <v/>
      </c>
      <c r="I16" s="53"/>
      <c r="J16" s="58" t="str">
        <f t="shared" si="3"/>
        <v/>
      </c>
      <c r="K16" s="51"/>
      <c r="L16" s="58" t="str">
        <f t="shared" si="4"/>
        <v/>
      </c>
      <c r="M16" s="53"/>
      <c r="N16" s="58" t="str">
        <f t="shared" si="5"/>
        <v/>
      </c>
      <c r="O16" s="53"/>
      <c r="P16" s="58" t="str">
        <f t="shared" si="6"/>
        <v/>
      </c>
      <c r="Q16" s="51"/>
      <c r="R16" s="58" t="str">
        <f t="shared" si="7"/>
        <v/>
      </c>
      <c r="S16" s="53"/>
      <c r="T16" s="58" t="str">
        <f t="shared" si="8"/>
        <v/>
      </c>
      <c r="U16" s="51"/>
      <c r="V16" s="58" t="str">
        <f t="shared" si="9"/>
        <v/>
      </c>
      <c r="W16" s="51"/>
      <c r="X16" s="58" t="str">
        <f t="shared" si="10"/>
        <v/>
      </c>
    </row>
    <row r="17" spans="1:24" x14ac:dyDescent="0.35">
      <c r="A17" s="20">
        <v>7</v>
      </c>
      <c r="B17" s="46">
        <v>46230</v>
      </c>
      <c r="C17" s="62">
        <f t="shared" si="0"/>
        <v>1</v>
      </c>
      <c r="D17" s="48"/>
      <c r="E17" s="20"/>
      <c r="F17" s="20"/>
      <c r="G17" s="49" t="str">
        <f t="shared" si="1"/>
        <v/>
      </c>
      <c r="H17" s="50" t="str">
        <f t="shared" si="2"/>
        <v/>
      </c>
      <c r="I17" s="53"/>
      <c r="J17" s="52" t="str">
        <f t="shared" si="3"/>
        <v/>
      </c>
      <c r="K17" s="51"/>
      <c r="L17" s="52" t="str">
        <f t="shared" si="4"/>
        <v/>
      </c>
      <c r="M17" s="53"/>
      <c r="N17" s="52" t="str">
        <f t="shared" si="5"/>
        <v/>
      </c>
      <c r="O17" s="53"/>
      <c r="P17" s="52" t="str">
        <f t="shared" si="6"/>
        <v/>
      </c>
      <c r="Q17" s="51"/>
      <c r="R17" s="52" t="str">
        <f t="shared" si="7"/>
        <v/>
      </c>
      <c r="S17" s="53"/>
      <c r="T17" s="52" t="str">
        <f t="shared" si="8"/>
        <v/>
      </c>
      <c r="U17" s="51"/>
      <c r="V17" s="52" t="str">
        <f t="shared" si="9"/>
        <v/>
      </c>
      <c r="W17" s="51"/>
      <c r="X17" s="52" t="str">
        <f t="shared" si="10"/>
        <v/>
      </c>
    </row>
    <row r="18" spans="1:24" x14ac:dyDescent="0.35">
      <c r="A18" s="27">
        <v>8</v>
      </c>
      <c r="B18" s="54">
        <v>46237</v>
      </c>
      <c r="C18" s="63">
        <f t="shared" si="0"/>
        <v>1</v>
      </c>
      <c r="D18" s="48"/>
      <c r="E18" s="27"/>
      <c r="F18" s="27"/>
      <c r="G18" s="56" t="str">
        <f t="shared" si="1"/>
        <v/>
      </c>
      <c r="H18" s="57" t="str">
        <f t="shared" si="2"/>
        <v/>
      </c>
      <c r="I18" s="53"/>
      <c r="J18" s="58" t="str">
        <f t="shared" si="3"/>
        <v/>
      </c>
      <c r="K18" s="51"/>
      <c r="L18" s="58" t="str">
        <f t="shared" si="4"/>
        <v/>
      </c>
      <c r="M18" s="53"/>
      <c r="N18" s="58" t="str">
        <f t="shared" si="5"/>
        <v/>
      </c>
      <c r="O18" s="53"/>
      <c r="P18" s="58" t="str">
        <f t="shared" si="6"/>
        <v/>
      </c>
      <c r="Q18" s="51"/>
      <c r="R18" s="58" t="str">
        <f t="shared" si="7"/>
        <v/>
      </c>
      <c r="S18" s="53"/>
      <c r="T18" s="58" t="str">
        <f t="shared" si="8"/>
        <v/>
      </c>
      <c r="U18" s="51"/>
      <c r="V18" s="58" t="str">
        <f t="shared" si="9"/>
        <v/>
      </c>
      <c r="W18" s="51"/>
      <c r="X18" s="58" t="str">
        <f t="shared" si="10"/>
        <v/>
      </c>
    </row>
    <row r="19" spans="1:24" x14ac:dyDescent="0.35">
      <c r="A19" s="20">
        <v>9</v>
      </c>
      <c r="B19" s="46">
        <v>46244</v>
      </c>
      <c r="C19" s="62">
        <f t="shared" si="0"/>
        <v>1</v>
      </c>
      <c r="D19" s="48"/>
      <c r="E19" s="20"/>
      <c r="F19" s="20"/>
      <c r="G19" s="49" t="str">
        <f t="shared" si="1"/>
        <v/>
      </c>
      <c r="H19" s="50" t="str">
        <f t="shared" si="2"/>
        <v/>
      </c>
      <c r="I19" s="53"/>
      <c r="J19" s="52" t="str">
        <f t="shared" si="3"/>
        <v/>
      </c>
      <c r="K19" s="51"/>
      <c r="L19" s="52" t="str">
        <f t="shared" si="4"/>
        <v/>
      </c>
      <c r="M19" s="53"/>
      <c r="N19" s="52" t="str">
        <f t="shared" si="5"/>
        <v/>
      </c>
      <c r="O19" s="53"/>
      <c r="P19" s="52" t="str">
        <f t="shared" si="6"/>
        <v/>
      </c>
      <c r="Q19" s="51"/>
      <c r="R19" s="52" t="str">
        <f t="shared" si="7"/>
        <v/>
      </c>
      <c r="S19" s="53"/>
      <c r="T19" s="52" t="str">
        <f t="shared" si="8"/>
        <v/>
      </c>
      <c r="U19" s="51"/>
      <c r="V19" s="52" t="str">
        <f t="shared" si="9"/>
        <v/>
      </c>
      <c r="W19" s="51"/>
      <c r="X19" s="52" t="str">
        <f t="shared" si="10"/>
        <v/>
      </c>
    </row>
    <row r="20" spans="1:24" x14ac:dyDescent="0.35">
      <c r="A20" s="27">
        <v>10</v>
      </c>
      <c r="B20" s="54">
        <v>46251</v>
      </c>
      <c r="C20" s="63">
        <f t="shared" si="0"/>
        <v>1</v>
      </c>
      <c r="D20" s="48"/>
      <c r="E20" s="27"/>
      <c r="F20" s="27"/>
      <c r="G20" s="56" t="str">
        <f t="shared" si="1"/>
        <v/>
      </c>
      <c r="H20" s="57" t="str">
        <f t="shared" si="2"/>
        <v/>
      </c>
      <c r="I20" s="53"/>
      <c r="J20" s="58" t="str">
        <f t="shared" si="3"/>
        <v/>
      </c>
      <c r="K20" s="51"/>
      <c r="L20" s="58" t="str">
        <f t="shared" si="4"/>
        <v/>
      </c>
      <c r="M20" s="53"/>
      <c r="N20" s="58" t="str">
        <f t="shared" si="5"/>
        <v/>
      </c>
      <c r="O20" s="53"/>
      <c r="P20" s="58" t="str">
        <f t="shared" si="6"/>
        <v/>
      </c>
      <c r="Q20" s="51"/>
      <c r="R20" s="58" t="str">
        <f t="shared" si="7"/>
        <v/>
      </c>
      <c r="S20" s="53"/>
      <c r="T20" s="58" t="str">
        <f t="shared" si="8"/>
        <v/>
      </c>
      <c r="U20" s="51"/>
      <c r="V20" s="58" t="str">
        <f t="shared" si="9"/>
        <v/>
      </c>
      <c r="W20" s="51"/>
      <c r="X20" s="58" t="str">
        <f t="shared" si="10"/>
        <v/>
      </c>
    </row>
    <row r="21" spans="1:24" x14ac:dyDescent="0.35">
      <c r="A21" s="20">
        <v>11</v>
      </c>
      <c r="B21" s="46">
        <v>46258</v>
      </c>
      <c r="C21" s="62">
        <f t="shared" si="0"/>
        <v>1</v>
      </c>
      <c r="D21" s="48"/>
      <c r="E21" s="20"/>
      <c r="F21" s="20"/>
      <c r="G21" s="49" t="str">
        <f t="shared" si="1"/>
        <v/>
      </c>
      <c r="H21" s="50" t="str">
        <f t="shared" si="2"/>
        <v/>
      </c>
      <c r="I21" s="53"/>
      <c r="J21" s="52" t="str">
        <f t="shared" si="3"/>
        <v/>
      </c>
      <c r="K21" s="51"/>
      <c r="L21" s="52" t="str">
        <f t="shared" si="4"/>
        <v/>
      </c>
      <c r="M21" s="53"/>
      <c r="N21" s="52" t="str">
        <f t="shared" si="5"/>
        <v/>
      </c>
      <c r="O21" s="53"/>
      <c r="P21" s="52" t="str">
        <f t="shared" si="6"/>
        <v/>
      </c>
      <c r="Q21" s="51"/>
      <c r="R21" s="52" t="str">
        <f t="shared" si="7"/>
        <v/>
      </c>
      <c r="S21" s="53"/>
      <c r="T21" s="52" t="str">
        <f t="shared" si="8"/>
        <v/>
      </c>
      <c r="U21" s="51"/>
      <c r="V21" s="52" t="str">
        <f t="shared" si="9"/>
        <v/>
      </c>
      <c r="W21" s="51"/>
      <c r="X21" s="52" t="str">
        <f t="shared" si="10"/>
        <v/>
      </c>
    </row>
    <row r="22" spans="1:24" x14ac:dyDescent="0.35">
      <c r="A22" s="27">
        <v>12</v>
      </c>
      <c r="B22" s="54">
        <v>46265</v>
      </c>
      <c r="C22" s="63">
        <f t="shared" si="0"/>
        <v>1</v>
      </c>
      <c r="D22" s="48"/>
      <c r="E22" s="27"/>
      <c r="F22" s="27"/>
      <c r="G22" s="56" t="str">
        <f t="shared" si="1"/>
        <v/>
      </c>
      <c r="H22" s="57" t="str">
        <f t="shared" si="2"/>
        <v/>
      </c>
      <c r="I22" s="53"/>
      <c r="J22" s="58" t="str">
        <f t="shared" si="3"/>
        <v/>
      </c>
      <c r="K22" s="51"/>
      <c r="L22" s="58" t="str">
        <f t="shared" si="4"/>
        <v/>
      </c>
      <c r="M22" s="53"/>
      <c r="N22" s="58" t="str">
        <f t="shared" si="5"/>
        <v/>
      </c>
      <c r="O22" s="53"/>
      <c r="P22" s="58" t="str">
        <f t="shared" si="6"/>
        <v/>
      </c>
      <c r="Q22" s="51"/>
      <c r="R22" s="58" t="str">
        <f t="shared" si="7"/>
        <v/>
      </c>
      <c r="S22" s="53"/>
      <c r="T22" s="58" t="str">
        <f t="shared" si="8"/>
        <v/>
      </c>
      <c r="U22" s="51"/>
      <c r="V22" s="58" t="str">
        <f t="shared" si="9"/>
        <v/>
      </c>
      <c r="W22" s="51"/>
      <c r="X22" s="58" t="str">
        <f t="shared" si="10"/>
        <v/>
      </c>
    </row>
    <row r="23" spans="1:24" x14ac:dyDescent="0.35">
      <c r="A23" s="20">
        <v>13</v>
      </c>
      <c r="B23" s="46">
        <v>46272</v>
      </c>
      <c r="C23" s="62">
        <f t="shared" si="0"/>
        <v>1</v>
      </c>
      <c r="D23" s="48"/>
      <c r="E23" s="20"/>
      <c r="F23" s="20"/>
      <c r="G23" s="49" t="str">
        <f t="shared" si="1"/>
        <v/>
      </c>
      <c r="H23" s="50" t="str">
        <f t="shared" si="2"/>
        <v/>
      </c>
      <c r="I23" s="53"/>
      <c r="J23" s="52" t="str">
        <f t="shared" si="3"/>
        <v/>
      </c>
      <c r="K23" s="51"/>
      <c r="L23" s="52" t="str">
        <f t="shared" si="4"/>
        <v/>
      </c>
      <c r="M23" s="53"/>
      <c r="N23" s="52" t="str">
        <f t="shared" si="5"/>
        <v/>
      </c>
      <c r="O23" s="53"/>
      <c r="P23" s="52" t="str">
        <f t="shared" si="6"/>
        <v/>
      </c>
      <c r="Q23" s="51"/>
      <c r="R23" s="52" t="str">
        <f t="shared" si="7"/>
        <v/>
      </c>
      <c r="S23" s="53"/>
      <c r="T23" s="52" t="str">
        <f t="shared" si="8"/>
        <v/>
      </c>
      <c r="U23" s="51"/>
      <c r="V23" s="52" t="str">
        <f t="shared" si="9"/>
        <v/>
      </c>
      <c r="W23" s="51"/>
      <c r="X23" s="52" t="str">
        <f t="shared" si="10"/>
        <v/>
      </c>
    </row>
    <row r="24" spans="1:24" x14ac:dyDescent="0.35">
      <c r="A24" s="27">
        <v>14</v>
      </c>
      <c r="B24" s="54">
        <v>46279</v>
      </c>
      <c r="C24" s="63">
        <f t="shared" si="0"/>
        <v>1</v>
      </c>
      <c r="D24" s="48"/>
      <c r="E24" s="27"/>
      <c r="F24" s="27"/>
      <c r="G24" s="56" t="str">
        <f t="shared" si="1"/>
        <v/>
      </c>
      <c r="H24" s="57" t="str">
        <f t="shared" si="2"/>
        <v/>
      </c>
      <c r="I24" s="53"/>
      <c r="J24" s="58" t="str">
        <f t="shared" si="3"/>
        <v/>
      </c>
      <c r="K24" s="51"/>
      <c r="L24" s="58" t="str">
        <f t="shared" si="4"/>
        <v/>
      </c>
      <c r="M24" s="53"/>
      <c r="N24" s="58" t="str">
        <f t="shared" si="5"/>
        <v/>
      </c>
      <c r="O24" s="53"/>
      <c r="P24" s="58" t="str">
        <f t="shared" si="6"/>
        <v/>
      </c>
      <c r="Q24" s="51"/>
      <c r="R24" s="58" t="str">
        <f t="shared" si="7"/>
        <v/>
      </c>
      <c r="S24" s="53"/>
      <c r="T24" s="58" t="str">
        <f t="shared" si="8"/>
        <v/>
      </c>
      <c r="U24" s="51"/>
      <c r="V24" s="58" t="str">
        <f t="shared" si="9"/>
        <v/>
      </c>
      <c r="W24" s="51"/>
      <c r="X24" s="58" t="str">
        <f t="shared" si="10"/>
        <v/>
      </c>
    </row>
    <row r="25" spans="1:24" x14ac:dyDescent="0.35">
      <c r="A25" s="20">
        <v>15</v>
      </c>
      <c r="B25" s="46">
        <v>46286</v>
      </c>
      <c r="C25" s="62">
        <f t="shared" si="0"/>
        <v>1</v>
      </c>
      <c r="D25" s="48"/>
      <c r="E25" s="20"/>
      <c r="F25" s="20"/>
      <c r="G25" s="49" t="str">
        <f t="shared" si="1"/>
        <v/>
      </c>
      <c r="H25" s="50" t="str">
        <f t="shared" si="2"/>
        <v/>
      </c>
      <c r="I25" s="53"/>
      <c r="J25" s="52" t="str">
        <f t="shared" si="3"/>
        <v/>
      </c>
      <c r="K25" s="51"/>
      <c r="L25" s="52" t="str">
        <f t="shared" si="4"/>
        <v/>
      </c>
      <c r="M25" s="53"/>
      <c r="N25" s="52" t="str">
        <f t="shared" si="5"/>
        <v/>
      </c>
      <c r="O25" s="53"/>
      <c r="P25" s="52" t="str">
        <f t="shared" si="6"/>
        <v/>
      </c>
      <c r="Q25" s="51"/>
      <c r="R25" s="52" t="str">
        <f t="shared" si="7"/>
        <v/>
      </c>
      <c r="S25" s="53"/>
      <c r="T25" s="52" t="str">
        <f t="shared" si="8"/>
        <v/>
      </c>
      <c r="U25" s="51"/>
      <c r="V25" s="52" t="str">
        <f t="shared" si="9"/>
        <v/>
      </c>
      <c r="W25" s="51"/>
      <c r="X25" s="52" t="str">
        <f t="shared" si="10"/>
        <v/>
      </c>
    </row>
    <row r="26" spans="1:24" x14ac:dyDescent="0.35">
      <c r="A26" s="27">
        <v>16</v>
      </c>
      <c r="B26" s="54">
        <v>46293</v>
      </c>
      <c r="C26" s="63">
        <f t="shared" si="0"/>
        <v>1</v>
      </c>
      <c r="D26" s="48"/>
      <c r="E26" s="27"/>
      <c r="F26" s="27"/>
      <c r="G26" s="56" t="str">
        <f t="shared" si="1"/>
        <v/>
      </c>
      <c r="H26" s="57" t="str">
        <f t="shared" si="2"/>
        <v/>
      </c>
      <c r="I26" s="53"/>
      <c r="J26" s="58" t="str">
        <f t="shared" si="3"/>
        <v/>
      </c>
      <c r="K26" s="51"/>
      <c r="L26" s="58" t="str">
        <f t="shared" si="4"/>
        <v/>
      </c>
      <c r="M26" s="53"/>
      <c r="N26" s="58" t="str">
        <f t="shared" si="5"/>
        <v/>
      </c>
      <c r="O26" s="53"/>
      <c r="P26" s="58" t="str">
        <f t="shared" si="6"/>
        <v/>
      </c>
      <c r="Q26" s="51"/>
      <c r="R26" s="58" t="str">
        <f t="shared" si="7"/>
        <v/>
      </c>
      <c r="S26" s="53"/>
      <c r="T26" s="58" t="str">
        <f t="shared" si="8"/>
        <v/>
      </c>
      <c r="U26" s="51"/>
      <c r="V26" s="58" t="str">
        <f t="shared" si="9"/>
        <v/>
      </c>
      <c r="W26" s="51"/>
      <c r="X26" s="58" t="str">
        <f t="shared" si="10"/>
        <v/>
      </c>
    </row>
    <row r="27" spans="1:24" x14ac:dyDescent="0.35">
      <c r="A27" s="20">
        <v>17</v>
      </c>
      <c r="B27" s="46">
        <v>46300</v>
      </c>
      <c r="C27" s="62">
        <f t="shared" si="0"/>
        <v>1</v>
      </c>
      <c r="D27" s="48"/>
      <c r="E27" s="20"/>
      <c r="F27" s="20"/>
      <c r="G27" s="49" t="str">
        <f t="shared" si="1"/>
        <v/>
      </c>
      <c r="H27" s="50" t="str">
        <f t="shared" si="2"/>
        <v/>
      </c>
      <c r="I27" s="53"/>
      <c r="J27" s="52" t="str">
        <f t="shared" si="3"/>
        <v/>
      </c>
      <c r="K27" s="51"/>
      <c r="L27" s="52" t="str">
        <f t="shared" si="4"/>
        <v/>
      </c>
      <c r="M27" s="53"/>
      <c r="N27" s="52" t="str">
        <f t="shared" si="5"/>
        <v/>
      </c>
      <c r="O27" s="53"/>
      <c r="P27" s="52" t="str">
        <f t="shared" si="6"/>
        <v/>
      </c>
      <c r="Q27" s="51"/>
      <c r="R27" s="52" t="str">
        <f t="shared" si="7"/>
        <v/>
      </c>
      <c r="S27" s="53"/>
      <c r="T27" s="52" t="str">
        <f t="shared" si="8"/>
        <v/>
      </c>
      <c r="U27" s="51"/>
      <c r="V27" s="52" t="str">
        <f t="shared" si="9"/>
        <v/>
      </c>
      <c r="W27" s="51"/>
      <c r="X27" s="52" t="str">
        <f t="shared" si="10"/>
        <v/>
      </c>
    </row>
    <row r="28" spans="1:24" x14ac:dyDescent="0.35">
      <c r="A28" s="27">
        <v>18</v>
      </c>
      <c r="B28" s="54">
        <v>46307</v>
      </c>
      <c r="C28" s="63">
        <f t="shared" si="0"/>
        <v>1</v>
      </c>
      <c r="D28" s="48"/>
      <c r="E28" s="27"/>
      <c r="F28" s="27"/>
      <c r="G28" s="56" t="str">
        <f t="shared" si="1"/>
        <v/>
      </c>
      <c r="H28" s="57" t="str">
        <f t="shared" si="2"/>
        <v/>
      </c>
      <c r="I28" s="53"/>
      <c r="J28" s="58" t="str">
        <f t="shared" si="3"/>
        <v/>
      </c>
      <c r="K28" s="51"/>
      <c r="L28" s="58" t="str">
        <f t="shared" si="4"/>
        <v/>
      </c>
      <c r="M28" s="53"/>
      <c r="N28" s="58" t="str">
        <f t="shared" si="5"/>
        <v/>
      </c>
      <c r="O28" s="53"/>
      <c r="P28" s="58" t="str">
        <f t="shared" si="6"/>
        <v/>
      </c>
      <c r="Q28" s="51"/>
      <c r="R28" s="58" t="str">
        <f t="shared" si="7"/>
        <v/>
      </c>
      <c r="S28" s="53"/>
      <c r="T28" s="58" t="str">
        <f t="shared" si="8"/>
        <v/>
      </c>
      <c r="U28" s="51"/>
      <c r="V28" s="58" t="str">
        <f t="shared" si="9"/>
        <v/>
      </c>
      <c r="W28" s="51"/>
      <c r="X28" s="58" t="str">
        <f t="shared" si="10"/>
        <v/>
      </c>
    </row>
    <row r="29" spans="1:24" x14ac:dyDescent="0.35">
      <c r="A29" s="20">
        <v>19</v>
      </c>
      <c r="B29" s="46">
        <v>46314</v>
      </c>
      <c r="C29" s="62">
        <f t="shared" si="0"/>
        <v>1</v>
      </c>
      <c r="D29" s="48"/>
      <c r="E29" s="20"/>
      <c r="F29" s="20"/>
      <c r="G29" s="49" t="str">
        <f t="shared" si="1"/>
        <v/>
      </c>
      <c r="H29" s="50" t="str">
        <f t="shared" si="2"/>
        <v/>
      </c>
      <c r="I29" s="53"/>
      <c r="J29" s="52" t="str">
        <f t="shared" si="3"/>
        <v/>
      </c>
      <c r="K29" s="51"/>
      <c r="L29" s="52" t="str">
        <f t="shared" si="4"/>
        <v/>
      </c>
      <c r="M29" s="53"/>
      <c r="N29" s="52" t="str">
        <f t="shared" si="5"/>
        <v/>
      </c>
      <c r="O29" s="53"/>
      <c r="P29" s="52" t="str">
        <f t="shared" si="6"/>
        <v/>
      </c>
      <c r="Q29" s="51"/>
      <c r="R29" s="52" t="str">
        <f t="shared" si="7"/>
        <v/>
      </c>
      <c r="S29" s="53"/>
      <c r="T29" s="52" t="str">
        <f t="shared" si="8"/>
        <v/>
      </c>
      <c r="U29" s="51"/>
      <c r="V29" s="52" t="str">
        <f t="shared" si="9"/>
        <v/>
      </c>
      <c r="W29" s="51"/>
      <c r="X29" s="52" t="str">
        <f t="shared" si="10"/>
        <v/>
      </c>
    </row>
    <row r="30" spans="1:24" x14ac:dyDescent="0.35">
      <c r="A30" s="27">
        <v>20</v>
      </c>
      <c r="B30" s="54">
        <v>46321</v>
      </c>
      <c r="C30" s="63">
        <f t="shared" si="0"/>
        <v>1</v>
      </c>
      <c r="D30" s="48"/>
      <c r="E30" s="27"/>
      <c r="F30" s="27"/>
      <c r="G30" s="56" t="str">
        <f t="shared" si="1"/>
        <v/>
      </c>
      <c r="H30" s="57" t="str">
        <f t="shared" si="2"/>
        <v/>
      </c>
      <c r="I30" s="53"/>
      <c r="J30" s="58" t="str">
        <f t="shared" si="3"/>
        <v/>
      </c>
      <c r="K30" s="51"/>
      <c r="L30" s="58" t="str">
        <f t="shared" si="4"/>
        <v/>
      </c>
      <c r="M30" s="53"/>
      <c r="N30" s="58" t="str">
        <f t="shared" si="5"/>
        <v/>
      </c>
      <c r="O30" s="53"/>
      <c r="P30" s="58" t="str">
        <f t="shared" si="6"/>
        <v/>
      </c>
      <c r="Q30" s="51"/>
      <c r="R30" s="58" t="str">
        <f t="shared" si="7"/>
        <v/>
      </c>
      <c r="S30" s="53"/>
      <c r="T30" s="58" t="str">
        <f t="shared" si="8"/>
        <v/>
      </c>
      <c r="U30" s="51"/>
      <c r="V30" s="58" t="str">
        <f t="shared" si="9"/>
        <v/>
      </c>
      <c r="W30" s="51"/>
      <c r="X30" s="58" t="str">
        <f t="shared" si="10"/>
        <v/>
      </c>
    </row>
    <row r="31" spans="1:24" x14ac:dyDescent="0.35">
      <c r="A31" s="20">
        <v>21</v>
      </c>
      <c r="B31" s="46">
        <v>46328</v>
      </c>
      <c r="C31" s="62">
        <f t="shared" si="0"/>
        <v>1</v>
      </c>
      <c r="D31" s="48"/>
      <c r="E31" s="20"/>
      <c r="F31" s="20"/>
      <c r="G31" s="49" t="str">
        <f t="shared" si="1"/>
        <v/>
      </c>
      <c r="H31" s="50" t="str">
        <f t="shared" si="2"/>
        <v/>
      </c>
      <c r="I31" s="53"/>
      <c r="J31" s="52" t="str">
        <f t="shared" si="3"/>
        <v/>
      </c>
      <c r="K31" s="51"/>
      <c r="L31" s="52" t="str">
        <f t="shared" si="4"/>
        <v/>
      </c>
      <c r="M31" s="53"/>
      <c r="N31" s="52" t="str">
        <f t="shared" si="5"/>
        <v/>
      </c>
      <c r="O31" s="53"/>
      <c r="P31" s="52" t="str">
        <f t="shared" si="6"/>
        <v/>
      </c>
      <c r="Q31" s="51"/>
      <c r="R31" s="52" t="str">
        <f t="shared" si="7"/>
        <v/>
      </c>
      <c r="S31" s="53"/>
      <c r="T31" s="52" t="str">
        <f t="shared" si="8"/>
        <v/>
      </c>
      <c r="U31" s="51"/>
      <c r="V31" s="52" t="str">
        <f t="shared" si="9"/>
        <v/>
      </c>
      <c r="W31" s="51"/>
      <c r="X31" s="52" t="str">
        <f t="shared" si="10"/>
        <v/>
      </c>
    </row>
    <row r="32" spans="1:24" x14ac:dyDescent="0.35">
      <c r="A32" s="27">
        <v>22</v>
      </c>
      <c r="B32" s="54">
        <v>46335</v>
      </c>
      <c r="C32" s="63">
        <f t="shared" si="0"/>
        <v>1</v>
      </c>
      <c r="D32" s="48"/>
      <c r="E32" s="27"/>
      <c r="F32" s="27"/>
      <c r="G32" s="56" t="str">
        <f t="shared" si="1"/>
        <v/>
      </c>
      <c r="H32" s="57" t="str">
        <f t="shared" si="2"/>
        <v/>
      </c>
      <c r="I32" s="53"/>
      <c r="J32" s="58" t="str">
        <f t="shared" si="3"/>
        <v/>
      </c>
      <c r="K32" s="51"/>
      <c r="L32" s="58" t="str">
        <f t="shared" si="4"/>
        <v/>
      </c>
      <c r="M32" s="53"/>
      <c r="N32" s="58" t="str">
        <f t="shared" si="5"/>
        <v/>
      </c>
      <c r="O32" s="53"/>
      <c r="P32" s="58" t="str">
        <f t="shared" si="6"/>
        <v/>
      </c>
      <c r="Q32" s="51"/>
      <c r="R32" s="58" t="str">
        <f t="shared" si="7"/>
        <v/>
      </c>
      <c r="S32" s="53"/>
      <c r="T32" s="58" t="str">
        <f t="shared" si="8"/>
        <v/>
      </c>
      <c r="U32" s="51"/>
      <c r="V32" s="58" t="str">
        <f t="shared" si="9"/>
        <v/>
      </c>
      <c r="W32" s="51"/>
      <c r="X32" s="58" t="str">
        <f t="shared" si="10"/>
        <v/>
      </c>
    </row>
    <row r="33" spans="1:24" x14ac:dyDescent="0.35">
      <c r="A33" s="20">
        <v>23</v>
      </c>
      <c r="B33" s="46">
        <v>46342</v>
      </c>
      <c r="C33" s="62">
        <f t="shared" si="0"/>
        <v>1</v>
      </c>
      <c r="D33" s="48"/>
      <c r="E33" s="20"/>
      <c r="F33" s="20"/>
      <c r="G33" s="49" t="str">
        <f t="shared" si="1"/>
        <v/>
      </c>
      <c r="H33" s="50" t="str">
        <f t="shared" si="2"/>
        <v/>
      </c>
      <c r="I33" s="53"/>
      <c r="J33" s="52" t="str">
        <f t="shared" si="3"/>
        <v/>
      </c>
      <c r="K33" s="51"/>
      <c r="L33" s="52" t="str">
        <f t="shared" si="4"/>
        <v/>
      </c>
      <c r="M33" s="53"/>
      <c r="N33" s="52" t="str">
        <f t="shared" si="5"/>
        <v/>
      </c>
      <c r="O33" s="53"/>
      <c r="P33" s="52" t="str">
        <f t="shared" si="6"/>
        <v/>
      </c>
      <c r="Q33" s="51"/>
      <c r="R33" s="52" t="str">
        <f t="shared" si="7"/>
        <v/>
      </c>
      <c r="S33" s="53"/>
      <c r="T33" s="52" t="str">
        <f t="shared" si="8"/>
        <v/>
      </c>
      <c r="U33" s="51"/>
      <c r="V33" s="52" t="str">
        <f t="shared" si="9"/>
        <v/>
      </c>
      <c r="W33" s="51"/>
      <c r="X33" s="52" t="str">
        <f t="shared" si="10"/>
        <v/>
      </c>
    </row>
    <row r="34" spans="1:24" x14ac:dyDescent="0.35">
      <c r="A34" s="27">
        <v>24</v>
      </c>
      <c r="B34" s="54">
        <v>46349</v>
      </c>
      <c r="C34" s="63">
        <f t="shared" si="0"/>
        <v>1</v>
      </c>
      <c r="D34" s="48"/>
      <c r="E34" s="27"/>
      <c r="F34" s="27"/>
      <c r="G34" s="56" t="str">
        <f t="shared" si="1"/>
        <v/>
      </c>
      <c r="H34" s="57" t="str">
        <f t="shared" si="2"/>
        <v/>
      </c>
      <c r="I34" s="53"/>
      <c r="J34" s="58" t="str">
        <f t="shared" si="3"/>
        <v/>
      </c>
      <c r="K34" s="51"/>
      <c r="L34" s="58" t="str">
        <f t="shared" si="4"/>
        <v/>
      </c>
      <c r="M34" s="53"/>
      <c r="N34" s="58" t="str">
        <f t="shared" si="5"/>
        <v/>
      </c>
      <c r="O34" s="53"/>
      <c r="P34" s="58" t="str">
        <f t="shared" si="6"/>
        <v/>
      </c>
      <c r="Q34" s="51"/>
      <c r="R34" s="58" t="str">
        <f t="shared" si="7"/>
        <v/>
      </c>
      <c r="S34" s="53"/>
      <c r="T34" s="58" t="str">
        <f t="shared" si="8"/>
        <v/>
      </c>
      <c r="U34" s="51"/>
      <c r="V34" s="58" t="str">
        <f t="shared" si="9"/>
        <v/>
      </c>
      <c r="W34" s="51"/>
      <c r="X34" s="58" t="str">
        <f t="shared" si="10"/>
        <v/>
      </c>
    </row>
    <row r="35" spans="1:24" x14ac:dyDescent="0.35">
      <c r="A35" s="20">
        <v>25</v>
      </c>
      <c r="B35" s="46">
        <v>46356</v>
      </c>
      <c r="C35" s="62">
        <f t="shared" si="0"/>
        <v>1</v>
      </c>
      <c r="D35" s="48"/>
      <c r="E35" s="20"/>
      <c r="F35" s="20"/>
      <c r="G35" s="49" t="str">
        <f t="shared" si="1"/>
        <v/>
      </c>
      <c r="H35" s="50" t="str">
        <f t="shared" si="2"/>
        <v/>
      </c>
      <c r="I35" s="53"/>
      <c r="J35" s="52" t="str">
        <f t="shared" si="3"/>
        <v/>
      </c>
      <c r="K35" s="51"/>
      <c r="L35" s="52" t="str">
        <f t="shared" si="4"/>
        <v/>
      </c>
      <c r="M35" s="53"/>
      <c r="N35" s="52" t="str">
        <f t="shared" si="5"/>
        <v/>
      </c>
      <c r="O35" s="53"/>
      <c r="P35" s="52" t="str">
        <f t="shared" si="6"/>
        <v/>
      </c>
      <c r="Q35" s="51"/>
      <c r="R35" s="52" t="str">
        <f t="shared" si="7"/>
        <v/>
      </c>
      <c r="S35" s="53"/>
      <c r="T35" s="52" t="str">
        <f t="shared" si="8"/>
        <v/>
      </c>
      <c r="U35" s="51"/>
      <c r="V35" s="52" t="str">
        <f t="shared" si="9"/>
        <v/>
      </c>
      <c r="W35" s="51"/>
      <c r="X35" s="52" t="str">
        <f t="shared" si="10"/>
        <v/>
      </c>
    </row>
    <row r="36" spans="1:24" x14ac:dyDescent="0.35">
      <c r="A36" s="27">
        <v>26</v>
      </c>
      <c r="B36" s="54">
        <v>46363</v>
      </c>
      <c r="C36" s="63">
        <f t="shared" si="0"/>
        <v>1</v>
      </c>
      <c r="D36" s="48"/>
      <c r="E36" s="27"/>
      <c r="F36" s="27"/>
      <c r="G36" s="56" t="str">
        <f t="shared" si="1"/>
        <v/>
      </c>
      <c r="H36" s="57" t="str">
        <f t="shared" si="2"/>
        <v/>
      </c>
      <c r="I36" s="53"/>
      <c r="J36" s="58" t="str">
        <f t="shared" si="3"/>
        <v/>
      </c>
      <c r="K36" s="51"/>
      <c r="L36" s="58" t="str">
        <f t="shared" si="4"/>
        <v/>
      </c>
      <c r="M36" s="53"/>
      <c r="N36" s="58" t="str">
        <f t="shared" si="5"/>
        <v/>
      </c>
      <c r="O36" s="53"/>
      <c r="P36" s="58" t="str">
        <f t="shared" si="6"/>
        <v/>
      </c>
      <c r="Q36" s="51"/>
      <c r="R36" s="58" t="str">
        <f t="shared" si="7"/>
        <v/>
      </c>
      <c r="S36" s="53"/>
      <c r="T36" s="58" t="str">
        <f t="shared" si="8"/>
        <v/>
      </c>
      <c r="U36" s="51"/>
      <c r="V36" s="58" t="str">
        <f t="shared" si="9"/>
        <v/>
      </c>
      <c r="W36" s="51"/>
      <c r="X36" s="58" t="str">
        <f t="shared" si="10"/>
        <v/>
      </c>
    </row>
    <row r="37" spans="1:24" x14ac:dyDescent="0.35">
      <c r="A37" s="20">
        <v>27</v>
      </c>
      <c r="B37" s="46">
        <v>46370</v>
      </c>
      <c r="C37" s="62">
        <f t="shared" si="0"/>
        <v>1</v>
      </c>
      <c r="D37" s="48"/>
      <c r="E37" s="20"/>
      <c r="F37" s="20"/>
      <c r="G37" s="49" t="str">
        <f t="shared" si="1"/>
        <v/>
      </c>
      <c r="H37" s="50" t="str">
        <f t="shared" si="2"/>
        <v/>
      </c>
      <c r="I37" s="53"/>
      <c r="J37" s="52" t="str">
        <f t="shared" si="3"/>
        <v/>
      </c>
      <c r="K37" s="51"/>
      <c r="L37" s="52" t="str">
        <f t="shared" si="4"/>
        <v/>
      </c>
      <c r="M37" s="53"/>
      <c r="N37" s="52" t="str">
        <f t="shared" si="5"/>
        <v/>
      </c>
      <c r="O37" s="53"/>
      <c r="P37" s="52" t="str">
        <f t="shared" si="6"/>
        <v/>
      </c>
      <c r="Q37" s="51"/>
      <c r="R37" s="52" t="str">
        <f t="shared" si="7"/>
        <v/>
      </c>
      <c r="S37" s="53"/>
      <c r="T37" s="52" t="str">
        <f t="shared" si="8"/>
        <v/>
      </c>
      <c r="U37" s="51"/>
      <c r="V37" s="52" t="str">
        <f t="shared" si="9"/>
        <v/>
      </c>
      <c r="W37" s="51"/>
      <c r="X37" s="52" t="str">
        <f t="shared" si="10"/>
        <v/>
      </c>
    </row>
    <row r="38" spans="1:24" x14ac:dyDescent="0.35">
      <c r="A38" s="27">
        <v>28</v>
      </c>
      <c r="B38" s="54">
        <v>46377</v>
      </c>
      <c r="C38" s="63">
        <f t="shared" si="0"/>
        <v>1</v>
      </c>
      <c r="D38" s="48"/>
      <c r="E38" s="27"/>
      <c r="F38" s="27"/>
      <c r="G38" s="56" t="str">
        <f t="shared" si="1"/>
        <v/>
      </c>
      <c r="H38" s="57" t="str">
        <f t="shared" si="2"/>
        <v/>
      </c>
      <c r="I38" s="53"/>
      <c r="J38" s="58" t="str">
        <f t="shared" si="3"/>
        <v/>
      </c>
      <c r="K38" s="51"/>
      <c r="L38" s="58" t="str">
        <f t="shared" si="4"/>
        <v/>
      </c>
      <c r="M38" s="53"/>
      <c r="N38" s="58" t="str">
        <f t="shared" si="5"/>
        <v/>
      </c>
      <c r="O38" s="53"/>
      <c r="P38" s="58" t="str">
        <f t="shared" si="6"/>
        <v/>
      </c>
      <c r="Q38" s="51"/>
      <c r="R38" s="58" t="str">
        <f t="shared" si="7"/>
        <v/>
      </c>
      <c r="S38" s="53"/>
      <c r="T38" s="58" t="str">
        <f t="shared" si="8"/>
        <v/>
      </c>
      <c r="U38" s="51"/>
      <c r="V38" s="58" t="str">
        <f t="shared" si="9"/>
        <v/>
      </c>
      <c r="W38" s="51"/>
      <c r="X38" s="58" t="str">
        <f t="shared" si="10"/>
        <v/>
      </c>
    </row>
    <row r="39" spans="1:24" x14ac:dyDescent="0.35">
      <c r="A39" s="20">
        <v>29</v>
      </c>
      <c r="B39" s="46">
        <v>46384</v>
      </c>
      <c r="C39" s="62">
        <f t="shared" si="0"/>
        <v>1</v>
      </c>
      <c r="D39" s="48"/>
      <c r="E39" s="20"/>
      <c r="F39" s="20"/>
      <c r="G39" s="49" t="str">
        <f t="shared" si="1"/>
        <v/>
      </c>
      <c r="H39" s="50" t="str">
        <f t="shared" si="2"/>
        <v/>
      </c>
      <c r="I39" s="53"/>
      <c r="J39" s="52" t="str">
        <f t="shared" si="3"/>
        <v/>
      </c>
      <c r="K39" s="51"/>
      <c r="L39" s="52" t="str">
        <f t="shared" si="4"/>
        <v/>
      </c>
      <c r="M39" s="53"/>
      <c r="N39" s="52" t="str">
        <f t="shared" si="5"/>
        <v/>
      </c>
      <c r="O39" s="53"/>
      <c r="P39" s="52" t="str">
        <f t="shared" si="6"/>
        <v/>
      </c>
      <c r="Q39" s="51"/>
      <c r="R39" s="52" t="str">
        <f t="shared" si="7"/>
        <v/>
      </c>
      <c r="S39" s="53"/>
      <c r="T39" s="52" t="str">
        <f t="shared" si="8"/>
        <v/>
      </c>
      <c r="U39" s="51"/>
      <c r="V39" s="52" t="str">
        <f t="shared" si="9"/>
        <v/>
      </c>
      <c r="W39" s="51"/>
      <c r="X39" s="52" t="str">
        <f t="shared" si="10"/>
        <v/>
      </c>
    </row>
    <row r="40" spans="1:24" x14ac:dyDescent="0.35">
      <c r="A40" s="27">
        <v>30</v>
      </c>
      <c r="B40" s="54">
        <v>46391</v>
      </c>
      <c r="C40" s="63">
        <f t="shared" si="0"/>
        <v>1</v>
      </c>
      <c r="D40" s="48"/>
      <c r="E40" s="27"/>
      <c r="F40" s="27"/>
      <c r="G40" s="56" t="str">
        <f t="shared" si="1"/>
        <v/>
      </c>
      <c r="H40" s="57" t="str">
        <f t="shared" si="2"/>
        <v/>
      </c>
      <c r="I40" s="53"/>
      <c r="J40" s="58" t="str">
        <f t="shared" si="3"/>
        <v/>
      </c>
      <c r="K40" s="51"/>
      <c r="L40" s="58" t="str">
        <f t="shared" si="4"/>
        <v/>
      </c>
      <c r="M40" s="53"/>
      <c r="N40" s="58" t="str">
        <f t="shared" si="5"/>
        <v/>
      </c>
      <c r="O40" s="53"/>
      <c r="P40" s="58" t="str">
        <f t="shared" si="6"/>
        <v/>
      </c>
      <c r="Q40" s="51"/>
      <c r="R40" s="58" t="str">
        <f t="shared" si="7"/>
        <v/>
      </c>
      <c r="S40" s="53"/>
      <c r="T40" s="58" t="str">
        <f t="shared" si="8"/>
        <v/>
      </c>
      <c r="U40" s="51"/>
      <c r="V40" s="58" t="str">
        <f t="shared" si="9"/>
        <v/>
      </c>
      <c r="W40" s="51"/>
      <c r="X40" s="58" t="str">
        <f t="shared" si="10"/>
        <v/>
      </c>
    </row>
    <row r="41" spans="1:24" x14ac:dyDescent="0.35">
      <c r="A41" s="20">
        <v>31</v>
      </c>
      <c r="B41" s="46">
        <v>46398</v>
      </c>
      <c r="C41" s="62">
        <f t="shared" si="0"/>
        <v>1</v>
      </c>
      <c r="D41" s="48"/>
      <c r="E41" s="20"/>
      <c r="F41" s="20"/>
      <c r="G41" s="49" t="str">
        <f t="shared" si="1"/>
        <v/>
      </c>
      <c r="H41" s="50" t="str">
        <f t="shared" si="2"/>
        <v/>
      </c>
      <c r="I41" s="53"/>
      <c r="J41" s="52" t="str">
        <f t="shared" si="3"/>
        <v/>
      </c>
      <c r="K41" s="51"/>
      <c r="L41" s="52" t="str">
        <f t="shared" si="4"/>
        <v/>
      </c>
      <c r="M41" s="53"/>
      <c r="N41" s="52" t="str">
        <f t="shared" si="5"/>
        <v/>
      </c>
      <c r="O41" s="53"/>
      <c r="P41" s="52" t="str">
        <f t="shared" si="6"/>
        <v/>
      </c>
      <c r="Q41" s="51"/>
      <c r="R41" s="52" t="str">
        <f t="shared" si="7"/>
        <v/>
      </c>
      <c r="S41" s="53"/>
      <c r="T41" s="52" t="str">
        <f t="shared" si="8"/>
        <v/>
      </c>
      <c r="U41" s="51"/>
      <c r="V41" s="52" t="str">
        <f t="shared" si="9"/>
        <v/>
      </c>
      <c r="W41" s="51"/>
      <c r="X41" s="52" t="str">
        <f t="shared" si="10"/>
        <v/>
      </c>
    </row>
    <row r="42" spans="1:24" x14ac:dyDescent="0.35">
      <c r="A42" s="27">
        <v>32</v>
      </c>
      <c r="B42" s="54">
        <v>46405</v>
      </c>
      <c r="C42" s="63">
        <f t="shared" si="0"/>
        <v>1</v>
      </c>
      <c r="D42" s="48"/>
      <c r="E42" s="27"/>
      <c r="F42" s="27"/>
      <c r="G42" s="56" t="str">
        <f t="shared" si="1"/>
        <v/>
      </c>
      <c r="H42" s="57" t="str">
        <f t="shared" si="2"/>
        <v/>
      </c>
      <c r="I42" s="53"/>
      <c r="J42" s="58" t="str">
        <f t="shared" si="3"/>
        <v/>
      </c>
      <c r="K42" s="51"/>
      <c r="L42" s="58" t="str">
        <f t="shared" si="4"/>
        <v/>
      </c>
      <c r="M42" s="53"/>
      <c r="N42" s="58" t="str">
        <f t="shared" si="5"/>
        <v/>
      </c>
      <c r="O42" s="53"/>
      <c r="P42" s="58" t="str">
        <f t="shared" si="6"/>
        <v/>
      </c>
      <c r="Q42" s="51"/>
      <c r="R42" s="58" t="str">
        <f t="shared" si="7"/>
        <v/>
      </c>
      <c r="S42" s="53"/>
      <c r="T42" s="58" t="str">
        <f t="shared" si="8"/>
        <v/>
      </c>
      <c r="U42" s="51"/>
      <c r="V42" s="58" t="str">
        <f t="shared" si="9"/>
        <v/>
      </c>
      <c r="W42" s="51"/>
      <c r="X42" s="58" t="str">
        <f t="shared" si="10"/>
        <v/>
      </c>
    </row>
    <row r="43" spans="1:24" x14ac:dyDescent="0.35">
      <c r="A43" s="20">
        <v>33</v>
      </c>
      <c r="B43" s="46">
        <v>46412</v>
      </c>
      <c r="C43" s="62">
        <f t="shared" ref="C43:C74" si="11">$B$5</f>
        <v>1</v>
      </c>
      <c r="D43" s="48"/>
      <c r="E43" s="20"/>
      <c r="F43" s="20"/>
      <c r="G43" s="49" t="str">
        <f t="shared" ref="G43:G74" si="12">IF(D43="","",D43-C43)</f>
        <v/>
      </c>
      <c r="H43" s="50" t="str">
        <f t="shared" ref="H43:H74" si="13">IF(D43="","",IF(D43&gt;=C43,"En meta",IF(D43&gt;=C43-0.05,"Riesgo","Atrasado")))</f>
        <v/>
      </c>
      <c r="I43" s="53"/>
      <c r="J43" s="52" t="str">
        <f t="shared" ref="J43:J74" si="14">IF(I43="","",IF($I$9="","",IF($I$9=0,"",I43/$I$9)))</f>
        <v/>
      </c>
      <c r="K43" s="51"/>
      <c r="L43" s="52" t="str">
        <f t="shared" ref="L43:L74" si="15">IF(K43="","",IF($K$9="","",IF($K$9=0,"",K43/$K$9)))</f>
        <v/>
      </c>
      <c r="M43" s="53"/>
      <c r="N43" s="52" t="str">
        <f t="shared" ref="N43:N74" si="16">IF(M43="","",IF($M$9="","",IF($M$9=0,"",M43/$M$9)))</f>
        <v/>
      </c>
      <c r="O43" s="53"/>
      <c r="P43" s="52" t="str">
        <f t="shared" ref="P43:P74" si="17">IF(O43="","",IF($O$9="","",IF($O$9=0,"",O43/$O$9)))</f>
        <v/>
      </c>
      <c r="Q43" s="51"/>
      <c r="R43" s="52" t="str">
        <f t="shared" ref="R43:R74" si="18">IF(Q43="","",IF($Q$9="","",IF($Q$9=0,"",Q43/$Q$9)))</f>
        <v/>
      </c>
      <c r="S43" s="53"/>
      <c r="T43" s="52" t="str">
        <f t="shared" ref="T43:T74" si="19">IF(S43="","",IF($S$9="","",IF($S$9=0,"",S43/$S$9)))</f>
        <v/>
      </c>
      <c r="U43" s="51"/>
      <c r="V43" s="52" t="str">
        <f t="shared" ref="V43:V74" si="20">IF(U43="","",IF($U$9="","",IF($U$9=0,"",U43/$U$9)))</f>
        <v/>
      </c>
      <c r="W43" s="51"/>
      <c r="X43" s="52" t="str">
        <f t="shared" ref="X43:X74" si="21">IF(W43="","",IF($W$9="","",IF($W$9=0,"",W43/$W$9)))</f>
        <v/>
      </c>
    </row>
    <row r="44" spans="1:24" x14ac:dyDescent="0.35">
      <c r="A44" s="27">
        <v>34</v>
      </c>
      <c r="B44" s="54">
        <v>46419</v>
      </c>
      <c r="C44" s="63">
        <f t="shared" si="11"/>
        <v>1</v>
      </c>
      <c r="D44" s="48"/>
      <c r="E44" s="27"/>
      <c r="F44" s="27"/>
      <c r="G44" s="56" t="str">
        <f t="shared" si="12"/>
        <v/>
      </c>
      <c r="H44" s="57" t="str">
        <f t="shared" si="13"/>
        <v/>
      </c>
      <c r="I44" s="53"/>
      <c r="J44" s="58" t="str">
        <f t="shared" si="14"/>
        <v/>
      </c>
      <c r="K44" s="51"/>
      <c r="L44" s="58" t="str">
        <f t="shared" si="15"/>
        <v/>
      </c>
      <c r="M44" s="53"/>
      <c r="N44" s="58" t="str">
        <f t="shared" si="16"/>
        <v/>
      </c>
      <c r="O44" s="53"/>
      <c r="P44" s="58" t="str">
        <f t="shared" si="17"/>
        <v/>
      </c>
      <c r="Q44" s="51"/>
      <c r="R44" s="58" t="str">
        <f t="shared" si="18"/>
        <v/>
      </c>
      <c r="S44" s="53"/>
      <c r="T44" s="58" t="str">
        <f t="shared" si="19"/>
        <v/>
      </c>
      <c r="U44" s="51"/>
      <c r="V44" s="58" t="str">
        <f t="shared" si="20"/>
        <v/>
      </c>
      <c r="W44" s="51"/>
      <c r="X44" s="58" t="str">
        <f t="shared" si="21"/>
        <v/>
      </c>
    </row>
    <row r="45" spans="1:24" x14ac:dyDescent="0.35">
      <c r="A45" s="20">
        <v>35</v>
      </c>
      <c r="B45" s="46">
        <v>46426</v>
      </c>
      <c r="C45" s="62">
        <f t="shared" si="11"/>
        <v>1</v>
      </c>
      <c r="D45" s="48"/>
      <c r="E45" s="20"/>
      <c r="F45" s="20"/>
      <c r="G45" s="49" t="str">
        <f t="shared" si="12"/>
        <v/>
      </c>
      <c r="H45" s="50" t="str">
        <f t="shared" si="13"/>
        <v/>
      </c>
      <c r="I45" s="53"/>
      <c r="J45" s="52" t="str">
        <f t="shared" si="14"/>
        <v/>
      </c>
      <c r="K45" s="51"/>
      <c r="L45" s="52" t="str">
        <f t="shared" si="15"/>
        <v/>
      </c>
      <c r="M45" s="53"/>
      <c r="N45" s="52" t="str">
        <f t="shared" si="16"/>
        <v/>
      </c>
      <c r="O45" s="53"/>
      <c r="P45" s="52" t="str">
        <f t="shared" si="17"/>
        <v/>
      </c>
      <c r="Q45" s="51"/>
      <c r="R45" s="52" t="str">
        <f t="shared" si="18"/>
        <v/>
      </c>
      <c r="S45" s="53"/>
      <c r="T45" s="52" t="str">
        <f t="shared" si="19"/>
        <v/>
      </c>
      <c r="U45" s="51"/>
      <c r="V45" s="52" t="str">
        <f t="shared" si="20"/>
        <v/>
      </c>
      <c r="W45" s="51"/>
      <c r="X45" s="52" t="str">
        <f t="shared" si="21"/>
        <v/>
      </c>
    </row>
    <row r="46" spans="1:24" x14ac:dyDescent="0.35">
      <c r="A46" s="27">
        <v>36</v>
      </c>
      <c r="B46" s="54">
        <v>46433</v>
      </c>
      <c r="C46" s="63">
        <f t="shared" si="11"/>
        <v>1</v>
      </c>
      <c r="D46" s="48"/>
      <c r="E46" s="27"/>
      <c r="F46" s="27"/>
      <c r="G46" s="56" t="str">
        <f t="shared" si="12"/>
        <v/>
      </c>
      <c r="H46" s="57" t="str">
        <f t="shared" si="13"/>
        <v/>
      </c>
      <c r="I46" s="53"/>
      <c r="J46" s="58" t="str">
        <f t="shared" si="14"/>
        <v/>
      </c>
      <c r="K46" s="51"/>
      <c r="L46" s="58" t="str">
        <f t="shared" si="15"/>
        <v/>
      </c>
      <c r="M46" s="53"/>
      <c r="N46" s="58" t="str">
        <f t="shared" si="16"/>
        <v/>
      </c>
      <c r="O46" s="53"/>
      <c r="P46" s="58" t="str">
        <f t="shared" si="17"/>
        <v/>
      </c>
      <c r="Q46" s="51"/>
      <c r="R46" s="58" t="str">
        <f t="shared" si="18"/>
        <v/>
      </c>
      <c r="S46" s="53"/>
      <c r="T46" s="58" t="str">
        <f t="shared" si="19"/>
        <v/>
      </c>
      <c r="U46" s="51"/>
      <c r="V46" s="58" t="str">
        <f t="shared" si="20"/>
        <v/>
      </c>
      <c r="W46" s="51"/>
      <c r="X46" s="58" t="str">
        <f t="shared" si="21"/>
        <v/>
      </c>
    </row>
    <row r="47" spans="1:24" x14ac:dyDescent="0.35">
      <c r="A47" s="20">
        <v>37</v>
      </c>
      <c r="B47" s="46">
        <v>46440</v>
      </c>
      <c r="C47" s="62">
        <f t="shared" si="11"/>
        <v>1</v>
      </c>
      <c r="D47" s="48"/>
      <c r="E47" s="20"/>
      <c r="F47" s="20"/>
      <c r="G47" s="49" t="str">
        <f t="shared" si="12"/>
        <v/>
      </c>
      <c r="H47" s="50" t="str">
        <f t="shared" si="13"/>
        <v/>
      </c>
      <c r="I47" s="53"/>
      <c r="J47" s="52" t="str">
        <f t="shared" si="14"/>
        <v/>
      </c>
      <c r="K47" s="51"/>
      <c r="L47" s="52" t="str">
        <f t="shared" si="15"/>
        <v/>
      </c>
      <c r="M47" s="53"/>
      <c r="N47" s="52" t="str">
        <f t="shared" si="16"/>
        <v/>
      </c>
      <c r="O47" s="53"/>
      <c r="P47" s="52" t="str">
        <f t="shared" si="17"/>
        <v/>
      </c>
      <c r="Q47" s="51"/>
      <c r="R47" s="52" t="str">
        <f t="shared" si="18"/>
        <v/>
      </c>
      <c r="S47" s="53"/>
      <c r="T47" s="52" t="str">
        <f t="shared" si="19"/>
        <v/>
      </c>
      <c r="U47" s="51"/>
      <c r="V47" s="52" t="str">
        <f t="shared" si="20"/>
        <v/>
      </c>
      <c r="W47" s="51"/>
      <c r="X47" s="52" t="str">
        <f t="shared" si="21"/>
        <v/>
      </c>
    </row>
    <row r="48" spans="1:24" x14ac:dyDescent="0.35">
      <c r="A48" s="27">
        <v>38</v>
      </c>
      <c r="B48" s="54">
        <v>46447</v>
      </c>
      <c r="C48" s="63">
        <f t="shared" si="11"/>
        <v>1</v>
      </c>
      <c r="D48" s="48"/>
      <c r="E48" s="27"/>
      <c r="F48" s="27"/>
      <c r="G48" s="56" t="str">
        <f t="shared" si="12"/>
        <v/>
      </c>
      <c r="H48" s="57" t="str">
        <f t="shared" si="13"/>
        <v/>
      </c>
      <c r="I48" s="53"/>
      <c r="J48" s="58" t="str">
        <f t="shared" si="14"/>
        <v/>
      </c>
      <c r="K48" s="51"/>
      <c r="L48" s="58" t="str">
        <f t="shared" si="15"/>
        <v/>
      </c>
      <c r="M48" s="53"/>
      <c r="N48" s="58" t="str">
        <f t="shared" si="16"/>
        <v/>
      </c>
      <c r="O48" s="53"/>
      <c r="P48" s="58" t="str">
        <f t="shared" si="17"/>
        <v/>
      </c>
      <c r="Q48" s="51"/>
      <c r="R48" s="58" t="str">
        <f t="shared" si="18"/>
        <v/>
      </c>
      <c r="S48" s="53"/>
      <c r="T48" s="58" t="str">
        <f t="shared" si="19"/>
        <v/>
      </c>
      <c r="U48" s="51"/>
      <c r="V48" s="58" t="str">
        <f t="shared" si="20"/>
        <v/>
      </c>
      <c r="W48" s="51"/>
      <c r="X48" s="58" t="str">
        <f t="shared" si="21"/>
        <v/>
      </c>
    </row>
    <row r="49" spans="1:24" x14ac:dyDescent="0.35">
      <c r="A49" s="20">
        <v>39</v>
      </c>
      <c r="B49" s="46">
        <v>46454</v>
      </c>
      <c r="C49" s="62">
        <f t="shared" si="11"/>
        <v>1</v>
      </c>
      <c r="D49" s="48"/>
      <c r="E49" s="20"/>
      <c r="F49" s="20"/>
      <c r="G49" s="49" t="str">
        <f t="shared" si="12"/>
        <v/>
      </c>
      <c r="H49" s="50" t="str">
        <f t="shared" si="13"/>
        <v/>
      </c>
      <c r="I49" s="53"/>
      <c r="J49" s="52" t="str">
        <f t="shared" si="14"/>
        <v/>
      </c>
      <c r="K49" s="51"/>
      <c r="L49" s="52" t="str">
        <f t="shared" si="15"/>
        <v/>
      </c>
      <c r="M49" s="53"/>
      <c r="N49" s="52" t="str">
        <f t="shared" si="16"/>
        <v/>
      </c>
      <c r="O49" s="53"/>
      <c r="P49" s="52" t="str">
        <f t="shared" si="17"/>
        <v/>
      </c>
      <c r="Q49" s="51"/>
      <c r="R49" s="52" t="str">
        <f t="shared" si="18"/>
        <v/>
      </c>
      <c r="S49" s="53"/>
      <c r="T49" s="52" t="str">
        <f t="shared" si="19"/>
        <v/>
      </c>
      <c r="U49" s="51"/>
      <c r="V49" s="52" t="str">
        <f t="shared" si="20"/>
        <v/>
      </c>
      <c r="W49" s="51"/>
      <c r="X49" s="52" t="str">
        <f t="shared" si="21"/>
        <v/>
      </c>
    </row>
    <row r="50" spans="1:24" x14ac:dyDescent="0.35">
      <c r="A50" s="27">
        <v>40</v>
      </c>
      <c r="B50" s="54">
        <v>46461</v>
      </c>
      <c r="C50" s="63">
        <f t="shared" si="11"/>
        <v>1</v>
      </c>
      <c r="D50" s="48"/>
      <c r="E50" s="27"/>
      <c r="F50" s="27"/>
      <c r="G50" s="56" t="str">
        <f t="shared" si="12"/>
        <v/>
      </c>
      <c r="H50" s="57" t="str">
        <f t="shared" si="13"/>
        <v/>
      </c>
      <c r="I50" s="53"/>
      <c r="J50" s="58" t="str">
        <f t="shared" si="14"/>
        <v/>
      </c>
      <c r="K50" s="51"/>
      <c r="L50" s="58" t="str">
        <f t="shared" si="15"/>
        <v/>
      </c>
      <c r="M50" s="53"/>
      <c r="N50" s="58" t="str">
        <f t="shared" si="16"/>
        <v/>
      </c>
      <c r="O50" s="53"/>
      <c r="P50" s="58" t="str">
        <f t="shared" si="17"/>
        <v/>
      </c>
      <c r="Q50" s="51"/>
      <c r="R50" s="58" t="str">
        <f t="shared" si="18"/>
        <v/>
      </c>
      <c r="S50" s="53"/>
      <c r="T50" s="58" t="str">
        <f t="shared" si="19"/>
        <v/>
      </c>
      <c r="U50" s="51"/>
      <c r="V50" s="58" t="str">
        <f t="shared" si="20"/>
        <v/>
      </c>
      <c r="W50" s="51"/>
      <c r="X50" s="58" t="str">
        <f t="shared" si="21"/>
        <v/>
      </c>
    </row>
    <row r="51" spans="1:24" x14ac:dyDescent="0.35">
      <c r="A51" s="20">
        <v>41</v>
      </c>
      <c r="B51" s="46">
        <v>46468</v>
      </c>
      <c r="C51" s="62">
        <f t="shared" si="11"/>
        <v>1</v>
      </c>
      <c r="D51" s="48"/>
      <c r="E51" s="20"/>
      <c r="F51" s="20"/>
      <c r="G51" s="49" t="str">
        <f t="shared" si="12"/>
        <v/>
      </c>
      <c r="H51" s="50" t="str">
        <f t="shared" si="13"/>
        <v/>
      </c>
      <c r="I51" s="53"/>
      <c r="J51" s="52" t="str">
        <f t="shared" si="14"/>
        <v/>
      </c>
      <c r="K51" s="51"/>
      <c r="L51" s="52" t="str">
        <f t="shared" si="15"/>
        <v/>
      </c>
      <c r="M51" s="53"/>
      <c r="N51" s="52" t="str">
        <f t="shared" si="16"/>
        <v/>
      </c>
      <c r="O51" s="53"/>
      <c r="P51" s="52" t="str">
        <f t="shared" si="17"/>
        <v/>
      </c>
      <c r="Q51" s="51"/>
      <c r="R51" s="52" t="str">
        <f t="shared" si="18"/>
        <v/>
      </c>
      <c r="S51" s="53"/>
      <c r="T51" s="52" t="str">
        <f t="shared" si="19"/>
        <v/>
      </c>
      <c r="U51" s="51"/>
      <c r="V51" s="52" t="str">
        <f t="shared" si="20"/>
        <v/>
      </c>
      <c r="W51" s="51"/>
      <c r="X51" s="52" t="str">
        <f t="shared" si="21"/>
        <v/>
      </c>
    </row>
    <row r="52" spans="1:24" x14ac:dyDescent="0.35">
      <c r="A52" s="27">
        <v>42</v>
      </c>
      <c r="B52" s="54">
        <v>46475</v>
      </c>
      <c r="C52" s="63">
        <f t="shared" si="11"/>
        <v>1</v>
      </c>
      <c r="D52" s="48"/>
      <c r="E52" s="27"/>
      <c r="F52" s="27"/>
      <c r="G52" s="56" t="str">
        <f t="shared" si="12"/>
        <v/>
      </c>
      <c r="H52" s="57" t="str">
        <f t="shared" si="13"/>
        <v/>
      </c>
      <c r="I52" s="53"/>
      <c r="J52" s="58" t="str">
        <f t="shared" si="14"/>
        <v/>
      </c>
      <c r="K52" s="51"/>
      <c r="L52" s="58" t="str">
        <f t="shared" si="15"/>
        <v/>
      </c>
      <c r="M52" s="53"/>
      <c r="N52" s="58" t="str">
        <f t="shared" si="16"/>
        <v/>
      </c>
      <c r="O52" s="53"/>
      <c r="P52" s="58" t="str">
        <f t="shared" si="17"/>
        <v/>
      </c>
      <c r="Q52" s="51"/>
      <c r="R52" s="58" t="str">
        <f t="shared" si="18"/>
        <v/>
      </c>
      <c r="S52" s="53"/>
      <c r="T52" s="58" t="str">
        <f t="shared" si="19"/>
        <v/>
      </c>
      <c r="U52" s="51"/>
      <c r="V52" s="58" t="str">
        <f t="shared" si="20"/>
        <v/>
      </c>
      <c r="W52" s="51"/>
      <c r="X52" s="58" t="str">
        <f t="shared" si="21"/>
        <v/>
      </c>
    </row>
    <row r="53" spans="1:24" x14ac:dyDescent="0.35">
      <c r="A53" s="20">
        <v>43</v>
      </c>
      <c r="B53" s="46">
        <v>46482</v>
      </c>
      <c r="C53" s="62">
        <f t="shared" si="11"/>
        <v>1</v>
      </c>
      <c r="D53" s="48"/>
      <c r="E53" s="20"/>
      <c r="F53" s="20"/>
      <c r="G53" s="49" t="str">
        <f t="shared" si="12"/>
        <v/>
      </c>
      <c r="H53" s="50" t="str">
        <f t="shared" si="13"/>
        <v/>
      </c>
      <c r="I53" s="53"/>
      <c r="J53" s="52" t="str">
        <f t="shared" si="14"/>
        <v/>
      </c>
      <c r="K53" s="51"/>
      <c r="L53" s="52" t="str">
        <f t="shared" si="15"/>
        <v/>
      </c>
      <c r="M53" s="53"/>
      <c r="N53" s="52" t="str">
        <f t="shared" si="16"/>
        <v/>
      </c>
      <c r="O53" s="53"/>
      <c r="P53" s="52" t="str">
        <f t="shared" si="17"/>
        <v/>
      </c>
      <c r="Q53" s="51"/>
      <c r="R53" s="52" t="str">
        <f t="shared" si="18"/>
        <v/>
      </c>
      <c r="S53" s="53"/>
      <c r="T53" s="52" t="str">
        <f t="shared" si="19"/>
        <v/>
      </c>
      <c r="U53" s="51"/>
      <c r="V53" s="52" t="str">
        <f t="shared" si="20"/>
        <v/>
      </c>
      <c r="W53" s="51"/>
      <c r="X53" s="52" t="str">
        <f t="shared" si="21"/>
        <v/>
      </c>
    </row>
    <row r="54" spans="1:24" x14ac:dyDescent="0.35">
      <c r="A54" s="27">
        <v>44</v>
      </c>
      <c r="B54" s="54">
        <v>46489</v>
      </c>
      <c r="C54" s="63">
        <f t="shared" si="11"/>
        <v>1</v>
      </c>
      <c r="D54" s="48"/>
      <c r="E54" s="27"/>
      <c r="F54" s="27"/>
      <c r="G54" s="56" t="str">
        <f t="shared" si="12"/>
        <v/>
      </c>
      <c r="H54" s="57" t="str">
        <f t="shared" si="13"/>
        <v/>
      </c>
      <c r="I54" s="53"/>
      <c r="J54" s="58" t="str">
        <f t="shared" si="14"/>
        <v/>
      </c>
      <c r="K54" s="51"/>
      <c r="L54" s="58" t="str">
        <f t="shared" si="15"/>
        <v/>
      </c>
      <c r="M54" s="53"/>
      <c r="N54" s="58" t="str">
        <f t="shared" si="16"/>
        <v/>
      </c>
      <c r="O54" s="53"/>
      <c r="P54" s="58" t="str">
        <f t="shared" si="17"/>
        <v/>
      </c>
      <c r="Q54" s="51"/>
      <c r="R54" s="58" t="str">
        <f t="shared" si="18"/>
        <v/>
      </c>
      <c r="S54" s="53"/>
      <c r="T54" s="58" t="str">
        <f t="shared" si="19"/>
        <v/>
      </c>
      <c r="U54" s="51"/>
      <c r="V54" s="58" t="str">
        <f t="shared" si="20"/>
        <v/>
      </c>
      <c r="W54" s="51"/>
      <c r="X54" s="58" t="str">
        <f t="shared" si="21"/>
        <v/>
      </c>
    </row>
    <row r="55" spans="1:24" x14ac:dyDescent="0.35">
      <c r="A55" s="20">
        <v>45</v>
      </c>
      <c r="B55" s="46">
        <v>46496</v>
      </c>
      <c r="C55" s="62">
        <f t="shared" si="11"/>
        <v>1</v>
      </c>
      <c r="D55" s="48"/>
      <c r="E55" s="20"/>
      <c r="F55" s="20"/>
      <c r="G55" s="49" t="str">
        <f t="shared" si="12"/>
        <v/>
      </c>
      <c r="H55" s="50" t="str">
        <f t="shared" si="13"/>
        <v/>
      </c>
      <c r="I55" s="53"/>
      <c r="J55" s="52" t="str">
        <f t="shared" si="14"/>
        <v/>
      </c>
      <c r="K55" s="51"/>
      <c r="L55" s="52" t="str">
        <f t="shared" si="15"/>
        <v/>
      </c>
      <c r="M55" s="53"/>
      <c r="N55" s="52" t="str">
        <f t="shared" si="16"/>
        <v/>
      </c>
      <c r="O55" s="53"/>
      <c r="P55" s="52" t="str">
        <f t="shared" si="17"/>
        <v/>
      </c>
      <c r="Q55" s="51"/>
      <c r="R55" s="52" t="str">
        <f t="shared" si="18"/>
        <v/>
      </c>
      <c r="S55" s="53"/>
      <c r="T55" s="52" t="str">
        <f t="shared" si="19"/>
        <v/>
      </c>
      <c r="U55" s="51"/>
      <c r="V55" s="52" t="str">
        <f t="shared" si="20"/>
        <v/>
      </c>
      <c r="W55" s="51"/>
      <c r="X55" s="52" t="str">
        <f t="shared" si="21"/>
        <v/>
      </c>
    </row>
    <row r="56" spans="1:24" x14ac:dyDescent="0.35">
      <c r="A56" s="27">
        <v>46</v>
      </c>
      <c r="B56" s="54">
        <v>46503</v>
      </c>
      <c r="C56" s="63">
        <f t="shared" si="11"/>
        <v>1</v>
      </c>
      <c r="D56" s="48"/>
      <c r="E56" s="27"/>
      <c r="F56" s="27"/>
      <c r="G56" s="56" t="str">
        <f t="shared" si="12"/>
        <v/>
      </c>
      <c r="H56" s="57" t="str">
        <f t="shared" si="13"/>
        <v/>
      </c>
      <c r="I56" s="53"/>
      <c r="J56" s="58" t="str">
        <f t="shared" si="14"/>
        <v/>
      </c>
      <c r="K56" s="51"/>
      <c r="L56" s="58" t="str">
        <f t="shared" si="15"/>
        <v/>
      </c>
      <c r="M56" s="53"/>
      <c r="N56" s="58" t="str">
        <f t="shared" si="16"/>
        <v/>
      </c>
      <c r="O56" s="53"/>
      <c r="P56" s="58" t="str">
        <f t="shared" si="17"/>
        <v/>
      </c>
      <c r="Q56" s="51"/>
      <c r="R56" s="58" t="str">
        <f t="shared" si="18"/>
        <v/>
      </c>
      <c r="S56" s="53"/>
      <c r="T56" s="58" t="str">
        <f t="shared" si="19"/>
        <v/>
      </c>
      <c r="U56" s="51"/>
      <c r="V56" s="58" t="str">
        <f t="shared" si="20"/>
        <v/>
      </c>
      <c r="W56" s="51"/>
      <c r="X56" s="58" t="str">
        <f t="shared" si="21"/>
        <v/>
      </c>
    </row>
    <row r="57" spans="1:24" x14ac:dyDescent="0.35">
      <c r="A57" s="20">
        <v>47</v>
      </c>
      <c r="B57" s="46">
        <v>46510</v>
      </c>
      <c r="C57" s="62">
        <f t="shared" si="11"/>
        <v>1</v>
      </c>
      <c r="D57" s="48"/>
      <c r="E57" s="20"/>
      <c r="F57" s="20"/>
      <c r="G57" s="49" t="str">
        <f t="shared" si="12"/>
        <v/>
      </c>
      <c r="H57" s="50" t="str">
        <f t="shared" si="13"/>
        <v/>
      </c>
      <c r="I57" s="53"/>
      <c r="J57" s="52" t="str">
        <f t="shared" si="14"/>
        <v/>
      </c>
      <c r="K57" s="51"/>
      <c r="L57" s="52" t="str">
        <f t="shared" si="15"/>
        <v/>
      </c>
      <c r="M57" s="53"/>
      <c r="N57" s="52" t="str">
        <f t="shared" si="16"/>
        <v/>
      </c>
      <c r="O57" s="53"/>
      <c r="P57" s="52" t="str">
        <f t="shared" si="17"/>
        <v/>
      </c>
      <c r="Q57" s="51"/>
      <c r="R57" s="52" t="str">
        <f t="shared" si="18"/>
        <v/>
      </c>
      <c r="S57" s="53"/>
      <c r="T57" s="52" t="str">
        <f t="shared" si="19"/>
        <v/>
      </c>
      <c r="U57" s="51"/>
      <c r="V57" s="52" t="str">
        <f t="shared" si="20"/>
        <v/>
      </c>
      <c r="W57" s="51"/>
      <c r="X57" s="52" t="str">
        <f t="shared" si="21"/>
        <v/>
      </c>
    </row>
    <row r="58" spans="1:24" x14ac:dyDescent="0.35">
      <c r="A58" s="27">
        <v>48</v>
      </c>
      <c r="B58" s="54">
        <v>46517</v>
      </c>
      <c r="C58" s="63">
        <f t="shared" si="11"/>
        <v>1</v>
      </c>
      <c r="D58" s="48"/>
      <c r="E58" s="27"/>
      <c r="F58" s="27"/>
      <c r="G58" s="56" t="str">
        <f t="shared" si="12"/>
        <v/>
      </c>
      <c r="H58" s="57" t="str">
        <f t="shared" si="13"/>
        <v/>
      </c>
      <c r="I58" s="53"/>
      <c r="J58" s="58" t="str">
        <f t="shared" si="14"/>
        <v/>
      </c>
      <c r="K58" s="51"/>
      <c r="L58" s="58" t="str">
        <f t="shared" si="15"/>
        <v/>
      </c>
      <c r="M58" s="53"/>
      <c r="N58" s="58" t="str">
        <f t="shared" si="16"/>
        <v/>
      </c>
      <c r="O58" s="53"/>
      <c r="P58" s="58" t="str">
        <f t="shared" si="17"/>
        <v/>
      </c>
      <c r="Q58" s="51"/>
      <c r="R58" s="58" t="str">
        <f t="shared" si="18"/>
        <v/>
      </c>
      <c r="S58" s="53"/>
      <c r="T58" s="58" t="str">
        <f t="shared" si="19"/>
        <v/>
      </c>
      <c r="U58" s="51"/>
      <c r="V58" s="58" t="str">
        <f t="shared" si="20"/>
        <v/>
      </c>
      <c r="W58" s="51"/>
      <c r="X58" s="58" t="str">
        <f t="shared" si="21"/>
        <v/>
      </c>
    </row>
    <row r="59" spans="1:24" x14ac:dyDescent="0.35">
      <c r="A59" s="20">
        <v>49</v>
      </c>
      <c r="B59" s="46">
        <v>46524</v>
      </c>
      <c r="C59" s="62">
        <f t="shared" si="11"/>
        <v>1</v>
      </c>
      <c r="D59" s="48"/>
      <c r="E59" s="20"/>
      <c r="F59" s="20"/>
      <c r="G59" s="49" t="str">
        <f t="shared" si="12"/>
        <v/>
      </c>
      <c r="H59" s="50" t="str">
        <f t="shared" si="13"/>
        <v/>
      </c>
      <c r="I59" s="53"/>
      <c r="J59" s="52" t="str">
        <f t="shared" si="14"/>
        <v/>
      </c>
      <c r="K59" s="51"/>
      <c r="L59" s="52" t="str">
        <f t="shared" si="15"/>
        <v/>
      </c>
      <c r="M59" s="53"/>
      <c r="N59" s="52" t="str">
        <f t="shared" si="16"/>
        <v/>
      </c>
      <c r="O59" s="53"/>
      <c r="P59" s="52" t="str">
        <f t="shared" si="17"/>
        <v/>
      </c>
      <c r="Q59" s="51"/>
      <c r="R59" s="52" t="str">
        <f t="shared" si="18"/>
        <v/>
      </c>
      <c r="S59" s="53"/>
      <c r="T59" s="52" t="str">
        <f t="shared" si="19"/>
        <v/>
      </c>
      <c r="U59" s="51"/>
      <c r="V59" s="52" t="str">
        <f t="shared" si="20"/>
        <v/>
      </c>
      <c r="W59" s="51"/>
      <c r="X59" s="52" t="str">
        <f t="shared" si="21"/>
        <v/>
      </c>
    </row>
    <row r="60" spans="1:24" x14ac:dyDescent="0.35">
      <c r="A60" s="27">
        <v>50</v>
      </c>
      <c r="B60" s="54">
        <v>46531</v>
      </c>
      <c r="C60" s="63">
        <f t="shared" si="11"/>
        <v>1</v>
      </c>
      <c r="D60" s="48"/>
      <c r="E60" s="27"/>
      <c r="F60" s="27"/>
      <c r="G60" s="56" t="str">
        <f t="shared" si="12"/>
        <v/>
      </c>
      <c r="H60" s="57" t="str">
        <f t="shared" si="13"/>
        <v/>
      </c>
      <c r="I60" s="53"/>
      <c r="J60" s="58" t="str">
        <f t="shared" si="14"/>
        <v/>
      </c>
      <c r="K60" s="51"/>
      <c r="L60" s="58" t="str">
        <f t="shared" si="15"/>
        <v/>
      </c>
      <c r="M60" s="53"/>
      <c r="N60" s="58" t="str">
        <f t="shared" si="16"/>
        <v/>
      </c>
      <c r="O60" s="53"/>
      <c r="P60" s="58" t="str">
        <f t="shared" si="17"/>
        <v/>
      </c>
      <c r="Q60" s="51"/>
      <c r="R60" s="58" t="str">
        <f t="shared" si="18"/>
        <v/>
      </c>
      <c r="S60" s="53"/>
      <c r="T60" s="58" t="str">
        <f t="shared" si="19"/>
        <v/>
      </c>
      <c r="U60" s="51"/>
      <c r="V60" s="58" t="str">
        <f t="shared" si="20"/>
        <v/>
      </c>
      <c r="W60" s="51"/>
      <c r="X60" s="58" t="str">
        <f t="shared" si="21"/>
        <v/>
      </c>
    </row>
    <row r="61" spans="1:24" x14ac:dyDescent="0.35">
      <c r="A61" s="20">
        <v>51</v>
      </c>
      <c r="B61" s="46">
        <v>46538</v>
      </c>
      <c r="C61" s="62">
        <f t="shared" si="11"/>
        <v>1</v>
      </c>
      <c r="D61" s="48"/>
      <c r="E61" s="20"/>
      <c r="F61" s="20"/>
      <c r="G61" s="49" t="str">
        <f t="shared" si="12"/>
        <v/>
      </c>
      <c r="H61" s="50" t="str">
        <f t="shared" si="13"/>
        <v/>
      </c>
      <c r="I61" s="53"/>
      <c r="J61" s="52" t="str">
        <f t="shared" si="14"/>
        <v/>
      </c>
      <c r="K61" s="51"/>
      <c r="L61" s="52" t="str">
        <f t="shared" si="15"/>
        <v/>
      </c>
      <c r="M61" s="53"/>
      <c r="N61" s="52" t="str">
        <f t="shared" si="16"/>
        <v/>
      </c>
      <c r="O61" s="53"/>
      <c r="P61" s="52" t="str">
        <f t="shared" si="17"/>
        <v/>
      </c>
      <c r="Q61" s="51"/>
      <c r="R61" s="52" t="str">
        <f t="shared" si="18"/>
        <v/>
      </c>
      <c r="S61" s="53"/>
      <c r="T61" s="52" t="str">
        <f t="shared" si="19"/>
        <v/>
      </c>
      <c r="U61" s="51"/>
      <c r="V61" s="52" t="str">
        <f t="shared" si="20"/>
        <v/>
      </c>
      <c r="W61" s="51"/>
      <c r="X61" s="52" t="str">
        <f t="shared" si="21"/>
        <v/>
      </c>
    </row>
    <row r="62" spans="1:24" x14ac:dyDescent="0.35">
      <c r="A62" s="27">
        <v>52</v>
      </c>
      <c r="B62" s="54">
        <v>46545</v>
      </c>
      <c r="C62" s="63">
        <f t="shared" si="11"/>
        <v>1</v>
      </c>
      <c r="D62" s="48"/>
      <c r="E62" s="27"/>
      <c r="F62" s="27"/>
      <c r="G62" s="56" t="str">
        <f t="shared" si="12"/>
        <v/>
      </c>
      <c r="H62" s="57" t="str">
        <f t="shared" si="13"/>
        <v/>
      </c>
      <c r="I62" s="53"/>
      <c r="J62" s="58" t="str">
        <f t="shared" si="14"/>
        <v/>
      </c>
      <c r="K62" s="51"/>
      <c r="L62" s="58" t="str">
        <f t="shared" si="15"/>
        <v/>
      </c>
      <c r="M62" s="53"/>
      <c r="N62" s="58" t="str">
        <f t="shared" si="16"/>
        <v/>
      </c>
      <c r="O62" s="53"/>
      <c r="P62" s="58" t="str">
        <f t="shared" si="17"/>
        <v/>
      </c>
      <c r="Q62" s="51"/>
      <c r="R62" s="58" t="str">
        <f t="shared" si="18"/>
        <v/>
      </c>
      <c r="S62" s="53"/>
      <c r="T62" s="58" t="str">
        <f t="shared" si="19"/>
        <v/>
      </c>
      <c r="U62" s="51"/>
      <c r="V62" s="58" t="str">
        <f t="shared" si="20"/>
        <v/>
      </c>
      <c r="W62" s="51"/>
      <c r="X62" s="58" t="str">
        <f t="shared" si="21"/>
        <v/>
      </c>
    </row>
    <row r="63" spans="1:24" x14ac:dyDescent="0.35">
      <c r="A63" s="20">
        <v>53</v>
      </c>
      <c r="B63" s="46">
        <v>46552</v>
      </c>
      <c r="C63" s="62">
        <f t="shared" si="11"/>
        <v>1</v>
      </c>
      <c r="D63" s="48"/>
      <c r="E63" s="20"/>
      <c r="F63" s="20"/>
      <c r="G63" s="49" t="str">
        <f t="shared" si="12"/>
        <v/>
      </c>
      <c r="H63" s="50" t="str">
        <f t="shared" si="13"/>
        <v/>
      </c>
      <c r="I63" s="53"/>
      <c r="J63" s="52" t="str">
        <f t="shared" si="14"/>
        <v/>
      </c>
      <c r="K63" s="51"/>
      <c r="L63" s="52" t="str">
        <f t="shared" si="15"/>
        <v/>
      </c>
      <c r="M63" s="53"/>
      <c r="N63" s="52" t="str">
        <f t="shared" si="16"/>
        <v/>
      </c>
      <c r="O63" s="53"/>
      <c r="P63" s="52" t="str">
        <f t="shared" si="17"/>
        <v/>
      </c>
      <c r="Q63" s="51"/>
      <c r="R63" s="52" t="str">
        <f t="shared" si="18"/>
        <v/>
      </c>
      <c r="S63" s="53"/>
      <c r="T63" s="52" t="str">
        <f t="shared" si="19"/>
        <v/>
      </c>
      <c r="U63" s="51"/>
      <c r="V63" s="52" t="str">
        <f t="shared" si="20"/>
        <v/>
      </c>
      <c r="W63" s="51"/>
      <c r="X63" s="52" t="str">
        <f t="shared" si="21"/>
        <v/>
      </c>
    </row>
    <row r="64" spans="1:24" x14ac:dyDescent="0.35">
      <c r="A64" s="27">
        <v>54</v>
      </c>
      <c r="B64" s="54">
        <v>46559</v>
      </c>
      <c r="C64" s="63">
        <f t="shared" si="11"/>
        <v>1</v>
      </c>
      <c r="D64" s="48"/>
      <c r="E64" s="27"/>
      <c r="F64" s="27"/>
      <c r="G64" s="56" t="str">
        <f t="shared" si="12"/>
        <v/>
      </c>
      <c r="H64" s="57" t="str">
        <f t="shared" si="13"/>
        <v/>
      </c>
      <c r="I64" s="53"/>
      <c r="J64" s="58" t="str">
        <f t="shared" si="14"/>
        <v/>
      </c>
      <c r="K64" s="51"/>
      <c r="L64" s="58" t="str">
        <f t="shared" si="15"/>
        <v/>
      </c>
      <c r="M64" s="53"/>
      <c r="N64" s="58" t="str">
        <f t="shared" si="16"/>
        <v/>
      </c>
      <c r="O64" s="53"/>
      <c r="P64" s="58" t="str">
        <f t="shared" si="17"/>
        <v/>
      </c>
      <c r="Q64" s="51"/>
      <c r="R64" s="58" t="str">
        <f t="shared" si="18"/>
        <v/>
      </c>
      <c r="S64" s="53"/>
      <c r="T64" s="58" t="str">
        <f t="shared" si="19"/>
        <v/>
      </c>
      <c r="U64" s="51"/>
      <c r="V64" s="58" t="str">
        <f t="shared" si="20"/>
        <v/>
      </c>
      <c r="W64" s="51"/>
      <c r="X64" s="58" t="str">
        <f t="shared" si="21"/>
        <v/>
      </c>
    </row>
    <row r="65" spans="1:24" x14ac:dyDescent="0.35">
      <c r="A65" s="20">
        <v>55</v>
      </c>
      <c r="B65" s="46">
        <v>46566</v>
      </c>
      <c r="C65" s="62">
        <f t="shared" si="11"/>
        <v>1</v>
      </c>
      <c r="D65" s="48"/>
      <c r="E65" s="20"/>
      <c r="F65" s="20"/>
      <c r="G65" s="49" t="str">
        <f t="shared" si="12"/>
        <v/>
      </c>
      <c r="H65" s="50" t="str">
        <f t="shared" si="13"/>
        <v/>
      </c>
      <c r="I65" s="53"/>
      <c r="J65" s="52" t="str">
        <f t="shared" si="14"/>
        <v/>
      </c>
      <c r="K65" s="51"/>
      <c r="L65" s="52" t="str">
        <f t="shared" si="15"/>
        <v/>
      </c>
      <c r="M65" s="53"/>
      <c r="N65" s="52" t="str">
        <f t="shared" si="16"/>
        <v/>
      </c>
      <c r="O65" s="53"/>
      <c r="P65" s="52" t="str">
        <f t="shared" si="17"/>
        <v/>
      </c>
      <c r="Q65" s="51"/>
      <c r="R65" s="52" t="str">
        <f t="shared" si="18"/>
        <v/>
      </c>
      <c r="S65" s="53"/>
      <c r="T65" s="52" t="str">
        <f t="shared" si="19"/>
        <v/>
      </c>
      <c r="U65" s="51"/>
      <c r="V65" s="52" t="str">
        <f t="shared" si="20"/>
        <v/>
      </c>
      <c r="W65" s="51"/>
      <c r="X65" s="52" t="str">
        <f t="shared" si="21"/>
        <v/>
      </c>
    </row>
    <row r="66" spans="1:24" x14ac:dyDescent="0.35">
      <c r="A66" s="27">
        <v>56</v>
      </c>
      <c r="B66" s="54">
        <v>46573</v>
      </c>
      <c r="C66" s="63">
        <f t="shared" si="11"/>
        <v>1</v>
      </c>
      <c r="D66" s="48"/>
      <c r="E66" s="27"/>
      <c r="F66" s="27"/>
      <c r="G66" s="56" t="str">
        <f t="shared" si="12"/>
        <v/>
      </c>
      <c r="H66" s="57" t="str">
        <f t="shared" si="13"/>
        <v/>
      </c>
      <c r="I66" s="53"/>
      <c r="J66" s="58" t="str">
        <f t="shared" si="14"/>
        <v/>
      </c>
      <c r="K66" s="51"/>
      <c r="L66" s="58" t="str">
        <f t="shared" si="15"/>
        <v/>
      </c>
      <c r="M66" s="53"/>
      <c r="N66" s="58" t="str">
        <f t="shared" si="16"/>
        <v/>
      </c>
      <c r="O66" s="53"/>
      <c r="P66" s="58" t="str">
        <f t="shared" si="17"/>
        <v/>
      </c>
      <c r="Q66" s="51"/>
      <c r="R66" s="58" t="str">
        <f t="shared" si="18"/>
        <v/>
      </c>
      <c r="S66" s="53"/>
      <c r="T66" s="58" t="str">
        <f t="shared" si="19"/>
        <v/>
      </c>
      <c r="U66" s="51"/>
      <c r="V66" s="58" t="str">
        <f t="shared" si="20"/>
        <v/>
      </c>
      <c r="W66" s="51"/>
      <c r="X66" s="58" t="str">
        <f t="shared" si="21"/>
        <v/>
      </c>
    </row>
    <row r="67" spans="1:24" x14ac:dyDescent="0.35">
      <c r="A67" s="20">
        <v>57</v>
      </c>
      <c r="B67" s="46">
        <v>46580</v>
      </c>
      <c r="C67" s="62">
        <f t="shared" si="11"/>
        <v>1</v>
      </c>
      <c r="D67" s="48"/>
      <c r="E67" s="20"/>
      <c r="F67" s="20"/>
      <c r="G67" s="49" t="str">
        <f t="shared" si="12"/>
        <v/>
      </c>
      <c r="H67" s="50" t="str">
        <f t="shared" si="13"/>
        <v/>
      </c>
      <c r="I67" s="53"/>
      <c r="J67" s="52" t="str">
        <f t="shared" si="14"/>
        <v/>
      </c>
      <c r="K67" s="51"/>
      <c r="L67" s="52" t="str">
        <f t="shared" si="15"/>
        <v/>
      </c>
      <c r="M67" s="53"/>
      <c r="N67" s="52" t="str">
        <f t="shared" si="16"/>
        <v/>
      </c>
      <c r="O67" s="53"/>
      <c r="P67" s="52" t="str">
        <f t="shared" si="17"/>
        <v/>
      </c>
      <c r="Q67" s="51"/>
      <c r="R67" s="52" t="str">
        <f t="shared" si="18"/>
        <v/>
      </c>
      <c r="S67" s="53"/>
      <c r="T67" s="52" t="str">
        <f t="shared" si="19"/>
        <v/>
      </c>
      <c r="U67" s="51"/>
      <c r="V67" s="52" t="str">
        <f t="shared" si="20"/>
        <v/>
      </c>
      <c r="W67" s="51"/>
      <c r="X67" s="52" t="str">
        <f t="shared" si="21"/>
        <v/>
      </c>
    </row>
    <row r="68" spans="1:24" x14ac:dyDescent="0.35">
      <c r="A68" s="27">
        <v>58</v>
      </c>
      <c r="B68" s="54">
        <v>46587</v>
      </c>
      <c r="C68" s="63">
        <f t="shared" si="11"/>
        <v>1</v>
      </c>
      <c r="D68" s="48"/>
      <c r="E68" s="27"/>
      <c r="F68" s="27"/>
      <c r="G68" s="56" t="str">
        <f t="shared" si="12"/>
        <v/>
      </c>
      <c r="H68" s="57" t="str">
        <f t="shared" si="13"/>
        <v/>
      </c>
      <c r="I68" s="53"/>
      <c r="J68" s="58" t="str">
        <f t="shared" si="14"/>
        <v/>
      </c>
      <c r="K68" s="51"/>
      <c r="L68" s="58" t="str">
        <f t="shared" si="15"/>
        <v/>
      </c>
      <c r="M68" s="53"/>
      <c r="N68" s="58" t="str">
        <f t="shared" si="16"/>
        <v/>
      </c>
      <c r="O68" s="53"/>
      <c r="P68" s="58" t="str">
        <f t="shared" si="17"/>
        <v/>
      </c>
      <c r="Q68" s="51"/>
      <c r="R68" s="58" t="str">
        <f t="shared" si="18"/>
        <v/>
      </c>
      <c r="S68" s="53"/>
      <c r="T68" s="58" t="str">
        <f t="shared" si="19"/>
        <v/>
      </c>
      <c r="U68" s="51"/>
      <c r="V68" s="58" t="str">
        <f t="shared" si="20"/>
        <v/>
      </c>
      <c r="W68" s="51"/>
      <c r="X68" s="58" t="str">
        <f t="shared" si="21"/>
        <v/>
      </c>
    </row>
    <row r="69" spans="1:24" x14ac:dyDescent="0.35">
      <c r="A69" s="20">
        <v>59</v>
      </c>
      <c r="B69" s="46">
        <v>46594</v>
      </c>
      <c r="C69" s="62">
        <f t="shared" si="11"/>
        <v>1</v>
      </c>
      <c r="D69" s="48"/>
      <c r="E69" s="20"/>
      <c r="F69" s="20"/>
      <c r="G69" s="49" t="str">
        <f t="shared" si="12"/>
        <v/>
      </c>
      <c r="H69" s="50" t="str">
        <f t="shared" si="13"/>
        <v/>
      </c>
      <c r="I69" s="53"/>
      <c r="J69" s="52" t="str">
        <f t="shared" si="14"/>
        <v/>
      </c>
      <c r="K69" s="51"/>
      <c r="L69" s="52" t="str">
        <f t="shared" si="15"/>
        <v/>
      </c>
      <c r="M69" s="53"/>
      <c r="N69" s="52" t="str">
        <f t="shared" si="16"/>
        <v/>
      </c>
      <c r="O69" s="53"/>
      <c r="P69" s="52" t="str">
        <f t="shared" si="17"/>
        <v/>
      </c>
      <c r="Q69" s="51"/>
      <c r="R69" s="52" t="str">
        <f t="shared" si="18"/>
        <v/>
      </c>
      <c r="S69" s="53"/>
      <c r="T69" s="52" t="str">
        <f t="shared" si="19"/>
        <v/>
      </c>
      <c r="U69" s="51"/>
      <c r="V69" s="52" t="str">
        <f t="shared" si="20"/>
        <v/>
      </c>
      <c r="W69" s="51"/>
      <c r="X69" s="52" t="str">
        <f t="shared" si="21"/>
        <v/>
      </c>
    </row>
    <row r="70" spans="1:24" x14ac:dyDescent="0.35">
      <c r="A70" s="27">
        <v>60</v>
      </c>
      <c r="B70" s="54">
        <v>46601</v>
      </c>
      <c r="C70" s="63">
        <f t="shared" si="11"/>
        <v>1</v>
      </c>
      <c r="D70" s="48"/>
      <c r="E70" s="27"/>
      <c r="F70" s="27"/>
      <c r="G70" s="56" t="str">
        <f t="shared" si="12"/>
        <v/>
      </c>
      <c r="H70" s="57" t="str">
        <f t="shared" si="13"/>
        <v/>
      </c>
      <c r="I70" s="53"/>
      <c r="J70" s="58" t="str">
        <f t="shared" si="14"/>
        <v/>
      </c>
      <c r="K70" s="51"/>
      <c r="L70" s="58" t="str">
        <f t="shared" si="15"/>
        <v/>
      </c>
      <c r="M70" s="53"/>
      <c r="N70" s="58" t="str">
        <f t="shared" si="16"/>
        <v/>
      </c>
      <c r="O70" s="53"/>
      <c r="P70" s="58" t="str">
        <f t="shared" si="17"/>
        <v/>
      </c>
      <c r="Q70" s="51"/>
      <c r="R70" s="58" t="str">
        <f t="shared" si="18"/>
        <v/>
      </c>
      <c r="S70" s="53"/>
      <c r="T70" s="58" t="str">
        <f t="shared" si="19"/>
        <v/>
      </c>
      <c r="U70" s="51"/>
      <c r="V70" s="58" t="str">
        <f t="shared" si="20"/>
        <v/>
      </c>
      <c r="W70" s="51"/>
      <c r="X70" s="58" t="str">
        <f t="shared" si="21"/>
        <v/>
      </c>
    </row>
    <row r="71" spans="1:24" x14ac:dyDescent="0.35">
      <c r="A71" s="20">
        <v>61</v>
      </c>
      <c r="B71" s="46">
        <v>46608</v>
      </c>
      <c r="C71" s="62">
        <f t="shared" si="11"/>
        <v>1</v>
      </c>
      <c r="D71" s="48"/>
      <c r="E71" s="20"/>
      <c r="F71" s="20"/>
      <c r="G71" s="49" t="str">
        <f t="shared" si="12"/>
        <v/>
      </c>
      <c r="H71" s="50" t="str">
        <f t="shared" si="13"/>
        <v/>
      </c>
      <c r="I71" s="53"/>
      <c r="J71" s="52" t="str">
        <f t="shared" si="14"/>
        <v/>
      </c>
      <c r="K71" s="51"/>
      <c r="L71" s="52" t="str">
        <f t="shared" si="15"/>
        <v/>
      </c>
      <c r="M71" s="53"/>
      <c r="N71" s="52" t="str">
        <f t="shared" si="16"/>
        <v/>
      </c>
      <c r="O71" s="53"/>
      <c r="P71" s="52" t="str">
        <f t="shared" si="17"/>
        <v/>
      </c>
      <c r="Q71" s="51"/>
      <c r="R71" s="52" t="str">
        <f t="shared" si="18"/>
        <v/>
      </c>
      <c r="S71" s="53"/>
      <c r="T71" s="52" t="str">
        <f t="shared" si="19"/>
        <v/>
      </c>
      <c r="U71" s="51"/>
      <c r="V71" s="52" t="str">
        <f t="shared" si="20"/>
        <v/>
      </c>
      <c r="W71" s="51"/>
      <c r="X71" s="52" t="str">
        <f t="shared" si="21"/>
        <v/>
      </c>
    </row>
    <row r="72" spans="1:24" x14ac:dyDescent="0.35">
      <c r="A72" s="27">
        <v>62</v>
      </c>
      <c r="B72" s="54">
        <v>46615</v>
      </c>
      <c r="C72" s="63">
        <f t="shared" si="11"/>
        <v>1</v>
      </c>
      <c r="D72" s="48"/>
      <c r="E72" s="27"/>
      <c r="F72" s="27"/>
      <c r="G72" s="56" t="str">
        <f t="shared" si="12"/>
        <v/>
      </c>
      <c r="H72" s="57" t="str">
        <f t="shared" si="13"/>
        <v/>
      </c>
      <c r="I72" s="53"/>
      <c r="J72" s="58" t="str">
        <f t="shared" si="14"/>
        <v/>
      </c>
      <c r="K72" s="51"/>
      <c r="L72" s="58" t="str">
        <f t="shared" si="15"/>
        <v/>
      </c>
      <c r="M72" s="53"/>
      <c r="N72" s="58" t="str">
        <f t="shared" si="16"/>
        <v/>
      </c>
      <c r="O72" s="53"/>
      <c r="P72" s="58" t="str">
        <f t="shared" si="17"/>
        <v/>
      </c>
      <c r="Q72" s="51"/>
      <c r="R72" s="58" t="str">
        <f t="shared" si="18"/>
        <v/>
      </c>
      <c r="S72" s="53"/>
      <c r="T72" s="58" t="str">
        <f t="shared" si="19"/>
        <v/>
      </c>
      <c r="U72" s="51"/>
      <c r="V72" s="58" t="str">
        <f t="shared" si="20"/>
        <v/>
      </c>
      <c r="W72" s="51"/>
      <c r="X72" s="58" t="str">
        <f t="shared" si="21"/>
        <v/>
      </c>
    </row>
    <row r="73" spans="1:24" x14ac:dyDescent="0.35">
      <c r="A73" s="20">
        <v>63</v>
      </c>
      <c r="B73" s="46">
        <v>46622</v>
      </c>
      <c r="C73" s="62">
        <f t="shared" si="11"/>
        <v>1</v>
      </c>
      <c r="D73" s="48"/>
      <c r="E73" s="20"/>
      <c r="F73" s="20"/>
      <c r="G73" s="49" t="str">
        <f t="shared" si="12"/>
        <v/>
      </c>
      <c r="H73" s="50" t="str">
        <f t="shared" si="13"/>
        <v/>
      </c>
      <c r="I73" s="53"/>
      <c r="J73" s="52" t="str">
        <f t="shared" si="14"/>
        <v/>
      </c>
      <c r="K73" s="51"/>
      <c r="L73" s="52" t="str">
        <f t="shared" si="15"/>
        <v/>
      </c>
      <c r="M73" s="53"/>
      <c r="N73" s="52" t="str">
        <f t="shared" si="16"/>
        <v/>
      </c>
      <c r="O73" s="53"/>
      <c r="P73" s="52" t="str">
        <f t="shared" si="17"/>
        <v/>
      </c>
      <c r="Q73" s="51"/>
      <c r="R73" s="52" t="str">
        <f t="shared" si="18"/>
        <v/>
      </c>
      <c r="S73" s="53"/>
      <c r="T73" s="52" t="str">
        <f t="shared" si="19"/>
        <v/>
      </c>
      <c r="U73" s="51"/>
      <c r="V73" s="52" t="str">
        <f t="shared" si="20"/>
        <v/>
      </c>
      <c r="W73" s="51"/>
      <c r="X73" s="52" t="str">
        <f t="shared" si="21"/>
        <v/>
      </c>
    </row>
    <row r="74" spans="1:24" x14ac:dyDescent="0.35">
      <c r="A74" s="27">
        <v>64</v>
      </c>
      <c r="B74" s="54">
        <v>46629</v>
      </c>
      <c r="C74" s="63">
        <f t="shared" si="11"/>
        <v>1</v>
      </c>
      <c r="D74" s="48"/>
      <c r="E74" s="27"/>
      <c r="F74" s="27"/>
      <c r="G74" s="56" t="str">
        <f t="shared" si="12"/>
        <v/>
      </c>
      <c r="H74" s="57" t="str">
        <f t="shared" si="13"/>
        <v/>
      </c>
      <c r="I74" s="53"/>
      <c r="J74" s="58" t="str">
        <f t="shared" si="14"/>
        <v/>
      </c>
      <c r="K74" s="51"/>
      <c r="L74" s="58" t="str">
        <f t="shared" si="15"/>
        <v/>
      </c>
      <c r="M74" s="53"/>
      <c r="N74" s="58" t="str">
        <f t="shared" si="16"/>
        <v/>
      </c>
      <c r="O74" s="53"/>
      <c r="P74" s="58" t="str">
        <f t="shared" si="17"/>
        <v/>
      </c>
      <c r="Q74" s="51"/>
      <c r="R74" s="58" t="str">
        <f t="shared" si="18"/>
        <v/>
      </c>
      <c r="S74" s="53"/>
      <c r="T74" s="58" t="str">
        <f t="shared" si="19"/>
        <v/>
      </c>
      <c r="U74" s="51"/>
      <c r="V74" s="58" t="str">
        <f t="shared" si="20"/>
        <v/>
      </c>
      <c r="W74" s="51"/>
      <c r="X74" s="58" t="str">
        <f t="shared" si="21"/>
        <v/>
      </c>
    </row>
    <row r="75" spans="1:24" x14ac:dyDescent="0.35">
      <c r="A75" s="20">
        <v>65</v>
      </c>
      <c r="B75" s="46">
        <v>46636</v>
      </c>
      <c r="C75" s="62">
        <f t="shared" ref="C75:C91" si="22">$B$5</f>
        <v>1</v>
      </c>
      <c r="D75" s="48"/>
      <c r="E75" s="20"/>
      <c r="F75" s="20"/>
      <c r="G75" s="49" t="str">
        <f t="shared" ref="G75:G91" si="23">IF(D75="","",D75-C75)</f>
        <v/>
      </c>
      <c r="H75" s="50" t="str">
        <f t="shared" ref="H75:H91" si="24">IF(D75="","",IF(D75&gt;=C75,"En meta",IF(D75&gt;=C75-0.05,"Riesgo","Atrasado")))</f>
        <v/>
      </c>
      <c r="I75" s="53"/>
      <c r="J75" s="52" t="str">
        <f t="shared" ref="J75:J106" si="25">IF(I75="","",IF($I$9="","",IF($I$9=0,"",I75/$I$9)))</f>
        <v/>
      </c>
      <c r="K75" s="51"/>
      <c r="L75" s="52" t="str">
        <f t="shared" ref="L75:L106" si="26">IF(K75="","",IF($K$9="","",IF($K$9=0,"",K75/$K$9)))</f>
        <v/>
      </c>
      <c r="M75" s="53"/>
      <c r="N75" s="52" t="str">
        <f t="shared" ref="N75:N106" si="27">IF(M75="","",IF($M$9="","",IF($M$9=0,"",M75/$M$9)))</f>
        <v/>
      </c>
      <c r="O75" s="53"/>
      <c r="P75" s="52" t="str">
        <f t="shared" ref="P75:P106" si="28">IF(O75="","",IF($O$9="","",IF($O$9=0,"",O75/$O$9)))</f>
        <v/>
      </c>
      <c r="Q75" s="51"/>
      <c r="R75" s="52" t="str">
        <f t="shared" ref="R75:R106" si="29">IF(Q75="","",IF($Q$9="","",IF($Q$9=0,"",Q75/$Q$9)))</f>
        <v/>
      </c>
      <c r="S75" s="53"/>
      <c r="T75" s="52" t="str">
        <f t="shared" ref="T75:T106" si="30">IF(S75="","",IF($S$9="","",IF($S$9=0,"",S75/$S$9)))</f>
        <v/>
      </c>
      <c r="U75" s="51"/>
      <c r="V75" s="52" t="str">
        <f t="shared" ref="V75:V106" si="31">IF(U75="","",IF($U$9="","",IF($U$9=0,"",U75/$U$9)))</f>
        <v/>
      </c>
      <c r="W75" s="51"/>
      <c r="X75" s="52" t="str">
        <f t="shared" ref="X75:X106" si="32">IF(W75="","",IF($W$9="","",IF($W$9=0,"",W75/$W$9)))</f>
        <v/>
      </c>
    </row>
    <row r="76" spans="1:24" x14ac:dyDescent="0.35">
      <c r="A76" s="27">
        <v>66</v>
      </c>
      <c r="B76" s="54">
        <v>46643</v>
      </c>
      <c r="C76" s="63">
        <f t="shared" si="22"/>
        <v>1</v>
      </c>
      <c r="D76" s="48"/>
      <c r="E76" s="27"/>
      <c r="F76" s="27"/>
      <c r="G76" s="56" t="str">
        <f t="shared" si="23"/>
        <v/>
      </c>
      <c r="H76" s="57" t="str">
        <f t="shared" si="24"/>
        <v/>
      </c>
      <c r="I76" s="53"/>
      <c r="J76" s="58" t="str">
        <f t="shared" si="25"/>
        <v/>
      </c>
      <c r="K76" s="51"/>
      <c r="L76" s="58" t="str">
        <f t="shared" si="26"/>
        <v/>
      </c>
      <c r="M76" s="53"/>
      <c r="N76" s="58" t="str">
        <f t="shared" si="27"/>
        <v/>
      </c>
      <c r="O76" s="53"/>
      <c r="P76" s="58" t="str">
        <f t="shared" si="28"/>
        <v/>
      </c>
      <c r="Q76" s="51"/>
      <c r="R76" s="58" t="str">
        <f t="shared" si="29"/>
        <v/>
      </c>
      <c r="S76" s="53"/>
      <c r="T76" s="58" t="str">
        <f t="shared" si="30"/>
        <v/>
      </c>
      <c r="U76" s="51"/>
      <c r="V76" s="58" t="str">
        <f t="shared" si="31"/>
        <v/>
      </c>
      <c r="W76" s="51"/>
      <c r="X76" s="58" t="str">
        <f t="shared" si="32"/>
        <v/>
      </c>
    </row>
    <row r="77" spans="1:24" x14ac:dyDescent="0.35">
      <c r="A77" s="20">
        <v>67</v>
      </c>
      <c r="B77" s="46">
        <v>46650</v>
      </c>
      <c r="C77" s="62">
        <f t="shared" si="22"/>
        <v>1</v>
      </c>
      <c r="D77" s="48"/>
      <c r="E77" s="20"/>
      <c r="F77" s="20"/>
      <c r="G77" s="49" t="str">
        <f t="shared" si="23"/>
        <v/>
      </c>
      <c r="H77" s="50" t="str">
        <f t="shared" si="24"/>
        <v/>
      </c>
      <c r="I77" s="53"/>
      <c r="J77" s="52" t="str">
        <f t="shared" si="25"/>
        <v/>
      </c>
      <c r="K77" s="51"/>
      <c r="L77" s="52" t="str">
        <f t="shared" si="26"/>
        <v/>
      </c>
      <c r="M77" s="53"/>
      <c r="N77" s="52" t="str">
        <f t="shared" si="27"/>
        <v/>
      </c>
      <c r="O77" s="53"/>
      <c r="P77" s="52" t="str">
        <f t="shared" si="28"/>
        <v/>
      </c>
      <c r="Q77" s="51"/>
      <c r="R77" s="52" t="str">
        <f t="shared" si="29"/>
        <v/>
      </c>
      <c r="S77" s="53"/>
      <c r="T77" s="52" t="str">
        <f t="shared" si="30"/>
        <v/>
      </c>
      <c r="U77" s="51"/>
      <c r="V77" s="52" t="str">
        <f t="shared" si="31"/>
        <v/>
      </c>
      <c r="W77" s="51"/>
      <c r="X77" s="52" t="str">
        <f t="shared" si="32"/>
        <v/>
      </c>
    </row>
    <row r="78" spans="1:24" x14ac:dyDescent="0.35">
      <c r="A78" s="27">
        <v>68</v>
      </c>
      <c r="B78" s="54">
        <v>46657</v>
      </c>
      <c r="C78" s="63">
        <f t="shared" si="22"/>
        <v>1</v>
      </c>
      <c r="D78" s="48"/>
      <c r="E78" s="27"/>
      <c r="F78" s="27"/>
      <c r="G78" s="56" t="str">
        <f t="shared" si="23"/>
        <v/>
      </c>
      <c r="H78" s="57" t="str">
        <f t="shared" si="24"/>
        <v/>
      </c>
      <c r="I78" s="53"/>
      <c r="J78" s="58" t="str">
        <f t="shared" si="25"/>
        <v/>
      </c>
      <c r="K78" s="51"/>
      <c r="L78" s="58" t="str">
        <f t="shared" si="26"/>
        <v/>
      </c>
      <c r="M78" s="53"/>
      <c r="N78" s="58" t="str">
        <f t="shared" si="27"/>
        <v/>
      </c>
      <c r="O78" s="53"/>
      <c r="P78" s="58" t="str">
        <f t="shared" si="28"/>
        <v/>
      </c>
      <c r="Q78" s="51"/>
      <c r="R78" s="58" t="str">
        <f t="shared" si="29"/>
        <v/>
      </c>
      <c r="S78" s="53"/>
      <c r="T78" s="58" t="str">
        <f t="shared" si="30"/>
        <v/>
      </c>
      <c r="U78" s="51"/>
      <c r="V78" s="58" t="str">
        <f t="shared" si="31"/>
        <v/>
      </c>
      <c r="W78" s="51"/>
      <c r="X78" s="58" t="str">
        <f t="shared" si="32"/>
        <v/>
      </c>
    </row>
    <row r="79" spans="1:24" x14ac:dyDescent="0.35">
      <c r="A79" s="20">
        <v>69</v>
      </c>
      <c r="B79" s="46">
        <v>46664</v>
      </c>
      <c r="C79" s="62">
        <f t="shared" si="22"/>
        <v>1</v>
      </c>
      <c r="D79" s="48"/>
      <c r="E79" s="20"/>
      <c r="F79" s="20"/>
      <c r="G79" s="49" t="str">
        <f t="shared" si="23"/>
        <v/>
      </c>
      <c r="H79" s="50" t="str">
        <f t="shared" si="24"/>
        <v/>
      </c>
      <c r="I79" s="53"/>
      <c r="J79" s="52" t="str">
        <f t="shared" si="25"/>
        <v/>
      </c>
      <c r="K79" s="51"/>
      <c r="L79" s="52" t="str">
        <f t="shared" si="26"/>
        <v/>
      </c>
      <c r="M79" s="53"/>
      <c r="N79" s="52" t="str">
        <f t="shared" si="27"/>
        <v/>
      </c>
      <c r="O79" s="53"/>
      <c r="P79" s="52" t="str">
        <f t="shared" si="28"/>
        <v/>
      </c>
      <c r="Q79" s="51"/>
      <c r="R79" s="52" t="str">
        <f t="shared" si="29"/>
        <v/>
      </c>
      <c r="S79" s="53"/>
      <c r="T79" s="52" t="str">
        <f t="shared" si="30"/>
        <v/>
      </c>
      <c r="U79" s="51"/>
      <c r="V79" s="52" t="str">
        <f t="shared" si="31"/>
        <v/>
      </c>
      <c r="W79" s="51"/>
      <c r="X79" s="52" t="str">
        <f t="shared" si="32"/>
        <v/>
      </c>
    </row>
    <row r="80" spans="1:24" x14ac:dyDescent="0.35">
      <c r="A80" s="27">
        <v>70</v>
      </c>
      <c r="B80" s="54">
        <v>46671</v>
      </c>
      <c r="C80" s="63">
        <f t="shared" si="22"/>
        <v>1</v>
      </c>
      <c r="D80" s="48"/>
      <c r="E80" s="27"/>
      <c r="F80" s="27"/>
      <c r="G80" s="56" t="str">
        <f t="shared" si="23"/>
        <v/>
      </c>
      <c r="H80" s="57" t="str">
        <f t="shared" si="24"/>
        <v/>
      </c>
      <c r="I80" s="53"/>
      <c r="J80" s="58" t="str">
        <f t="shared" si="25"/>
        <v/>
      </c>
      <c r="K80" s="51"/>
      <c r="L80" s="58" t="str">
        <f t="shared" si="26"/>
        <v/>
      </c>
      <c r="M80" s="53"/>
      <c r="N80" s="58" t="str">
        <f t="shared" si="27"/>
        <v/>
      </c>
      <c r="O80" s="53"/>
      <c r="P80" s="58" t="str">
        <f t="shared" si="28"/>
        <v/>
      </c>
      <c r="Q80" s="51"/>
      <c r="R80" s="58" t="str">
        <f t="shared" si="29"/>
        <v/>
      </c>
      <c r="S80" s="53"/>
      <c r="T80" s="58" t="str">
        <f t="shared" si="30"/>
        <v/>
      </c>
      <c r="U80" s="51"/>
      <c r="V80" s="58" t="str">
        <f t="shared" si="31"/>
        <v/>
      </c>
      <c r="W80" s="51"/>
      <c r="X80" s="58" t="str">
        <f t="shared" si="32"/>
        <v/>
      </c>
    </row>
    <row r="81" spans="1:24" x14ac:dyDescent="0.35">
      <c r="A81" s="20">
        <v>71</v>
      </c>
      <c r="B81" s="46">
        <v>46678</v>
      </c>
      <c r="C81" s="62">
        <f t="shared" si="22"/>
        <v>1</v>
      </c>
      <c r="D81" s="48"/>
      <c r="E81" s="20"/>
      <c r="F81" s="20"/>
      <c r="G81" s="49" t="str">
        <f t="shared" si="23"/>
        <v/>
      </c>
      <c r="H81" s="50" t="str">
        <f t="shared" si="24"/>
        <v/>
      </c>
      <c r="I81" s="53"/>
      <c r="J81" s="52" t="str">
        <f t="shared" si="25"/>
        <v/>
      </c>
      <c r="K81" s="51"/>
      <c r="L81" s="52" t="str">
        <f t="shared" si="26"/>
        <v/>
      </c>
      <c r="M81" s="53"/>
      <c r="N81" s="52" t="str">
        <f t="shared" si="27"/>
        <v/>
      </c>
      <c r="O81" s="53"/>
      <c r="P81" s="52" t="str">
        <f t="shared" si="28"/>
        <v/>
      </c>
      <c r="Q81" s="51"/>
      <c r="R81" s="52" t="str">
        <f t="shared" si="29"/>
        <v/>
      </c>
      <c r="S81" s="53"/>
      <c r="T81" s="52" t="str">
        <f t="shared" si="30"/>
        <v/>
      </c>
      <c r="U81" s="51"/>
      <c r="V81" s="52" t="str">
        <f t="shared" si="31"/>
        <v/>
      </c>
      <c r="W81" s="51"/>
      <c r="X81" s="52" t="str">
        <f t="shared" si="32"/>
        <v/>
      </c>
    </row>
    <row r="82" spans="1:24" x14ac:dyDescent="0.35">
      <c r="A82" s="27">
        <v>72</v>
      </c>
      <c r="B82" s="54">
        <v>46685</v>
      </c>
      <c r="C82" s="63">
        <f t="shared" si="22"/>
        <v>1</v>
      </c>
      <c r="D82" s="48"/>
      <c r="E82" s="27"/>
      <c r="F82" s="27"/>
      <c r="G82" s="56" t="str">
        <f t="shared" si="23"/>
        <v/>
      </c>
      <c r="H82" s="57" t="str">
        <f t="shared" si="24"/>
        <v/>
      </c>
      <c r="I82" s="53"/>
      <c r="J82" s="58" t="str">
        <f t="shared" si="25"/>
        <v/>
      </c>
      <c r="K82" s="51"/>
      <c r="L82" s="58" t="str">
        <f t="shared" si="26"/>
        <v/>
      </c>
      <c r="M82" s="53"/>
      <c r="N82" s="58" t="str">
        <f t="shared" si="27"/>
        <v/>
      </c>
      <c r="O82" s="53"/>
      <c r="P82" s="58" t="str">
        <f t="shared" si="28"/>
        <v/>
      </c>
      <c r="Q82" s="51"/>
      <c r="R82" s="58" t="str">
        <f t="shared" si="29"/>
        <v/>
      </c>
      <c r="S82" s="53"/>
      <c r="T82" s="58" t="str">
        <f t="shared" si="30"/>
        <v/>
      </c>
      <c r="U82" s="51"/>
      <c r="V82" s="58" t="str">
        <f t="shared" si="31"/>
        <v/>
      </c>
      <c r="W82" s="51"/>
      <c r="X82" s="58" t="str">
        <f t="shared" si="32"/>
        <v/>
      </c>
    </row>
    <row r="83" spans="1:24" x14ac:dyDescent="0.35">
      <c r="A83" s="20">
        <v>73</v>
      </c>
      <c r="B83" s="46">
        <v>46692</v>
      </c>
      <c r="C83" s="62">
        <f t="shared" si="22"/>
        <v>1</v>
      </c>
      <c r="D83" s="48"/>
      <c r="E83" s="20"/>
      <c r="F83" s="20"/>
      <c r="G83" s="49" t="str">
        <f t="shared" si="23"/>
        <v/>
      </c>
      <c r="H83" s="50" t="str">
        <f t="shared" si="24"/>
        <v/>
      </c>
      <c r="I83" s="53"/>
      <c r="J83" s="52" t="str">
        <f t="shared" si="25"/>
        <v/>
      </c>
      <c r="K83" s="51"/>
      <c r="L83" s="52" t="str">
        <f t="shared" si="26"/>
        <v/>
      </c>
      <c r="M83" s="53"/>
      <c r="N83" s="52" t="str">
        <f t="shared" si="27"/>
        <v/>
      </c>
      <c r="O83" s="53"/>
      <c r="P83" s="52" t="str">
        <f t="shared" si="28"/>
        <v/>
      </c>
      <c r="Q83" s="51"/>
      <c r="R83" s="52" t="str">
        <f t="shared" si="29"/>
        <v/>
      </c>
      <c r="S83" s="53"/>
      <c r="T83" s="52" t="str">
        <f t="shared" si="30"/>
        <v/>
      </c>
      <c r="U83" s="51"/>
      <c r="V83" s="52" t="str">
        <f t="shared" si="31"/>
        <v/>
      </c>
      <c r="W83" s="51"/>
      <c r="X83" s="52" t="str">
        <f t="shared" si="32"/>
        <v/>
      </c>
    </row>
    <row r="84" spans="1:24" x14ac:dyDescent="0.35">
      <c r="A84" s="27">
        <v>74</v>
      </c>
      <c r="B84" s="54">
        <v>46699</v>
      </c>
      <c r="C84" s="63">
        <f t="shared" si="22"/>
        <v>1</v>
      </c>
      <c r="D84" s="48"/>
      <c r="E84" s="27"/>
      <c r="F84" s="27"/>
      <c r="G84" s="56" t="str">
        <f t="shared" si="23"/>
        <v/>
      </c>
      <c r="H84" s="57" t="str">
        <f t="shared" si="24"/>
        <v/>
      </c>
      <c r="I84" s="53"/>
      <c r="J84" s="58" t="str">
        <f t="shared" si="25"/>
        <v/>
      </c>
      <c r="K84" s="51"/>
      <c r="L84" s="58" t="str">
        <f t="shared" si="26"/>
        <v/>
      </c>
      <c r="M84" s="53"/>
      <c r="N84" s="58" t="str">
        <f t="shared" si="27"/>
        <v/>
      </c>
      <c r="O84" s="53"/>
      <c r="P84" s="58" t="str">
        <f t="shared" si="28"/>
        <v/>
      </c>
      <c r="Q84" s="51"/>
      <c r="R84" s="58" t="str">
        <f t="shared" si="29"/>
        <v/>
      </c>
      <c r="S84" s="53"/>
      <c r="T84" s="58" t="str">
        <f t="shared" si="30"/>
        <v/>
      </c>
      <c r="U84" s="51"/>
      <c r="V84" s="58" t="str">
        <f t="shared" si="31"/>
        <v/>
      </c>
      <c r="W84" s="51"/>
      <c r="X84" s="58" t="str">
        <f t="shared" si="32"/>
        <v/>
      </c>
    </row>
    <row r="85" spans="1:24" x14ac:dyDescent="0.35">
      <c r="A85" s="20">
        <v>75</v>
      </c>
      <c r="B85" s="46">
        <v>46706</v>
      </c>
      <c r="C85" s="62">
        <f t="shared" si="22"/>
        <v>1</v>
      </c>
      <c r="D85" s="48"/>
      <c r="E85" s="20"/>
      <c r="F85" s="20"/>
      <c r="G85" s="49" t="str">
        <f t="shared" si="23"/>
        <v/>
      </c>
      <c r="H85" s="50" t="str">
        <f t="shared" si="24"/>
        <v/>
      </c>
      <c r="I85" s="53"/>
      <c r="J85" s="52" t="str">
        <f t="shared" si="25"/>
        <v/>
      </c>
      <c r="K85" s="51"/>
      <c r="L85" s="52" t="str">
        <f t="shared" si="26"/>
        <v/>
      </c>
      <c r="M85" s="53"/>
      <c r="N85" s="52" t="str">
        <f t="shared" si="27"/>
        <v/>
      </c>
      <c r="O85" s="53"/>
      <c r="P85" s="52" t="str">
        <f t="shared" si="28"/>
        <v/>
      </c>
      <c r="Q85" s="51"/>
      <c r="R85" s="52" t="str">
        <f t="shared" si="29"/>
        <v/>
      </c>
      <c r="S85" s="53"/>
      <c r="T85" s="52" t="str">
        <f t="shared" si="30"/>
        <v/>
      </c>
      <c r="U85" s="51"/>
      <c r="V85" s="52" t="str">
        <f t="shared" si="31"/>
        <v/>
      </c>
      <c r="W85" s="51"/>
      <c r="X85" s="52" t="str">
        <f t="shared" si="32"/>
        <v/>
      </c>
    </row>
    <row r="86" spans="1:24" x14ac:dyDescent="0.35">
      <c r="A86" s="27">
        <v>76</v>
      </c>
      <c r="B86" s="54">
        <v>46713</v>
      </c>
      <c r="C86" s="63">
        <f t="shared" si="22"/>
        <v>1</v>
      </c>
      <c r="D86" s="48"/>
      <c r="E86" s="27"/>
      <c r="F86" s="27"/>
      <c r="G86" s="56" t="str">
        <f t="shared" si="23"/>
        <v/>
      </c>
      <c r="H86" s="57" t="str">
        <f t="shared" si="24"/>
        <v/>
      </c>
      <c r="I86" s="53"/>
      <c r="J86" s="58" t="str">
        <f t="shared" si="25"/>
        <v/>
      </c>
      <c r="K86" s="51"/>
      <c r="L86" s="58" t="str">
        <f t="shared" si="26"/>
        <v/>
      </c>
      <c r="M86" s="53"/>
      <c r="N86" s="58" t="str">
        <f t="shared" si="27"/>
        <v/>
      </c>
      <c r="O86" s="53"/>
      <c r="P86" s="58" t="str">
        <f t="shared" si="28"/>
        <v/>
      </c>
      <c r="Q86" s="51"/>
      <c r="R86" s="58" t="str">
        <f t="shared" si="29"/>
        <v/>
      </c>
      <c r="S86" s="53"/>
      <c r="T86" s="58" t="str">
        <f t="shared" si="30"/>
        <v/>
      </c>
      <c r="U86" s="51"/>
      <c r="V86" s="58" t="str">
        <f t="shared" si="31"/>
        <v/>
      </c>
      <c r="W86" s="51"/>
      <c r="X86" s="58" t="str">
        <f t="shared" si="32"/>
        <v/>
      </c>
    </row>
    <row r="87" spans="1:24" x14ac:dyDescent="0.35">
      <c r="A87" s="20">
        <v>77</v>
      </c>
      <c r="B87" s="46">
        <v>46720</v>
      </c>
      <c r="C87" s="62">
        <f t="shared" si="22"/>
        <v>1</v>
      </c>
      <c r="D87" s="48"/>
      <c r="E87" s="20"/>
      <c r="F87" s="20"/>
      <c r="G87" s="49" t="str">
        <f t="shared" si="23"/>
        <v/>
      </c>
      <c r="H87" s="50" t="str">
        <f t="shared" si="24"/>
        <v/>
      </c>
      <c r="I87" s="53"/>
      <c r="J87" s="52" t="str">
        <f t="shared" si="25"/>
        <v/>
      </c>
      <c r="K87" s="51"/>
      <c r="L87" s="52" t="str">
        <f t="shared" si="26"/>
        <v/>
      </c>
      <c r="M87" s="53"/>
      <c r="N87" s="52" t="str">
        <f t="shared" si="27"/>
        <v/>
      </c>
      <c r="O87" s="53"/>
      <c r="P87" s="52" t="str">
        <f t="shared" si="28"/>
        <v/>
      </c>
      <c r="Q87" s="51"/>
      <c r="R87" s="52" t="str">
        <f t="shared" si="29"/>
        <v/>
      </c>
      <c r="S87" s="53"/>
      <c r="T87" s="52" t="str">
        <f t="shared" si="30"/>
        <v/>
      </c>
      <c r="U87" s="51"/>
      <c r="V87" s="52" t="str">
        <f t="shared" si="31"/>
        <v/>
      </c>
      <c r="W87" s="51"/>
      <c r="X87" s="52" t="str">
        <f t="shared" si="32"/>
        <v/>
      </c>
    </row>
    <row r="88" spans="1:24" x14ac:dyDescent="0.35">
      <c r="A88" s="27">
        <v>78</v>
      </c>
      <c r="B88" s="54">
        <v>46727</v>
      </c>
      <c r="C88" s="63">
        <f t="shared" si="22"/>
        <v>1</v>
      </c>
      <c r="D88" s="48"/>
      <c r="E88" s="27"/>
      <c r="F88" s="27"/>
      <c r="G88" s="56" t="str">
        <f t="shared" si="23"/>
        <v/>
      </c>
      <c r="H88" s="57" t="str">
        <f t="shared" si="24"/>
        <v/>
      </c>
      <c r="I88" s="53"/>
      <c r="J88" s="58" t="str">
        <f t="shared" si="25"/>
        <v/>
      </c>
      <c r="K88" s="51"/>
      <c r="L88" s="58" t="str">
        <f t="shared" si="26"/>
        <v/>
      </c>
      <c r="M88" s="53"/>
      <c r="N88" s="58" t="str">
        <f t="shared" si="27"/>
        <v/>
      </c>
      <c r="O88" s="53"/>
      <c r="P88" s="58" t="str">
        <f t="shared" si="28"/>
        <v/>
      </c>
      <c r="Q88" s="51"/>
      <c r="R88" s="58" t="str">
        <f t="shared" si="29"/>
        <v/>
      </c>
      <c r="S88" s="53"/>
      <c r="T88" s="58" t="str">
        <f t="shared" si="30"/>
        <v/>
      </c>
      <c r="U88" s="51"/>
      <c r="V88" s="58" t="str">
        <f t="shared" si="31"/>
        <v/>
      </c>
      <c r="W88" s="51"/>
      <c r="X88" s="58" t="str">
        <f t="shared" si="32"/>
        <v/>
      </c>
    </row>
    <row r="89" spans="1:24" x14ac:dyDescent="0.35">
      <c r="A89" s="20">
        <v>79</v>
      </c>
      <c r="B89" s="46">
        <v>46734</v>
      </c>
      <c r="C89" s="62">
        <f t="shared" si="22"/>
        <v>1</v>
      </c>
      <c r="D89" s="48"/>
      <c r="E89" s="20"/>
      <c r="F89" s="20"/>
      <c r="G89" s="49" t="str">
        <f t="shared" si="23"/>
        <v/>
      </c>
      <c r="H89" s="50" t="str">
        <f t="shared" si="24"/>
        <v/>
      </c>
      <c r="I89" s="53"/>
      <c r="J89" s="52" t="str">
        <f t="shared" si="25"/>
        <v/>
      </c>
      <c r="K89" s="51"/>
      <c r="L89" s="52" t="str">
        <f t="shared" si="26"/>
        <v/>
      </c>
      <c r="M89" s="53"/>
      <c r="N89" s="52" t="str">
        <f t="shared" si="27"/>
        <v/>
      </c>
      <c r="O89" s="53"/>
      <c r="P89" s="52" t="str">
        <f t="shared" si="28"/>
        <v/>
      </c>
      <c r="Q89" s="51"/>
      <c r="R89" s="52" t="str">
        <f t="shared" si="29"/>
        <v/>
      </c>
      <c r="S89" s="53"/>
      <c r="T89" s="52" t="str">
        <f t="shared" si="30"/>
        <v/>
      </c>
      <c r="U89" s="51"/>
      <c r="V89" s="52" t="str">
        <f t="shared" si="31"/>
        <v/>
      </c>
      <c r="W89" s="51"/>
      <c r="X89" s="52" t="str">
        <f t="shared" si="32"/>
        <v/>
      </c>
    </row>
    <row r="90" spans="1:24" x14ac:dyDescent="0.35">
      <c r="A90" s="27">
        <v>80</v>
      </c>
      <c r="B90" s="54">
        <v>46741</v>
      </c>
      <c r="C90" s="63">
        <f t="shared" si="22"/>
        <v>1</v>
      </c>
      <c r="D90" s="48"/>
      <c r="E90" s="27"/>
      <c r="F90" s="27"/>
      <c r="G90" s="56" t="str">
        <f t="shared" si="23"/>
        <v/>
      </c>
      <c r="H90" s="57" t="str">
        <f t="shared" si="24"/>
        <v/>
      </c>
      <c r="I90" s="53"/>
      <c r="J90" s="58" t="str">
        <f t="shared" si="25"/>
        <v/>
      </c>
      <c r="K90" s="51"/>
      <c r="L90" s="58" t="str">
        <f t="shared" si="26"/>
        <v/>
      </c>
      <c r="M90" s="53"/>
      <c r="N90" s="58" t="str">
        <f t="shared" si="27"/>
        <v/>
      </c>
      <c r="O90" s="53"/>
      <c r="P90" s="58" t="str">
        <f t="shared" si="28"/>
        <v/>
      </c>
      <c r="Q90" s="51"/>
      <c r="R90" s="58" t="str">
        <f t="shared" si="29"/>
        <v/>
      </c>
      <c r="S90" s="53"/>
      <c r="T90" s="58" t="str">
        <f t="shared" si="30"/>
        <v/>
      </c>
      <c r="U90" s="51"/>
      <c r="V90" s="58" t="str">
        <f t="shared" si="31"/>
        <v/>
      </c>
      <c r="W90" s="51"/>
      <c r="X90" s="58" t="str">
        <f t="shared" si="32"/>
        <v/>
      </c>
    </row>
    <row r="91" spans="1:24" x14ac:dyDescent="0.35">
      <c r="A91" s="20">
        <v>81</v>
      </c>
      <c r="B91" s="46">
        <v>46748</v>
      </c>
      <c r="C91" s="62">
        <f t="shared" si="22"/>
        <v>1</v>
      </c>
      <c r="D91" s="48"/>
      <c r="E91" s="20"/>
      <c r="F91" s="20"/>
      <c r="G91" s="49" t="str">
        <f t="shared" si="23"/>
        <v/>
      </c>
      <c r="H91" s="50" t="str">
        <f t="shared" si="24"/>
        <v/>
      </c>
      <c r="I91" s="53"/>
      <c r="J91" s="52" t="str">
        <f t="shared" si="25"/>
        <v/>
      </c>
      <c r="K91" s="51"/>
      <c r="L91" s="52" t="str">
        <f t="shared" si="26"/>
        <v/>
      </c>
      <c r="M91" s="53"/>
      <c r="N91" s="52" t="str">
        <f t="shared" si="27"/>
        <v/>
      </c>
      <c r="O91" s="53"/>
      <c r="P91" s="52" t="str">
        <f t="shared" si="28"/>
        <v/>
      </c>
      <c r="Q91" s="51"/>
      <c r="R91" s="52" t="str">
        <f t="shared" si="29"/>
        <v/>
      </c>
      <c r="S91" s="53"/>
      <c r="T91" s="52" t="str">
        <f t="shared" si="30"/>
        <v/>
      </c>
      <c r="U91" s="51"/>
      <c r="V91" s="52" t="str">
        <f t="shared" si="31"/>
        <v/>
      </c>
      <c r="W91" s="51"/>
      <c r="X91" s="52" t="str">
        <f t="shared" si="32"/>
        <v/>
      </c>
    </row>
  </sheetData>
  <mergeCells count="17">
    <mergeCell ref="S9:T9"/>
    <mergeCell ref="U9:V9"/>
    <mergeCell ref="W9:X9"/>
    <mergeCell ref="I9:J9"/>
    <mergeCell ref="K9:L9"/>
    <mergeCell ref="M9:N9"/>
    <mergeCell ref="O9:P9"/>
    <mergeCell ref="Q9:R9"/>
    <mergeCell ref="A1:X1"/>
    <mergeCell ref="I8:J8"/>
    <mergeCell ref="K8:L8"/>
    <mergeCell ref="M8:N8"/>
    <mergeCell ref="O8:P8"/>
    <mergeCell ref="Q8:R8"/>
    <mergeCell ref="S8:T8"/>
    <mergeCell ref="U8:V8"/>
    <mergeCell ref="W8:X8"/>
  </mergeCells>
  <conditionalFormatting sqref="H11:H91">
    <cfRule type="containsText" dxfId="17" priority="2" operator="containsText" text="En meta">
      <formula>NOT(ISERROR(SEARCH("En meta",H11)))</formula>
    </cfRule>
    <cfRule type="containsText" dxfId="16" priority="3" operator="containsText" text="Riesgo">
      <formula>NOT(ISERROR(SEARCH("Riesgo",H11)))</formula>
    </cfRule>
    <cfRule type="containsText" dxfId="15" priority="4" operator="containsText" text="Atrasado">
      <formula>NOT(ISERROR(SEARCH("Atrasado",H11)))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1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ColWidth="8.6328125" defaultRowHeight="14.5" x14ac:dyDescent="0.35"/>
  <cols>
    <col min="1" max="1" width="5" customWidth="1"/>
    <col min="2" max="2" width="11" customWidth="1"/>
    <col min="3" max="3" width="12" customWidth="1"/>
    <col min="4" max="4" width="11" customWidth="1"/>
    <col min="5" max="6" width="12" customWidth="1"/>
    <col min="7" max="7" width="13" customWidth="1"/>
    <col min="8" max="9" width="11" customWidth="1"/>
    <col min="10" max="10" width="7" customWidth="1"/>
    <col min="11" max="11" width="11" customWidth="1"/>
    <col min="12" max="12" width="7" customWidth="1"/>
    <col min="13" max="13" width="11" customWidth="1"/>
    <col min="14" max="14" width="7" customWidth="1"/>
    <col min="15" max="15" width="11" customWidth="1"/>
    <col min="16" max="16" width="7" customWidth="1"/>
    <col min="17" max="17" width="11" customWidth="1"/>
    <col min="18" max="18" width="7" customWidth="1"/>
    <col min="19" max="19" width="11" customWidth="1"/>
    <col min="20" max="20" width="7" customWidth="1"/>
    <col min="21" max="21" width="11" customWidth="1"/>
    <col min="22" max="22" width="7" customWidth="1"/>
    <col min="23" max="23" width="11" customWidth="1"/>
    <col min="24" max="24" width="7" customWidth="1"/>
  </cols>
  <sheetData>
    <row r="1" spans="1:24" ht="18" x14ac:dyDescent="0.4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7" t="s">
        <v>46</v>
      </c>
      <c r="B2" s="38" t="s">
        <v>105</v>
      </c>
    </row>
    <row r="3" spans="1:24" x14ac:dyDescent="0.35">
      <c r="A3" s="7" t="s">
        <v>48</v>
      </c>
      <c r="B3" s="38" t="s">
        <v>106</v>
      </c>
    </row>
    <row r="4" spans="1:24" x14ac:dyDescent="0.35">
      <c r="A4" s="7" t="s">
        <v>50</v>
      </c>
      <c r="B4" s="39" t="s">
        <v>51</v>
      </c>
      <c r="D4" s="7" t="s">
        <v>52</v>
      </c>
      <c r="E4" s="38" t="s">
        <v>31</v>
      </c>
    </row>
    <row r="5" spans="1:24" x14ac:dyDescent="0.35">
      <c r="A5" s="7" t="s">
        <v>53</v>
      </c>
      <c r="B5" s="64">
        <v>20000</v>
      </c>
      <c r="D5" s="7" t="s">
        <v>54</v>
      </c>
      <c r="E5" s="41">
        <v>46188</v>
      </c>
      <c r="G5" s="7" t="s">
        <v>55</v>
      </c>
      <c r="H5" s="41">
        <v>46748</v>
      </c>
    </row>
    <row r="6" spans="1:24" x14ac:dyDescent="0.35">
      <c r="A6" s="7" t="s">
        <v>56</v>
      </c>
      <c r="B6" s="38" t="s">
        <v>57</v>
      </c>
    </row>
    <row r="8" spans="1:24" ht="42" customHeight="1" x14ac:dyDescent="0.35">
      <c r="A8" s="7" t="s">
        <v>58</v>
      </c>
      <c r="B8" s="42">
        <f>COUNT(A11:A91)</f>
        <v>81</v>
      </c>
      <c r="H8" s="43" t="s">
        <v>59</v>
      </c>
      <c r="I8" s="3" t="s">
        <v>107</v>
      </c>
      <c r="J8" s="3"/>
      <c r="K8" s="3" t="s">
        <v>108</v>
      </c>
      <c r="L8" s="3"/>
      <c r="M8" s="3" t="s">
        <v>109</v>
      </c>
      <c r="N8" s="3"/>
      <c r="O8" s="3" t="s">
        <v>110</v>
      </c>
      <c r="P8" s="3"/>
      <c r="Q8" s="3" t="s">
        <v>111</v>
      </c>
      <c r="R8" s="3"/>
      <c r="S8" s="3" t="s">
        <v>112</v>
      </c>
      <c r="T8" s="3"/>
      <c r="U8" s="3" t="s">
        <v>67</v>
      </c>
      <c r="V8" s="3"/>
      <c r="W8" s="3" t="s">
        <v>67</v>
      </c>
      <c r="X8" s="3"/>
    </row>
    <row r="9" spans="1:24" x14ac:dyDescent="0.35">
      <c r="A9" s="44" t="s">
        <v>68</v>
      </c>
      <c r="H9" s="43" t="s">
        <v>69</v>
      </c>
      <c r="I9" s="2">
        <v>2</v>
      </c>
      <c r="J9" s="2"/>
      <c r="K9" s="2">
        <v>1</v>
      </c>
      <c r="L9" s="2"/>
      <c r="M9" s="2">
        <v>1</v>
      </c>
      <c r="N9" s="2"/>
      <c r="O9" s="2">
        <v>4</v>
      </c>
      <c r="P9" s="2"/>
      <c r="Q9" s="2">
        <v>3</v>
      </c>
      <c r="R9" s="2"/>
      <c r="S9" s="1">
        <v>1</v>
      </c>
      <c r="T9" s="1"/>
      <c r="U9" s="2"/>
      <c r="V9" s="2"/>
      <c r="W9" s="2"/>
      <c r="X9" s="2"/>
    </row>
    <row r="10" spans="1:24" x14ac:dyDescent="0.35">
      <c r="A10" s="9" t="s">
        <v>11</v>
      </c>
      <c r="B10" s="9" t="s">
        <v>70</v>
      </c>
      <c r="C10" s="9" t="s">
        <v>71</v>
      </c>
      <c r="D10" s="9" t="s">
        <v>72</v>
      </c>
      <c r="E10" s="9" t="s">
        <v>6</v>
      </c>
      <c r="F10" s="9" t="s">
        <v>7</v>
      </c>
      <c r="G10" s="9" t="s">
        <v>8</v>
      </c>
      <c r="H10" s="9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spans="1:24" x14ac:dyDescent="0.35">
      <c r="A11" s="20">
        <v>1</v>
      </c>
      <c r="B11" s="46">
        <v>46188</v>
      </c>
      <c r="C11" s="59">
        <f t="shared" ref="C11:C42" si="0">$B$5/$B$8</f>
        <v>246.91358024691357</v>
      </c>
      <c r="D11" s="48"/>
      <c r="E11" s="59">
        <f>SUM($C$11:C11)</f>
        <v>246.91358024691357</v>
      </c>
      <c r="F11" s="59">
        <f>SUM($D$11:D11)</f>
        <v>0</v>
      </c>
      <c r="G11" s="49" t="str">
        <f>IF(COUNT($D$11:D11)=0,"",F11/E11)</f>
        <v/>
      </c>
      <c r="H11" s="50" t="str">
        <f t="shared" ref="H11:H42" si="1">IF(G11="","",IF(G11&gt;=0.95,"En meta",IF(G11&gt;=0.8,"Riesgo","Atrasado")))</f>
        <v/>
      </c>
      <c r="I11" s="51"/>
      <c r="J11" s="52" t="str">
        <f t="shared" ref="J11:J42" si="2">IF(I11="","",IF($I$9="","",IF($I$9=0,"",I11/$I$9)))</f>
        <v/>
      </c>
      <c r="K11" s="51"/>
      <c r="L11" s="52" t="str">
        <f t="shared" ref="L11:L42" si="3">IF(K11="","",IF($K$9="","",IF($K$9=0,"",K11/$K$9)))</f>
        <v/>
      </c>
      <c r="M11" s="51"/>
      <c r="N11" s="52" t="str">
        <f t="shared" ref="N11:N42" si="4">IF(M11="","",IF($M$9="","",IF($M$9=0,"",M11/$M$9)))</f>
        <v/>
      </c>
      <c r="O11" s="51"/>
      <c r="P11" s="52" t="str">
        <f t="shared" ref="P11:P42" si="5">IF(O11="","",IF($O$9="","",IF($O$9=0,"",O11/$O$9)))</f>
        <v/>
      </c>
      <c r="Q11" s="51"/>
      <c r="R11" s="52" t="str">
        <f t="shared" ref="R11:R42" si="6">IF(Q11="","",IF($Q$9="","",IF($Q$9=0,"",Q11/$Q$9)))</f>
        <v/>
      </c>
      <c r="S11" s="53"/>
      <c r="T11" s="52" t="str">
        <f t="shared" ref="T11:T42" si="7">IF(S11="","",IF($S$9="","",IF($S$9=0,"",S11/$S$9)))</f>
        <v/>
      </c>
      <c r="U11" s="51"/>
      <c r="V11" s="52" t="str">
        <f t="shared" ref="V11:V42" si="8">IF(U11="","",IF($U$9="","",IF($U$9=0,"",U11/$U$9)))</f>
        <v/>
      </c>
      <c r="W11" s="51"/>
      <c r="X11" s="52" t="str">
        <f t="shared" ref="X11:X42" si="9">IF(W11="","",IF($W$9="","",IF($W$9=0,"",W11/$W$9)))</f>
        <v/>
      </c>
    </row>
    <row r="12" spans="1:24" x14ac:dyDescent="0.35">
      <c r="A12" s="27">
        <v>2</v>
      </c>
      <c r="B12" s="54">
        <v>46195</v>
      </c>
      <c r="C12" s="60">
        <f t="shared" si="0"/>
        <v>246.91358024691357</v>
      </c>
      <c r="D12" s="48"/>
      <c r="E12" s="60">
        <f>SUM($C$11:C12)</f>
        <v>493.82716049382714</v>
      </c>
      <c r="F12" s="60">
        <f>SUM($D$11:D12)</f>
        <v>0</v>
      </c>
      <c r="G12" s="56" t="str">
        <f>IF(COUNT($D$11:D12)=0,"",F12/E12)</f>
        <v/>
      </c>
      <c r="H12" s="57" t="str">
        <f t="shared" si="1"/>
        <v/>
      </c>
      <c r="I12" s="51"/>
      <c r="J12" s="58" t="str">
        <f t="shared" si="2"/>
        <v/>
      </c>
      <c r="K12" s="51"/>
      <c r="L12" s="58" t="str">
        <f t="shared" si="3"/>
        <v/>
      </c>
      <c r="M12" s="51"/>
      <c r="N12" s="58" t="str">
        <f t="shared" si="4"/>
        <v/>
      </c>
      <c r="O12" s="51"/>
      <c r="P12" s="58" t="str">
        <f t="shared" si="5"/>
        <v/>
      </c>
      <c r="Q12" s="51"/>
      <c r="R12" s="58" t="str">
        <f t="shared" si="6"/>
        <v/>
      </c>
      <c r="S12" s="53"/>
      <c r="T12" s="58" t="str">
        <f t="shared" si="7"/>
        <v/>
      </c>
      <c r="U12" s="51"/>
      <c r="V12" s="58" t="str">
        <f t="shared" si="8"/>
        <v/>
      </c>
      <c r="W12" s="51"/>
      <c r="X12" s="58" t="str">
        <f t="shared" si="9"/>
        <v/>
      </c>
    </row>
    <row r="13" spans="1:24" x14ac:dyDescent="0.35">
      <c r="A13" s="20">
        <v>3</v>
      </c>
      <c r="B13" s="46">
        <v>46202</v>
      </c>
      <c r="C13" s="59">
        <f t="shared" si="0"/>
        <v>246.91358024691357</v>
      </c>
      <c r="D13" s="48"/>
      <c r="E13" s="59">
        <f>SUM($C$11:C13)</f>
        <v>740.74074074074065</v>
      </c>
      <c r="F13" s="59">
        <f>SUM($D$11:D13)</f>
        <v>0</v>
      </c>
      <c r="G13" s="49" t="str">
        <f>IF(COUNT($D$11:D13)=0,"",F13/E13)</f>
        <v/>
      </c>
      <c r="H13" s="50" t="str">
        <f t="shared" si="1"/>
        <v/>
      </c>
      <c r="I13" s="51"/>
      <c r="J13" s="52" t="str">
        <f t="shared" si="2"/>
        <v/>
      </c>
      <c r="K13" s="51"/>
      <c r="L13" s="52" t="str">
        <f t="shared" si="3"/>
        <v/>
      </c>
      <c r="M13" s="51"/>
      <c r="N13" s="52" t="str">
        <f t="shared" si="4"/>
        <v/>
      </c>
      <c r="O13" s="51"/>
      <c r="P13" s="52" t="str">
        <f t="shared" si="5"/>
        <v/>
      </c>
      <c r="Q13" s="51"/>
      <c r="R13" s="52" t="str">
        <f t="shared" si="6"/>
        <v/>
      </c>
      <c r="S13" s="53"/>
      <c r="T13" s="52" t="str">
        <f t="shared" si="7"/>
        <v/>
      </c>
      <c r="U13" s="51"/>
      <c r="V13" s="52" t="str">
        <f t="shared" si="8"/>
        <v/>
      </c>
      <c r="W13" s="51"/>
      <c r="X13" s="52" t="str">
        <f t="shared" si="9"/>
        <v/>
      </c>
    </row>
    <row r="14" spans="1:24" x14ac:dyDescent="0.35">
      <c r="A14" s="27">
        <v>4</v>
      </c>
      <c r="B14" s="54">
        <v>46209</v>
      </c>
      <c r="C14" s="60">
        <f t="shared" si="0"/>
        <v>246.91358024691357</v>
      </c>
      <c r="D14" s="48"/>
      <c r="E14" s="60">
        <f>SUM($C$11:C14)</f>
        <v>987.65432098765427</v>
      </c>
      <c r="F14" s="60">
        <f>SUM($D$11:D14)</f>
        <v>0</v>
      </c>
      <c r="G14" s="56" t="str">
        <f>IF(COUNT($D$11:D14)=0,"",F14/E14)</f>
        <v/>
      </c>
      <c r="H14" s="57" t="str">
        <f t="shared" si="1"/>
        <v/>
      </c>
      <c r="I14" s="51"/>
      <c r="J14" s="58" t="str">
        <f t="shared" si="2"/>
        <v/>
      </c>
      <c r="K14" s="51"/>
      <c r="L14" s="58" t="str">
        <f t="shared" si="3"/>
        <v/>
      </c>
      <c r="M14" s="51"/>
      <c r="N14" s="58" t="str">
        <f t="shared" si="4"/>
        <v/>
      </c>
      <c r="O14" s="51"/>
      <c r="P14" s="58" t="str">
        <f t="shared" si="5"/>
        <v/>
      </c>
      <c r="Q14" s="51"/>
      <c r="R14" s="58" t="str">
        <f t="shared" si="6"/>
        <v/>
      </c>
      <c r="S14" s="53"/>
      <c r="T14" s="58" t="str">
        <f t="shared" si="7"/>
        <v/>
      </c>
      <c r="U14" s="51"/>
      <c r="V14" s="58" t="str">
        <f t="shared" si="8"/>
        <v/>
      </c>
      <c r="W14" s="51"/>
      <c r="X14" s="58" t="str">
        <f t="shared" si="9"/>
        <v/>
      </c>
    </row>
    <row r="15" spans="1:24" x14ac:dyDescent="0.35">
      <c r="A15" s="20">
        <v>5</v>
      </c>
      <c r="B15" s="46">
        <v>46216</v>
      </c>
      <c r="C15" s="59">
        <f t="shared" si="0"/>
        <v>246.91358024691357</v>
      </c>
      <c r="D15" s="48"/>
      <c r="E15" s="59">
        <f>SUM($C$11:C15)</f>
        <v>1234.5679012345679</v>
      </c>
      <c r="F15" s="59">
        <f>SUM($D$11:D15)</f>
        <v>0</v>
      </c>
      <c r="G15" s="49" t="str">
        <f>IF(COUNT($D$11:D15)=0,"",F15/E15)</f>
        <v/>
      </c>
      <c r="H15" s="50" t="str">
        <f t="shared" si="1"/>
        <v/>
      </c>
      <c r="I15" s="51"/>
      <c r="J15" s="52" t="str">
        <f t="shared" si="2"/>
        <v/>
      </c>
      <c r="K15" s="51"/>
      <c r="L15" s="52" t="str">
        <f t="shared" si="3"/>
        <v/>
      </c>
      <c r="M15" s="51"/>
      <c r="N15" s="52" t="str">
        <f t="shared" si="4"/>
        <v/>
      </c>
      <c r="O15" s="51"/>
      <c r="P15" s="52" t="str">
        <f t="shared" si="5"/>
        <v/>
      </c>
      <c r="Q15" s="51"/>
      <c r="R15" s="52" t="str">
        <f t="shared" si="6"/>
        <v/>
      </c>
      <c r="S15" s="53"/>
      <c r="T15" s="52" t="str">
        <f t="shared" si="7"/>
        <v/>
      </c>
      <c r="U15" s="51"/>
      <c r="V15" s="52" t="str">
        <f t="shared" si="8"/>
        <v/>
      </c>
      <c r="W15" s="51"/>
      <c r="X15" s="52" t="str">
        <f t="shared" si="9"/>
        <v/>
      </c>
    </row>
    <row r="16" spans="1:24" x14ac:dyDescent="0.35">
      <c r="A16" s="27">
        <v>6</v>
      </c>
      <c r="B16" s="54">
        <v>46223</v>
      </c>
      <c r="C16" s="60">
        <f t="shared" si="0"/>
        <v>246.91358024691357</v>
      </c>
      <c r="D16" s="48"/>
      <c r="E16" s="60">
        <f>SUM($C$11:C16)</f>
        <v>1481.4814814814815</v>
      </c>
      <c r="F16" s="60">
        <f>SUM($D$11:D16)</f>
        <v>0</v>
      </c>
      <c r="G16" s="56" t="str">
        <f>IF(COUNT($D$11:D16)=0,"",F16/E16)</f>
        <v/>
      </c>
      <c r="H16" s="57" t="str">
        <f t="shared" si="1"/>
        <v/>
      </c>
      <c r="I16" s="51"/>
      <c r="J16" s="58" t="str">
        <f t="shared" si="2"/>
        <v/>
      </c>
      <c r="K16" s="51"/>
      <c r="L16" s="58" t="str">
        <f t="shared" si="3"/>
        <v/>
      </c>
      <c r="M16" s="51"/>
      <c r="N16" s="58" t="str">
        <f t="shared" si="4"/>
        <v/>
      </c>
      <c r="O16" s="51"/>
      <c r="P16" s="58" t="str">
        <f t="shared" si="5"/>
        <v/>
      </c>
      <c r="Q16" s="51"/>
      <c r="R16" s="58" t="str">
        <f t="shared" si="6"/>
        <v/>
      </c>
      <c r="S16" s="53"/>
      <c r="T16" s="58" t="str">
        <f t="shared" si="7"/>
        <v/>
      </c>
      <c r="U16" s="51"/>
      <c r="V16" s="58" t="str">
        <f t="shared" si="8"/>
        <v/>
      </c>
      <c r="W16" s="51"/>
      <c r="X16" s="58" t="str">
        <f t="shared" si="9"/>
        <v/>
      </c>
    </row>
    <row r="17" spans="1:24" x14ac:dyDescent="0.35">
      <c r="A17" s="20">
        <v>7</v>
      </c>
      <c r="B17" s="46">
        <v>46230</v>
      </c>
      <c r="C17" s="59">
        <f t="shared" si="0"/>
        <v>246.91358024691357</v>
      </c>
      <c r="D17" s="48"/>
      <c r="E17" s="59">
        <f>SUM($C$11:C17)</f>
        <v>1728.3950617283951</v>
      </c>
      <c r="F17" s="59">
        <f>SUM($D$11:D17)</f>
        <v>0</v>
      </c>
      <c r="G17" s="49" t="str">
        <f>IF(COUNT($D$11:D17)=0,"",F17/E17)</f>
        <v/>
      </c>
      <c r="H17" s="50" t="str">
        <f t="shared" si="1"/>
        <v/>
      </c>
      <c r="I17" s="51"/>
      <c r="J17" s="52" t="str">
        <f t="shared" si="2"/>
        <v/>
      </c>
      <c r="K17" s="51"/>
      <c r="L17" s="52" t="str">
        <f t="shared" si="3"/>
        <v/>
      </c>
      <c r="M17" s="51"/>
      <c r="N17" s="52" t="str">
        <f t="shared" si="4"/>
        <v/>
      </c>
      <c r="O17" s="51"/>
      <c r="P17" s="52" t="str">
        <f t="shared" si="5"/>
        <v/>
      </c>
      <c r="Q17" s="51"/>
      <c r="R17" s="52" t="str">
        <f t="shared" si="6"/>
        <v/>
      </c>
      <c r="S17" s="53"/>
      <c r="T17" s="52" t="str">
        <f t="shared" si="7"/>
        <v/>
      </c>
      <c r="U17" s="51"/>
      <c r="V17" s="52" t="str">
        <f t="shared" si="8"/>
        <v/>
      </c>
      <c r="W17" s="51"/>
      <c r="X17" s="52" t="str">
        <f t="shared" si="9"/>
        <v/>
      </c>
    </row>
    <row r="18" spans="1:24" x14ac:dyDescent="0.35">
      <c r="A18" s="27">
        <v>8</v>
      </c>
      <c r="B18" s="54">
        <v>46237</v>
      </c>
      <c r="C18" s="60">
        <f t="shared" si="0"/>
        <v>246.91358024691357</v>
      </c>
      <c r="D18" s="48"/>
      <c r="E18" s="60">
        <f>SUM($C$11:C18)</f>
        <v>1975.3086419753088</v>
      </c>
      <c r="F18" s="60">
        <f>SUM($D$11:D18)</f>
        <v>0</v>
      </c>
      <c r="G18" s="56" t="str">
        <f>IF(COUNT($D$11:D18)=0,"",F18/E18)</f>
        <v/>
      </c>
      <c r="H18" s="57" t="str">
        <f t="shared" si="1"/>
        <v/>
      </c>
      <c r="I18" s="51"/>
      <c r="J18" s="58" t="str">
        <f t="shared" si="2"/>
        <v/>
      </c>
      <c r="K18" s="51"/>
      <c r="L18" s="58" t="str">
        <f t="shared" si="3"/>
        <v/>
      </c>
      <c r="M18" s="51"/>
      <c r="N18" s="58" t="str">
        <f t="shared" si="4"/>
        <v/>
      </c>
      <c r="O18" s="51"/>
      <c r="P18" s="58" t="str">
        <f t="shared" si="5"/>
        <v/>
      </c>
      <c r="Q18" s="51"/>
      <c r="R18" s="58" t="str">
        <f t="shared" si="6"/>
        <v/>
      </c>
      <c r="S18" s="53"/>
      <c r="T18" s="58" t="str">
        <f t="shared" si="7"/>
        <v/>
      </c>
      <c r="U18" s="51"/>
      <c r="V18" s="58" t="str">
        <f t="shared" si="8"/>
        <v/>
      </c>
      <c r="W18" s="51"/>
      <c r="X18" s="58" t="str">
        <f t="shared" si="9"/>
        <v/>
      </c>
    </row>
    <row r="19" spans="1:24" x14ac:dyDescent="0.35">
      <c r="A19" s="20">
        <v>9</v>
      </c>
      <c r="B19" s="46">
        <v>46244</v>
      </c>
      <c r="C19" s="59">
        <f t="shared" si="0"/>
        <v>246.91358024691357</v>
      </c>
      <c r="D19" s="48"/>
      <c r="E19" s="59">
        <f>SUM($C$11:C19)</f>
        <v>2222.2222222222222</v>
      </c>
      <c r="F19" s="59">
        <f>SUM($D$11:D19)</f>
        <v>0</v>
      </c>
      <c r="G19" s="49" t="str">
        <f>IF(COUNT($D$11:D19)=0,"",F19/E19)</f>
        <v/>
      </c>
      <c r="H19" s="50" t="str">
        <f t="shared" si="1"/>
        <v/>
      </c>
      <c r="I19" s="51"/>
      <c r="J19" s="52" t="str">
        <f t="shared" si="2"/>
        <v/>
      </c>
      <c r="K19" s="51"/>
      <c r="L19" s="52" t="str">
        <f t="shared" si="3"/>
        <v/>
      </c>
      <c r="M19" s="51"/>
      <c r="N19" s="52" t="str">
        <f t="shared" si="4"/>
        <v/>
      </c>
      <c r="O19" s="51"/>
      <c r="P19" s="52" t="str">
        <f t="shared" si="5"/>
        <v/>
      </c>
      <c r="Q19" s="51"/>
      <c r="R19" s="52" t="str">
        <f t="shared" si="6"/>
        <v/>
      </c>
      <c r="S19" s="53"/>
      <c r="T19" s="52" t="str">
        <f t="shared" si="7"/>
        <v/>
      </c>
      <c r="U19" s="51"/>
      <c r="V19" s="52" t="str">
        <f t="shared" si="8"/>
        <v/>
      </c>
      <c r="W19" s="51"/>
      <c r="X19" s="52" t="str">
        <f t="shared" si="9"/>
        <v/>
      </c>
    </row>
    <row r="20" spans="1:24" x14ac:dyDescent="0.35">
      <c r="A20" s="27">
        <v>10</v>
      </c>
      <c r="B20" s="54">
        <v>46251</v>
      </c>
      <c r="C20" s="60">
        <f t="shared" si="0"/>
        <v>246.91358024691357</v>
      </c>
      <c r="D20" s="48"/>
      <c r="E20" s="60">
        <f>SUM($C$11:C20)</f>
        <v>2469.1358024691358</v>
      </c>
      <c r="F20" s="60">
        <f>SUM($D$11:D20)</f>
        <v>0</v>
      </c>
      <c r="G20" s="56" t="str">
        <f>IF(COUNT($D$11:D20)=0,"",F20/E20)</f>
        <v/>
      </c>
      <c r="H20" s="57" t="str">
        <f t="shared" si="1"/>
        <v/>
      </c>
      <c r="I20" s="51"/>
      <c r="J20" s="58" t="str">
        <f t="shared" si="2"/>
        <v/>
      </c>
      <c r="K20" s="51"/>
      <c r="L20" s="58" t="str">
        <f t="shared" si="3"/>
        <v/>
      </c>
      <c r="M20" s="51"/>
      <c r="N20" s="58" t="str">
        <f t="shared" si="4"/>
        <v/>
      </c>
      <c r="O20" s="51"/>
      <c r="P20" s="58" t="str">
        <f t="shared" si="5"/>
        <v/>
      </c>
      <c r="Q20" s="51"/>
      <c r="R20" s="58" t="str">
        <f t="shared" si="6"/>
        <v/>
      </c>
      <c r="S20" s="53"/>
      <c r="T20" s="58" t="str">
        <f t="shared" si="7"/>
        <v/>
      </c>
      <c r="U20" s="51"/>
      <c r="V20" s="58" t="str">
        <f t="shared" si="8"/>
        <v/>
      </c>
      <c r="W20" s="51"/>
      <c r="X20" s="58" t="str">
        <f t="shared" si="9"/>
        <v/>
      </c>
    </row>
    <row r="21" spans="1:24" x14ac:dyDescent="0.35">
      <c r="A21" s="20">
        <v>11</v>
      </c>
      <c r="B21" s="46">
        <v>46258</v>
      </c>
      <c r="C21" s="59">
        <f t="shared" si="0"/>
        <v>246.91358024691357</v>
      </c>
      <c r="D21" s="48"/>
      <c r="E21" s="59">
        <f>SUM($C$11:C21)</f>
        <v>2716.0493827160494</v>
      </c>
      <c r="F21" s="59">
        <f>SUM($D$11:D21)</f>
        <v>0</v>
      </c>
      <c r="G21" s="49" t="str">
        <f>IF(COUNT($D$11:D21)=0,"",F21/E21)</f>
        <v/>
      </c>
      <c r="H21" s="50" t="str">
        <f t="shared" si="1"/>
        <v/>
      </c>
      <c r="I21" s="51"/>
      <c r="J21" s="52" t="str">
        <f t="shared" si="2"/>
        <v/>
      </c>
      <c r="K21" s="51"/>
      <c r="L21" s="52" t="str">
        <f t="shared" si="3"/>
        <v/>
      </c>
      <c r="M21" s="51"/>
      <c r="N21" s="52" t="str">
        <f t="shared" si="4"/>
        <v/>
      </c>
      <c r="O21" s="51"/>
      <c r="P21" s="52" t="str">
        <f t="shared" si="5"/>
        <v/>
      </c>
      <c r="Q21" s="51"/>
      <c r="R21" s="52" t="str">
        <f t="shared" si="6"/>
        <v/>
      </c>
      <c r="S21" s="53"/>
      <c r="T21" s="52" t="str">
        <f t="shared" si="7"/>
        <v/>
      </c>
      <c r="U21" s="51"/>
      <c r="V21" s="52" t="str">
        <f t="shared" si="8"/>
        <v/>
      </c>
      <c r="W21" s="51"/>
      <c r="X21" s="52" t="str">
        <f t="shared" si="9"/>
        <v/>
      </c>
    </row>
    <row r="22" spans="1:24" x14ac:dyDescent="0.35">
      <c r="A22" s="27">
        <v>12</v>
      </c>
      <c r="B22" s="54">
        <v>46265</v>
      </c>
      <c r="C22" s="60">
        <f t="shared" si="0"/>
        <v>246.91358024691357</v>
      </c>
      <c r="D22" s="48"/>
      <c r="E22" s="60">
        <f>SUM($C$11:C22)</f>
        <v>2962.962962962963</v>
      </c>
      <c r="F22" s="60">
        <f>SUM($D$11:D22)</f>
        <v>0</v>
      </c>
      <c r="G22" s="56" t="str">
        <f>IF(COUNT($D$11:D22)=0,"",F22/E22)</f>
        <v/>
      </c>
      <c r="H22" s="57" t="str">
        <f t="shared" si="1"/>
        <v/>
      </c>
      <c r="I22" s="51"/>
      <c r="J22" s="58" t="str">
        <f t="shared" si="2"/>
        <v/>
      </c>
      <c r="K22" s="51"/>
      <c r="L22" s="58" t="str">
        <f t="shared" si="3"/>
        <v/>
      </c>
      <c r="M22" s="51"/>
      <c r="N22" s="58" t="str">
        <f t="shared" si="4"/>
        <v/>
      </c>
      <c r="O22" s="51"/>
      <c r="P22" s="58" t="str">
        <f t="shared" si="5"/>
        <v/>
      </c>
      <c r="Q22" s="51"/>
      <c r="R22" s="58" t="str">
        <f t="shared" si="6"/>
        <v/>
      </c>
      <c r="S22" s="53"/>
      <c r="T22" s="58" t="str">
        <f t="shared" si="7"/>
        <v/>
      </c>
      <c r="U22" s="51"/>
      <c r="V22" s="58" t="str">
        <f t="shared" si="8"/>
        <v/>
      </c>
      <c r="W22" s="51"/>
      <c r="X22" s="58" t="str">
        <f t="shared" si="9"/>
        <v/>
      </c>
    </row>
    <row r="23" spans="1:24" x14ac:dyDescent="0.35">
      <c r="A23" s="20">
        <v>13</v>
      </c>
      <c r="B23" s="46">
        <v>46272</v>
      </c>
      <c r="C23" s="59">
        <f t="shared" si="0"/>
        <v>246.91358024691357</v>
      </c>
      <c r="D23" s="48"/>
      <c r="E23" s="59">
        <f>SUM($C$11:C23)</f>
        <v>3209.8765432098767</v>
      </c>
      <c r="F23" s="59">
        <f>SUM($D$11:D23)</f>
        <v>0</v>
      </c>
      <c r="G23" s="49" t="str">
        <f>IF(COUNT($D$11:D23)=0,"",F23/E23)</f>
        <v/>
      </c>
      <c r="H23" s="50" t="str">
        <f t="shared" si="1"/>
        <v/>
      </c>
      <c r="I23" s="51"/>
      <c r="J23" s="52" t="str">
        <f t="shared" si="2"/>
        <v/>
      </c>
      <c r="K23" s="51"/>
      <c r="L23" s="52" t="str">
        <f t="shared" si="3"/>
        <v/>
      </c>
      <c r="M23" s="51"/>
      <c r="N23" s="52" t="str">
        <f t="shared" si="4"/>
        <v/>
      </c>
      <c r="O23" s="51"/>
      <c r="P23" s="52" t="str">
        <f t="shared" si="5"/>
        <v/>
      </c>
      <c r="Q23" s="51"/>
      <c r="R23" s="52" t="str">
        <f t="shared" si="6"/>
        <v/>
      </c>
      <c r="S23" s="53"/>
      <c r="T23" s="52" t="str">
        <f t="shared" si="7"/>
        <v/>
      </c>
      <c r="U23" s="51"/>
      <c r="V23" s="52" t="str">
        <f t="shared" si="8"/>
        <v/>
      </c>
      <c r="W23" s="51"/>
      <c r="X23" s="52" t="str">
        <f t="shared" si="9"/>
        <v/>
      </c>
    </row>
    <row r="24" spans="1:24" x14ac:dyDescent="0.35">
      <c r="A24" s="27">
        <v>14</v>
      </c>
      <c r="B24" s="54">
        <v>46279</v>
      </c>
      <c r="C24" s="60">
        <f t="shared" si="0"/>
        <v>246.91358024691357</v>
      </c>
      <c r="D24" s="48"/>
      <c r="E24" s="60">
        <f>SUM($C$11:C24)</f>
        <v>3456.7901234567903</v>
      </c>
      <c r="F24" s="60">
        <f>SUM($D$11:D24)</f>
        <v>0</v>
      </c>
      <c r="G24" s="56" t="str">
        <f>IF(COUNT($D$11:D24)=0,"",F24/E24)</f>
        <v/>
      </c>
      <c r="H24" s="57" t="str">
        <f t="shared" si="1"/>
        <v/>
      </c>
      <c r="I24" s="51"/>
      <c r="J24" s="58" t="str">
        <f t="shared" si="2"/>
        <v/>
      </c>
      <c r="K24" s="51"/>
      <c r="L24" s="58" t="str">
        <f t="shared" si="3"/>
        <v/>
      </c>
      <c r="M24" s="51"/>
      <c r="N24" s="58" t="str">
        <f t="shared" si="4"/>
        <v/>
      </c>
      <c r="O24" s="51"/>
      <c r="P24" s="58" t="str">
        <f t="shared" si="5"/>
        <v/>
      </c>
      <c r="Q24" s="51"/>
      <c r="R24" s="58" t="str">
        <f t="shared" si="6"/>
        <v/>
      </c>
      <c r="S24" s="53"/>
      <c r="T24" s="58" t="str">
        <f t="shared" si="7"/>
        <v/>
      </c>
      <c r="U24" s="51"/>
      <c r="V24" s="58" t="str">
        <f t="shared" si="8"/>
        <v/>
      </c>
      <c r="W24" s="51"/>
      <c r="X24" s="58" t="str">
        <f t="shared" si="9"/>
        <v/>
      </c>
    </row>
    <row r="25" spans="1:24" x14ac:dyDescent="0.35">
      <c r="A25" s="20">
        <v>15</v>
      </c>
      <c r="B25" s="46">
        <v>46286</v>
      </c>
      <c r="C25" s="59">
        <f t="shared" si="0"/>
        <v>246.91358024691357</v>
      </c>
      <c r="D25" s="48"/>
      <c r="E25" s="59">
        <f>SUM($C$11:C25)</f>
        <v>3703.7037037037039</v>
      </c>
      <c r="F25" s="59">
        <f>SUM($D$11:D25)</f>
        <v>0</v>
      </c>
      <c r="G25" s="49" t="str">
        <f>IF(COUNT($D$11:D25)=0,"",F25/E25)</f>
        <v/>
      </c>
      <c r="H25" s="50" t="str">
        <f t="shared" si="1"/>
        <v/>
      </c>
      <c r="I25" s="51"/>
      <c r="J25" s="52" t="str">
        <f t="shared" si="2"/>
        <v/>
      </c>
      <c r="K25" s="51"/>
      <c r="L25" s="52" t="str">
        <f t="shared" si="3"/>
        <v/>
      </c>
      <c r="M25" s="51"/>
      <c r="N25" s="52" t="str">
        <f t="shared" si="4"/>
        <v/>
      </c>
      <c r="O25" s="51"/>
      <c r="P25" s="52" t="str">
        <f t="shared" si="5"/>
        <v/>
      </c>
      <c r="Q25" s="51"/>
      <c r="R25" s="52" t="str">
        <f t="shared" si="6"/>
        <v/>
      </c>
      <c r="S25" s="53"/>
      <c r="T25" s="52" t="str">
        <f t="shared" si="7"/>
        <v/>
      </c>
      <c r="U25" s="51"/>
      <c r="V25" s="52" t="str">
        <f t="shared" si="8"/>
        <v/>
      </c>
      <c r="W25" s="51"/>
      <c r="X25" s="52" t="str">
        <f t="shared" si="9"/>
        <v/>
      </c>
    </row>
    <row r="26" spans="1:24" x14ac:dyDescent="0.35">
      <c r="A26" s="27">
        <v>16</v>
      </c>
      <c r="B26" s="54">
        <v>46293</v>
      </c>
      <c r="C26" s="60">
        <f t="shared" si="0"/>
        <v>246.91358024691357</v>
      </c>
      <c r="D26" s="48"/>
      <c r="E26" s="60">
        <f>SUM($C$11:C26)</f>
        <v>3950.6172839506175</v>
      </c>
      <c r="F26" s="60">
        <f>SUM($D$11:D26)</f>
        <v>0</v>
      </c>
      <c r="G26" s="56" t="str">
        <f>IF(COUNT($D$11:D26)=0,"",F26/E26)</f>
        <v/>
      </c>
      <c r="H26" s="57" t="str">
        <f t="shared" si="1"/>
        <v/>
      </c>
      <c r="I26" s="51"/>
      <c r="J26" s="58" t="str">
        <f t="shared" si="2"/>
        <v/>
      </c>
      <c r="K26" s="51"/>
      <c r="L26" s="58" t="str">
        <f t="shared" si="3"/>
        <v/>
      </c>
      <c r="M26" s="51"/>
      <c r="N26" s="58" t="str">
        <f t="shared" si="4"/>
        <v/>
      </c>
      <c r="O26" s="51"/>
      <c r="P26" s="58" t="str">
        <f t="shared" si="5"/>
        <v/>
      </c>
      <c r="Q26" s="51"/>
      <c r="R26" s="58" t="str">
        <f t="shared" si="6"/>
        <v/>
      </c>
      <c r="S26" s="53"/>
      <c r="T26" s="58" t="str">
        <f t="shared" si="7"/>
        <v/>
      </c>
      <c r="U26" s="51"/>
      <c r="V26" s="58" t="str">
        <f t="shared" si="8"/>
        <v/>
      </c>
      <c r="W26" s="51"/>
      <c r="X26" s="58" t="str">
        <f t="shared" si="9"/>
        <v/>
      </c>
    </row>
    <row r="27" spans="1:24" x14ac:dyDescent="0.35">
      <c r="A27" s="20">
        <v>17</v>
      </c>
      <c r="B27" s="46">
        <v>46300</v>
      </c>
      <c r="C27" s="59">
        <f t="shared" si="0"/>
        <v>246.91358024691357</v>
      </c>
      <c r="D27" s="48"/>
      <c r="E27" s="59">
        <f>SUM($C$11:C27)</f>
        <v>4197.5308641975307</v>
      </c>
      <c r="F27" s="59">
        <f>SUM($D$11:D27)</f>
        <v>0</v>
      </c>
      <c r="G27" s="49" t="str">
        <f>IF(COUNT($D$11:D27)=0,"",F27/E27)</f>
        <v/>
      </c>
      <c r="H27" s="50" t="str">
        <f t="shared" si="1"/>
        <v/>
      </c>
      <c r="I27" s="51"/>
      <c r="J27" s="52" t="str">
        <f t="shared" si="2"/>
        <v/>
      </c>
      <c r="K27" s="51"/>
      <c r="L27" s="52" t="str">
        <f t="shared" si="3"/>
        <v/>
      </c>
      <c r="M27" s="51"/>
      <c r="N27" s="52" t="str">
        <f t="shared" si="4"/>
        <v/>
      </c>
      <c r="O27" s="51"/>
      <c r="P27" s="52" t="str">
        <f t="shared" si="5"/>
        <v/>
      </c>
      <c r="Q27" s="51"/>
      <c r="R27" s="52" t="str">
        <f t="shared" si="6"/>
        <v/>
      </c>
      <c r="S27" s="53"/>
      <c r="T27" s="52" t="str">
        <f t="shared" si="7"/>
        <v/>
      </c>
      <c r="U27" s="51"/>
      <c r="V27" s="52" t="str">
        <f t="shared" si="8"/>
        <v/>
      </c>
      <c r="W27" s="51"/>
      <c r="X27" s="52" t="str">
        <f t="shared" si="9"/>
        <v/>
      </c>
    </row>
    <row r="28" spans="1:24" x14ac:dyDescent="0.35">
      <c r="A28" s="27">
        <v>18</v>
      </c>
      <c r="B28" s="54">
        <v>46307</v>
      </c>
      <c r="C28" s="60">
        <f t="shared" si="0"/>
        <v>246.91358024691357</v>
      </c>
      <c r="D28" s="48"/>
      <c r="E28" s="60">
        <f>SUM($C$11:C28)</f>
        <v>4444.4444444444443</v>
      </c>
      <c r="F28" s="60">
        <f>SUM($D$11:D28)</f>
        <v>0</v>
      </c>
      <c r="G28" s="56" t="str">
        <f>IF(COUNT($D$11:D28)=0,"",F28/E28)</f>
        <v/>
      </c>
      <c r="H28" s="57" t="str">
        <f t="shared" si="1"/>
        <v/>
      </c>
      <c r="I28" s="51"/>
      <c r="J28" s="58" t="str">
        <f t="shared" si="2"/>
        <v/>
      </c>
      <c r="K28" s="51"/>
      <c r="L28" s="58" t="str">
        <f t="shared" si="3"/>
        <v/>
      </c>
      <c r="M28" s="51"/>
      <c r="N28" s="58" t="str">
        <f t="shared" si="4"/>
        <v/>
      </c>
      <c r="O28" s="51"/>
      <c r="P28" s="58" t="str">
        <f t="shared" si="5"/>
        <v/>
      </c>
      <c r="Q28" s="51"/>
      <c r="R28" s="58" t="str">
        <f t="shared" si="6"/>
        <v/>
      </c>
      <c r="S28" s="53"/>
      <c r="T28" s="58" t="str">
        <f t="shared" si="7"/>
        <v/>
      </c>
      <c r="U28" s="51"/>
      <c r="V28" s="58" t="str">
        <f t="shared" si="8"/>
        <v/>
      </c>
      <c r="W28" s="51"/>
      <c r="X28" s="58" t="str">
        <f t="shared" si="9"/>
        <v/>
      </c>
    </row>
    <row r="29" spans="1:24" x14ac:dyDescent="0.35">
      <c r="A29" s="20">
        <v>19</v>
      </c>
      <c r="B29" s="46">
        <v>46314</v>
      </c>
      <c r="C29" s="59">
        <f t="shared" si="0"/>
        <v>246.91358024691357</v>
      </c>
      <c r="D29" s="48"/>
      <c r="E29" s="59">
        <f>SUM($C$11:C29)</f>
        <v>4691.358024691358</v>
      </c>
      <c r="F29" s="59">
        <f>SUM($D$11:D29)</f>
        <v>0</v>
      </c>
      <c r="G29" s="49" t="str">
        <f>IF(COUNT($D$11:D29)=0,"",F29/E29)</f>
        <v/>
      </c>
      <c r="H29" s="50" t="str">
        <f t="shared" si="1"/>
        <v/>
      </c>
      <c r="I29" s="51"/>
      <c r="J29" s="52" t="str">
        <f t="shared" si="2"/>
        <v/>
      </c>
      <c r="K29" s="51"/>
      <c r="L29" s="52" t="str">
        <f t="shared" si="3"/>
        <v/>
      </c>
      <c r="M29" s="51"/>
      <c r="N29" s="52" t="str">
        <f t="shared" si="4"/>
        <v/>
      </c>
      <c r="O29" s="51"/>
      <c r="P29" s="52" t="str">
        <f t="shared" si="5"/>
        <v/>
      </c>
      <c r="Q29" s="51"/>
      <c r="R29" s="52" t="str">
        <f t="shared" si="6"/>
        <v/>
      </c>
      <c r="S29" s="53"/>
      <c r="T29" s="52" t="str">
        <f t="shared" si="7"/>
        <v/>
      </c>
      <c r="U29" s="51"/>
      <c r="V29" s="52" t="str">
        <f t="shared" si="8"/>
        <v/>
      </c>
      <c r="W29" s="51"/>
      <c r="X29" s="52" t="str">
        <f t="shared" si="9"/>
        <v/>
      </c>
    </row>
    <row r="30" spans="1:24" x14ac:dyDescent="0.35">
      <c r="A30" s="27">
        <v>20</v>
      </c>
      <c r="B30" s="54">
        <v>46321</v>
      </c>
      <c r="C30" s="60">
        <f t="shared" si="0"/>
        <v>246.91358024691357</v>
      </c>
      <c r="D30" s="48"/>
      <c r="E30" s="60">
        <f>SUM($C$11:C30)</f>
        <v>4938.2716049382716</v>
      </c>
      <c r="F30" s="60">
        <f>SUM($D$11:D30)</f>
        <v>0</v>
      </c>
      <c r="G30" s="56" t="str">
        <f>IF(COUNT($D$11:D30)=0,"",F30/E30)</f>
        <v/>
      </c>
      <c r="H30" s="57" t="str">
        <f t="shared" si="1"/>
        <v/>
      </c>
      <c r="I30" s="51"/>
      <c r="J30" s="58" t="str">
        <f t="shared" si="2"/>
        <v/>
      </c>
      <c r="K30" s="51"/>
      <c r="L30" s="58" t="str">
        <f t="shared" si="3"/>
        <v/>
      </c>
      <c r="M30" s="51"/>
      <c r="N30" s="58" t="str">
        <f t="shared" si="4"/>
        <v/>
      </c>
      <c r="O30" s="51"/>
      <c r="P30" s="58" t="str">
        <f t="shared" si="5"/>
        <v/>
      </c>
      <c r="Q30" s="51"/>
      <c r="R30" s="58" t="str">
        <f t="shared" si="6"/>
        <v/>
      </c>
      <c r="S30" s="53"/>
      <c r="T30" s="58" t="str">
        <f t="shared" si="7"/>
        <v/>
      </c>
      <c r="U30" s="51"/>
      <c r="V30" s="58" t="str">
        <f t="shared" si="8"/>
        <v/>
      </c>
      <c r="W30" s="51"/>
      <c r="X30" s="58" t="str">
        <f t="shared" si="9"/>
        <v/>
      </c>
    </row>
    <row r="31" spans="1:24" x14ac:dyDescent="0.35">
      <c r="A31" s="20">
        <v>21</v>
      </c>
      <c r="B31" s="46">
        <v>46328</v>
      </c>
      <c r="C31" s="59">
        <f t="shared" si="0"/>
        <v>246.91358024691357</v>
      </c>
      <c r="D31" s="48"/>
      <c r="E31" s="59">
        <f>SUM($C$11:C31)</f>
        <v>5185.1851851851852</v>
      </c>
      <c r="F31" s="59">
        <f>SUM($D$11:D31)</f>
        <v>0</v>
      </c>
      <c r="G31" s="49" t="str">
        <f>IF(COUNT($D$11:D31)=0,"",F31/E31)</f>
        <v/>
      </c>
      <c r="H31" s="50" t="str">
        <f t="shared" si="1"/>
        <v/>
      </c>
      <c r="I31" s="51"/>
      <c r="J31" s="52" t="str">
        <f t="shared" si="2"/>
        <v/>
      </c>
      <c r="K31" s="51"/>
      <c r="L31" s="52" t="str">
        <f t="shared" si="3"/>
        <v/>
      </c>
      <c r="M31" s="51"/>
      <c r="N31" s="52" t="str">
        <f t="shared" si="4"/>
        <v/>
      </c>
      <c r="O31" s="51"/>
      <c r="P31" s="52" t="str">
        <f t="shared" si="5"/>
        <v/>
      </c>
      <c r="Q31" s="51"/>
      <c r="R31" s="52" t="str">
        <f t="shared" si="6"/>
        <v/>
      </c>
      <c r="S31" s="53"/>
      <c r="T31" s="52" t="str">
        <f t="shared" si="7"/>
        <v/>
      </c>
      <c r="U31" s="51"/>
      <c r="V31" s="52" t="str">
        <f t="shared" si="8"/>
        <v/>
      </c>
      <c r="W31" s="51"/>
      <c r="X31" s="52" t="str">
        <f t="shared" si="9"/>
        <v/>
      </c>
    </row>
    <row r="32" spans="1:24" x14ac:dyDescent="0.35">
      <c r="A32" s="27">
        <v>22</v>
      </c>
      <c r="B32" s="54">
        <v>46335</v>
      </c>
      <c r="C32" s="60">
        <f t="shared" si="0"/>
        <v>246.91358024691357</v>
      </c>
      <c r="D32" s="48"/>
      <c r="E32" s="60">
        <f>SUM($C$11:C32)</f>
        <v>5432.0987654320988</v>
      </c>
      <c r="F32" s="60">
        <f>SUM($D$11:D32)</f>
        <v>0</v>
      </c>
      <c r="G32" s="56" t="str">
        <f>IF(COUNT($D$11:D32)=0,"",F32/E32)</f>
        <v/>
      </c>
      <c r="H32" s="57" t="str">
        <f t="shared" si="1"/>
        <v/>
      </c>
      <c r="I32" s="51"/>
      <c r="J32" s="58" t="str">
        <f t="shared" si="2"/>
        <v/>
      </c>
      <c r="K32" s="51"/>
      <c r="L32" s="58" t="str">
        <f t="shared" si="3"/>
        <v/>
      </c>
      <c r="M32" s="51"/>
      <c r="N32" s="58" t="str">
        <f t="shared" si="4"/>
        <v/>
      </c>
      <c r="O32" s="51"/>
      <c r="P32" s="58" t="str">
        <f t="shared" si="5"/>
        <v/>
      </c>
      <c r="Q32" s="51"/>
      <c r="R32" s="58" t="str">
        <f t="shared" si="6"/>
        <v/>
      </c>
      <c r="S32" s="53"/>
      <c r="T32" s="58" t="str">
        <f t="shared" si="7"/>
        <v/>
      </c>
      <c r="U32" s="51"/>
      <c r="V32" s="58" t="str">
        <f t="shared" si="8"/>
        <v/>
      </c>
      <c r="W32" s="51"/>
      <c r="X32" s="58" t="str">
        <f t="shared" si="9"/>
        <v/>
      </c>
    </row>
    <row r="33" spans="1:24" x14ac:dyDescent="0.35">
      <c r="A33" s="20">
        <v>23</v>
      </c>
      <c r="B33" s="46">
        <v>46342</v>
      </c>
      <c r="C33" s="59">
        <f t="shared" si="0"/>
        <v>246.91358024691357</v>
      </c>
      <c r="D33" s="48"/>
      <c r="E33" s="59">
        <f>SUM($C$11:C33)</f>
        <v>5679.0123456790125</v>
      </c>
      <c r="F33" s="59">
        <f>SUM($D$11:D33)</f>
        <v>0</v>
      </c>
      <c r="G33" s="49" t="str">
        <f>IF(COUNT($D$11:D33)=0,"",F33/E33)</f>
        <v/>
      </c>
      <c r="H33" s="50" t="str">
        <f t="shared" si="1"/>
        <v/>
      </c>
      <c r="I33" s="51"/>
      <c r="J33" s="52" t="str">
        <f t="shared" si="2"/>
        <v/>
      </c>
      <c r="K33" s="51"/>
      <c r="L33" s="52" t="str">
        <f t="shared" si="3"/>
        <v/>
      </c>
      <c r="M33" s="51"/>
      <c r="N33" s="52" t="str">
        <f t="shared" si="4"/>
        <v/>
      </c>
      <c r="O33" s="51"/>
      <c r="P33" s="52" t="str">
        <f t="shared" si="5"/>
        <v/>
      </c>
      <c r="Q33" s="51"/>
      <c r="R33" s="52" t="str">
        <f t="shared" si="6"/>
        <v/>
      </c>
      <c r="S33" s="53"/>
      <c r="T33" s="52" t="str">
        <f t="shared" si="7"/>
        <v/>
      </c>
      <c r="U33" s="51"/>
      <c r="V33" s="52" t="str">
        <f t="shared" si="8"/>
        <v/>
      </c>
      <c r="W33" s="51"/>
      <c r="X33" s="52" t="str">
        <f t="shared" si="9"/>
        <v/>
      </c>
    </row>
    <row r="34" spans="1:24" x14ac:dyDescent="0.35">
      <c r="A34" s="27">
        <v>24</v>
      </c>
      <c r="B34" s="54">
        <v>46349</v>
      </c>
      <c r="C34" s="60">
        <f t="shared" si="0"/>
        <v>246.91358024691357</v>
      </c>
      <c r="D34" s="48"/>
      <c r="E34" s="60">
        <f>SUM($C$11:C34)</f>
        <v>5925.9259259259261</v>
      </c>
      <c r="F34" s="60">
        <f>SUM($D$11:D34)</f>
        <v>0</v>
      </c>
      <c r="G34" s="56" t="str">
        <f>IF(COUNT($D$11:D34)=0,"",F34/E34)</f>
        <v/>
      </c>
      <c r="H34" s="57" t="str">
        <f t="shared" si="1"/>
        <v/>
      </c>
      <c r="I34" s="51"/>
      <c r="J34" s="58" t="str">
        <f t="shared" si="2"/>
        <v/>
      </c>
      <c r="K34" s="51"/>
      <c r="L34" s="58" t="str">
        <f t="shared" si="3"/>
        <v/>
      </c>
      <c r="M34" s="51"/>
      <c r="N34" s="58" t="str">
        <f t="shared" si="4"/>
        <v/>
      </c>
      <c r="O34" s="51"/>
      <c r="P34" s="58" t="str">
        <f t="shared" si="5"/>
        <v/>
      </c>
      <c r="Q34" s="51"/>
      <c r="R34" s="58" t="str">
        <f t="shared" si="6"/>
        <v/>
      </c>
      <c r="S34" s="53"/>
      <c r="T34" s="58" t="str">
        <f t="shared" si="7"/>
        <v/>
      </c>
      <c r="U34" s="51"/>
      <c r="V34" s="58" t="str">
        <f t="shared" si="8"/>
        <v/>
      </c>
      <c r="W34" s="51"/>
      <c r="X34" s="58" t="str">
        <f t="shared" si="9"/>
        <v/>
      </c>
    </row>
    <row r="35" spans="1:24" x14ac:dyDescent="0.35">
      <c r="A35" s="20">
        <v>25</v>
      </c>
      <c r="B35" s="46">
        <v>46356</v>
      </c>
      <c r="C35" s="59">
        <f t="shared" si="0"/>
        <v>246.91358024691357</v>
      </c>
      <c r="D35" s="48"/>
      <c r="E35" s="59">
        <f>SUM($C$11:C35)</f>
        <v>6172.8395061728397</v>
      </c>
      <c r="F35" s="59">
        <f>SUM($D$11:D35)</f>
        <v>0</v>
      </c>
      <c r="G35" s="49" t="str">
        <f>IF(COUNT($D$11:D35)=0,"",F35/E35)</f>
        <v/>
      </c>
      <c r="H35" s="50" t="str">
        <f t="shared" si="1"/>
        <v/>
      </c>
      <c r="I35" s="51"/>
      <c r="J35" s="52" t="str">
        <f t="shared" si="2"/>
        <v/>
      </c>
      <c r="K35" s="51"/>
      <c r="L35" s="52" t="str">
        <f t="shared" si="3"/>
        <v/>
      </c>
      <c r="M35" s="51"/>
      <c r="N35" s="52" t="str">
        <f t="shared" si="4"/>
        <v/>
      </c>
      <c r="O35" s="51"/>
      <c r="P35" s="52" t="str">
        <f t="shared" si="5"/>
        <v/>
      </c>
      <c r="Q35" s="51"/>
      <c r="R35" s="52" t="str">
        <f t="shared" si="6"/>
        <v/>
      </c>
      <c r="S35" s="53"/>
      <c r="T35" s="52" t="str">
        <f t="shared" si="7"/>
        <v/>
      </c>
      <c r="U35" s="51"/>
      <c r="V35" s="52" t="str">
        <f t="shared" si="8"/>
        <v/>
      </c>
      <c r="W35" s="51"/>
      <c r="X35" s="52" t="str">
        <f t="shared" si="9"/>
        <v/>
      </c>
    </row>
    <row r="36" spans="1:24" x14ac:dyDescent="0.35">
      <c r="A36" s="27">
        <v>26</v>
      </c>
      <c r="B36" s="54">
        <v>46363</v>
      </c>
      <c r="C36" s="60">
        <f t="shared" si="0"/>
        <v>246.91358024691357</v>
      </c>
      <c r="D36" s="48"/>
      <c r="E36" s="60">
        <f>SUM($C$11:C36)</f>
        <v>6419.7530864197533</v>
      </c>
      <c r="F36" s="60">
        <f>SUM($D$11:D36)</f>
        <v>0</v>
      </c>
      <c r="G36" s="56" t="str">
        <f>IF(COUNT($D$11:D36)=0,"",F36/E36)</f>
        <v/>
      </c>
      <c r="H36" s="57" t="str">
        <f t="shared" si="1"/>
        <v/>
      </c>
      <c r="I36" s="51"/>
      <c r="J36" s="58" t="str">
        <f t="shared" si="2"/>
        <v/>
      </c>
      <c r="K36" s="51"/>
      <c r="L36" s="58" t="str">
        <f t="shared" si="3"/>
        <v/>
      </c>
      <c r="M36" s="51"/>
      <c r="N36" s="58" t="str">
        <f t="shared" si="4"/>
        <v/>
      </c>
      <c r="O36" s="51"/>
      <c r="P36" s="58" t="str">
        <f t="shared" si="5"/>
        <v/>
      </c>
      <c r="Q36" s="51"/>
      <c r="R36" s="58" t="str">
        <f t="shared" si="6"/>
        <v/>
      </c>
      <c r="S36" s="53"/>
      <c r="T36" s="58" t="str">
        <f t="shared" si="7"/>
        <v/>
      </c>
      <c r="U36" s="51"/>
      <c r="V36" s="58" t="str">
        <f t="shared" si="8"/>
        <v/>
      </c>
      <c r="W36" s="51"/>
      <c r="X36" s="58" t="str">
        <f t="shared" si="9"/>
        <v/>
      </c>
    </row>
    <row r="37" spans="1:24" x14ac:dyDescent="0.35">
      <c r="A37" s="20">
        <v>27</v>
      </c>
      <c r="B37" s="46">
        <v>46370</v>
      </c>
      <c r="C37" s="59">
        <f t="shared" si="0"/>
        <v>246.91358024691357</v>
      </c>
      <c r="D37" s="48"/>
      <c r="E37" s="59">
        <f>SUM($C$11:C37)</f>
        <v>6666.666666666667</v>
      </c>
      <c r="F37" s="59">
        <f>SUM($D$11:D37)</f>
        <v>0</v>
      </c>
      <c r="G37" s="49" t="str">
        <f>IF(COUNT($D$11:D37)=0,"",F37/E37)</f>
        <v/>
      </c>
      <c r="H37" s="50" t="str">
        <f t="shared" si="1"/>
        <v/>
      </c>
      <c r="I37" s="51"/>
      <c r="J37" s="52" t="str">
        <f t="shared" si="2"/>
        <v/>
      </c>
      <c r="K37" s="51"/>
      <c r="L37" s="52" t="str">
        <f t="shared" si="3"/>
        <v/>
      </c>
      <c r="M37" s="51"/>
      <c r="N37" s="52" t="str">
        <f t="shared" si="4"/>
        <v/>
      </c>
      <c r="O37" s="51"/>
      <c r="P37" s="52" t="str">
        <f t="shared" si="5"/>
        <v/>
      </c>
      <c r="Q37" s="51"/>
      <c r="R37" s="52" t="str">
        <f t="shared" si="6"/>
        <v/>
      </c>
      <c r="S37" s="53"/>
      <c r="T37" s="52" t="str">
        <f t="shared" si="7"/>
        <v/>
      </c>
      <c r="U37" s="51"/>
      <c r="V37" s="52" t="str">
        <f t="shared" si="8"/>
        <v/>
      </c>
      <c r="W37" s="51"/>
      <c r="X37" s="52" t="str">
        <f t="shared" si="9"/>
        <v/>
      </c>
    </row>
    <row r="38" spans="1:24" x14ac:dyDescent="0.35">
      <c r="A38" s="27">
        <v>28</v>
      </c>
      <c r="B38" s="54">
        <v>46377</v>
      </c>
      <c r="C38" s="60">
        <f t="shared" si="0"/>
        <v>246.91358024691357</v>
      </c>
      <c r="D38" s="48"/>
      <c r="E38" s="60">
        <f>SUM($C$11:C38)</f>
        <v>6913.5802469135806</v>
      </c>
      <c r="F38" s="60">
        <f>SUM($D$11:D38)</f>
        <v>0</v>
      </c>
      <c r="G38" s="56" t="str">
        <f>IF(COUNT($D$11:D38)=0,"",F38/E38)</f>
        <v/>
      </c>
      <c r="H38" s="57" t="str">
        <f t="shared" si="1"/>
        <v/>
      </c>
      <c r="I38" s="51"/>
      <c r="J38" s="58" t="str">
        <f t="shared" si="2"/>
        <v/>
      </c>
      <c r="K38" s="51"/>
      <c r="L38" s="58" t="str">
        <f t="shared" si="3"/>
        <v/>
      </c>
      <c r="M38" s="51"/>
      <c r="N38" s="58" t="str">
        <f t="shared" si="4"/>
        <v/>
      </c>
      <c r="O38" s="51"/>
      <c r="P38" s="58" t="str">
        <f t="shared" si="5"/>
        <v/>
      </c>
      <c r="Q38" s="51"/>
      <c r="R38" s="58" t="str">
        <f t="shared" si="6"/>
        <v/>
      </c>
      <c r="S38" s="53"/>
      <c r="T38" s="58" t="str">
        <f t="shared" si="7"/>
        <v/>
      </c>
      <c r="U38" s="51"/>
      <c r="V38" s="58" t="str">
        <f t="shared" si="8"/>
        <v/>
      </c>
      <c r="W38" s="51"/>
      <c r="X38" s="58" t="str">
        <f t="shared" si="9"/>
        <v/>
      </c>
    </row>
    <row r="39" spans="1:24" x14ac:dyDescent="0.35">
      <c r="A39" s="20">
        <v>29</v>
      </c>
      <c r="B39" s="46">
        <v>46384</v>
      </c>
      <c r="C39" s="59">
        <f t="shared" si="0"/>
        <v>246.91358024691357</v>
      </c>
      <c r="D39" s="48"/>
      <c r="E39" s="59">
        <f>SUM($C$11:C39)</f>
        <v>7160.4938271604942</v>
      </c>
      <c r="F39" s="59">
        <f>SUM($D$11:D39)</f>
        <v>0</v>
      </c>
      <c r="G39" s="49" t="str">
        <f>IF(COUNT($D$11:D39)=0,"",F39/E39)</f>
        <v/>
      </c>
      <c r="H39" s="50" t="str">
        <f t="shared" si="1"/>
        <v/>
      </c>
      <c r="I39" s="51"/>
      <c r="J39" s="52" t="str">
        <f t="shared" si="2"/>
        <v/>
      </c>
      <c r="K39" s="51"/>
      <c r="L39" s="52" t="str">
        <f t="shared" si="3"/>
        <v/>
      </c>
      <c r="M39" s="51"/>
      <c r="N39" s="52" t="str">
        <f t="shared" si="4"/>
        <v/>
      </c>
      <c r="O39" s="51"/>
      <c r="P39" s="52" t="str">
        <f t="shared" si="5"/>
        <v/>
      </c>
      <c r="Q39" s="51"/>
      <c r="R39" s="52" t="str">
        <f t="shared" si="6"/>
        <v/>
      </c>
      <c r="S39" s="53"/>
      <c r="T39" s="52" t="str">
        <f t="shared" si="7"/>
        <v/>
      </c>
      <c r="U39" s="51"/>
      <c r="V39" s="52" t="str">
        <f t="shared" si="8"/>
        <v/>
      </c>
      <c r="W39" s="51"/>
      <c r="X39" s="52" t="str">
        <f t="shared" si="9"/>
        <v/>
      </c>
    </row>
    <row r="40" spans="1:24" x14ac:dyDescent="0.35">
      <c r="A40" s="27">
        <v>30</v>
      </c>
      <c r="B40" s="54">
        <v>46391</v>
      </c>
      <c r="C40" s="60">
        <f t="shared" si="0"/>
        <v>246.91358024691357</v>
      </c>
      <c r="D40" s="48"/>
      <c r="E40" s="60">
        <f>SUM($C$11:C40)</f>
        <v>7407.4074074074078</v>
      </c>
      <c r="F40" s="60">
        <f>SUM($D$11:D40)</f>
        <v>0</v>
      </c>
      <c r="G40" s="56" t="str">
        <f>IF(COUNT($D$11:D40)=0,"",F40/E40)</f>
        <v/>
      </c>
      <c r="H40" s="57" t="str">
        <f t="shared" si="1"/>
        <v/>
      </c>
      <c r="I40" s="51"/>
      <c r="J40" s="58" t="str">
        <f t="shared" si="2"/>
        <v/>
      </c>
      <c r="K40" s="51"/>
      <c r="L40" s="58" t="str">
        <f t="shared" si="3"/>
        <v/>
      </c>
      <c r="M40" s="51"/>
      <c r="N40" s="58" t="str">
        <f t="shared" si="4"/>
        <v/>
      </c>
      <c r="O40" s="51"/>
      <c r="P40" s="58" t="str">
        <f t="shared" si="5"/>
        <v/>
      </c>
      <c r="Q40" s="51"/>
      <c r="R40" s="58" t="str">
        <f t="shared" si="6"/>
        <v/>
      </c>
      <c r="S40" s="53"/>
      <c r="T40" s="58" t="str">
        <f t="shared" si="7"/>
        <v/>
      </c>
      <c r="U40" s="51"/>
      <c r="V40" s="58" t="str">
        <f t="shared" si="8"/>
        <v/>
      </c>
      <c r="W40" s="51"/>
      <c r="X40" s="58" t="str">
        <f t="shared" si="9"/>
        <v/>
      </c>
    </row>
    <row r="41" spans="1:24" x14ac:dyDescent="0.35">
      <c r="A41" s="20">
        <v>31</v>
      </c>
      <c r="B41" s="46">
        <v>46398</v>
      </c>
      <c r="C41" s="59">
        <f t="shared" si="0"/>
        <v>246.91358024691357</v>
      </c>
      <c r="D41" s="48"/>
      <c r="E41" s="59">
        <f>SUM($C$11:C41)</f>
        <v>7654.3209876543215</v>
      </c>
      <c r="F41" s="59">
        <f>SUM($D$11:D41)</f>
        <v>0</v>
      </c>
      <c r="G41" s="49" t="str">
        <f>IF(COUNT($D$11:D41)=0,"",F41/E41)</f>
        <v/>
      </c>
      <c r="H41" s="50" t="str">
        <f t="shared" si="1"/>
        <v/>
      </c>
      <c r="I41" s="51"/>
      <c r="J41" s="52" t="str">
        <f t="shared" si="2"/>
        <v/>
      </c>
      <c r="K41" s="51"/>
      <c r="L41" s="52" t="str">
        <f t="shared" si="3"/>
        <v/>
      </c>
      <c r="M41" s="51"/>
      <c r="N41" s="52" t="str">
        <f t="shared" si="4"/>
        <v/>
      </c>
      <c r="O41" s="51"/>
      <c r="P41" s="52" t="str">
        <f t="shared" si="5"/>
        <v/>
      </c>
      <c r="Q41" s="51"/>
      <c r="R41" s="52" t="str">
        <f t="shared" si="6"/>
        <v/>
      </c>
      <c r="S41" s="53"/>
      <c r="T41" s="52" t="str">
        <f t="shared" si="7"/>
        <v/>
      </c>
      <c r="U41" s="51"/>
      <c r="V41" s="52" t="str">
        <f t="shared" si="8"/>
        <v/>
      </c>
      <c r="W41" s="51"/>
      <c r="X41" s="52" t="str">
        <f t="shared" si="9"/>
        <v/>
      </c>
    </row>
    <row r="42" spans="1:24" x14ac:dyDescent="0.35">
      <c r="A42" s="27">
        <v>32</v>
      </c>
      <c r="B42" s="54">
        <v>46405</v>
      </c>
      <c r="C42" s="60">
        <f t="shared" si="0"/>
        <v>246.91358024691357</v>
      </c>
      <c r="D42" s="48"/>
      <c r="E42" s="60">
        <f>SUM($C$11:C42)</f>
        <v>7901.2345679012351</v>
      </c>
      <c r="F42" s="60">
        <f>SUM($D$11:D42)</f>
        <v>0</v>
      </c>
      <c r="G42" s="56" t="str">
        <f>IF(COUNT($D$11:D42)=0,"",F42/E42)</f>
        <v/>
      </c>
      <c r="H42" s="57" t="str">
        <f t="shared" si="1"/>
        <v/>
      </c>
      <c r="I42" s="51"/>
      <c r="J42" s="58" t="str">
        <f t="shared" si="2"/>
        <v/>
      </c>
      <c r="K42" s="51"/>
      <c r="L42" s="58" t="str">
        <f t="shared" si="3"/>
        <v/>
      </c>
      <c r="M42" s="51"/>
      <c r="N42" s="58" t="str">
        <f t="shared" si="4"/>
        <v/>
      </c>
      <c r="O42" s="51"/>
      <c r="P42" s="58" t="str">
        <f t="shared" si="5"/>
        <v/>
      </c>
      <c r="Q42" s="51"/>
      <c r="R42" s="58" t="str">
        <f t="shared" si="6"/>
        <v/>
      </c>
      <c r="S42" s="53"/>
      <c r="T42" s="58" t="str">
        <f t="shared" si="7"/>
        <v/>
      </c>
      <c r="U42" s="51"/>
      <c r="V42" s="58" t="str">
        <f t="shared" si="8"/>
        <v/>
      </c>
      <c r="W42" s="51"/>
      <c r="X42" s="58" t="str">
        <f t="shared" si="9"/>
        <v/>
      </c>
    </row>
    <row r="43" spans="1:24" x14ac:dyDescent="0.35">
      <c r="A43" s="20">
        <v>33</v>
      </c>
      <c r="B43" s="46">
        <v>46412</v>
      </c>
      <c r="C43" s="59">
        <f t="shared" ref="C43:C74" si="10">$B$5/$B$8</f>
        <v>246.91358024691357</v>
      </c>
      <c r="D43" s="48"/>
      <c r="E43" s="59">
        <f>SUM($C$11:C43)</f>
        <v>8148.1481481481487</v>
      </c>
      <c r="F43" s="59">
        <f>SUM($D$11:D43)</f>
        <v>0</v>
      </c>
      <c r="G43" s="49" t="str">
        <f>IF(COUNT($D$11:D43)=0,"",F43/E43)</f>
        <v/>
      </c>
      <c r="H43" s="50" t="str">
        <f t="shared" ref="H43:H74" si="11">IF(G43="","",IF(G43&gt;=0.95,"En meta",IF(G43&gt;=0.8,"Riesgo","Atrasado")))</f>
        <v/>
      </c>
      <c r="I43" s="51"/>
      <c r="J43" s="52" t="str">
        <f t="shared" ref="J43:J74" si="12">IF(I43="","",IF($I$9="","",IF($I$9=0,"",I43/$I$9)))</f>
        <v/>
      </c>
      <c r="K43" s="51"/>
      <c r="L43" s="52" t="str">
        <f t="shared" ref="L43:L74" si="13">IF(K43="","",IF($K$9="","",IF($K$9=0,"",K43/$K$9)))</f>
        <v/>
      </c>
      <c r="M43" s="51"/>
      <c r="N43" s="52" t="str">
        <f t="shared" ref="N43:N74" si="14">IF(M43="","",IF($M$9="","",IF($M$9=0,"",M43/$M$9)))</f>
        <v/>
      </c>
      <c r="O43" s="51"/>
      <c r="P43" s="52" t="str">
        <f t="shared" ref="P43:P74" si="15">IF(O43="","",IF($O$9="","",IF($O$9=0,"",O43/$O$9)))</f>
        <v/>
      </c>
      <c r="Q43" s="51"/>
      <c r="R43" s="52" t="str">
        <f t="shared" ref="R43:R74" si="16">IF(Q43="","",IF($Q$9="","",IF($Q$9=0,"",Q43/$Q$9)))</f>
        <v/>
      </c>
      <c r="S43" s="53"/>
      <c r="T43" s="52" t="str">
        <f t="shared" ref="T43:T74" si="17">IF(S43="","",IF($S$9="","",IF($S$9=0,"",S43/$S$9)))</f>
        <v/>
      </c>
      <c r="U43" s="51"/>
      <c r="V43" s="52" t="str">
        <f t="shared" ref="V43:V74" si="18">IF(U43="","",IF($U$9="","",IF($U$9=0,"",U43/$U$9)))</f>
        <v/>
      </c>
      <c r="W43" s="51"/>
      <c r="X43" s="52" t="str">
        <f t="shared" ref="X43:X74" si="19">IF(W43="","",IF($W$9="","",IF($W$9=0,"",W43/$W$9)))</f>
        <v/>
      </c>
    </row>
    <row r="44" spans="1:24" x14ac:dyDescent="0.35">
      <c r="A44" s="27">
        <v>34</v>
      </c>
      <c r="B44" s="54">
        <v>46419</v>
      </c>
      <c r="C44" s="60">
        <f t="shared" si="10"/>
        <v>246.91358024691357</v>
      </c>
      <c r="D44" s="48"/>
      <c r="E44" s="60">
        <f>SUM($C$11:C44)</f>
        <v>8395.0617283950614</v>
      </c>
      <c r="F44" s="60">
        <f>SUM($D$11:D44)</f>
        <v>0</v>
      </c>
      <c r="G44" s="56" t="str">
        <f>IF(COUNT($D$11:D44)=0,"",F44/E44)</f>
        <v/>
      </c>
      <c r="H44" s="57" t="str">
        <f t="shared" si="11"/>
        <v/>
      </c>
      <c r="I44" s="51"/>
      <c r="J44" s="58" t="str">
        <f t="shared" si="12"/>
        <v/>
      </c>
      <c r="K44" s="51"/>
      <c r="L44" s="58" t="str">
        <f t="shared" si="13"/>
        <v/>
      </c>
      <c r="M44" s="51"/>
      <c r="N44" s="58" t="str">
        <f t="shared" si="14"/>
        <v/>
      </c>
      <c r="O44" s="51"/>
      <c r="P44" s="58" t="str">
        <f t="shared" si="15"/>
        <v/>
      </c>
      <c r="Q44" s="51"/>
      <c r="R44" s="58" t="str">
        <f t="shared" si="16"/>
        <v/>
      </c>
      <c r="S44" s="53"/>
      <c r="T44" s="58" t="str">
        <f t="shared" si="17"/>
        <v/>
      </c>
      <c r="U44" s="51"/>
      <c r="V44" s="58" t="str">
        <f t="shared" si="18"/>
        <v/>
      </c>
      <c r="W44" s="51"/>
      <c r="X44" s="58" t="str">
        <f t="shared" si="19"/>
        <v/>
      </c>
    </row>
    <row r="45" spans="1:24" x14ac:dyDescent="0.35">
      <c r="A45" s="20">
        <v>35</v>
      </c>
      <c r="B45" s="46">
        <v>46426</v>
      </c>
      <c r="C45" s="59">
        <f t="shared" si="10"/>
        <v>246.91358024691357</v>
      </c>
      <c r="D45" s="48"/>
      <c r="E45" s="59">
        <f>SUM($C$11:C45)</f>
        <v>8641.9753086419751</v>
      </c>
      <c r="F45" s="59">
        <f>SUM($D$11:D45)</f>
        <v>0</v>
      </c>
      <c r="G45" s="49" t="str">
        <f>IF(COUNT($D$11:D45)=0,"",F45/E45)</f>
        <v/>
      </c>
      <c r="H45" s="50" t="str">
        <f t="shared" si="11"/>
        <v/>
      </c>
      <c r="I45" s="51"/>
      <c r="J45" s="52" t="str">
        <f t="shared" si="12"/>
        <v/>
      </c>
      <c r="K45" s="51"/>
      <c r="L45" s="52" t="str">
        <f t="shared" si="13"/>
        <v/>
      </c>
      <c r="M45" s="51"/>
      <c r="N45" s="52" t="str">
        <f t="shared" si="14"/>
        <v/>
      </c>
      <c r="O45" s="51"/>
      <c r="P45" s="52" t="str">
        <f t="shared" si="15"/>
        <v/>
      </c>
      <c r="Q45" s="51"/>
      <c r="R45" s="52" t="str">
        <f t="shared" si="16"/>
        <v/>
      </c>
      <c r="S45" s="53"/>
      <c r="T45" s="52" t="str">
        <f t="shared" si="17"/>
        <v/>
      </c>
      <c r="U45" s="51"/>
      <c r="V45" s="52" t="str">
        <f t="shared" si="18"/>
        <v/>
      </c>
      <c r="W45" s="51"/>
      <c r="X45" s="52" t="str">
        <f t="shared" si="19"/>
        <v/>
      </c>
    </row>
    <row r="46" spans="1:24" x14ac:dyDescent="0.35">
      <c r="A46" s="27">
        <v>36</v>
      </c>
      <c r="B46" s="54">
        <v>46433</v>
      </c>
      <c r="C46" s="60">
        <f t="shared" si="10"/>
        <v>246.91358024691357</v>
      </c>
      <c r="D46" s="48"/>
      <c r="E46" s="60">
        <f>SUM($C$11:C46)</f>
        <v>8888.8888888888887</v>
      </c>
      <c r="F46" s="60">
        <f>SUM($D$11:D46)</f>
        <v>0</v>
      </c>
      <c r="G46" s="56" t="str">
        <f>IF(COUNT($D$11:D46)=0,"",F46/E46)</f>
        <v/>
      </c>
      <c r="H46" s="57" t="str">
        <f t="shared" si="11"/>
        <v/>
      </c>
      <c r="I46" s="51"/>
      <c r="J46" s="58" t="str">
        <f t="shared" si="12"/>
        <v/>
      </c>
      <c r="K46" s="51"/>
      <c r="L46" s="58" t="str">
        <f t="shared" si="13"/>
        <v/>
      </c>
      <c r="M46" s="51"/>
      <c r="N46" s="58" t="str">
        <f t="shared" si="14"/>
        <v/>
      </c>
      <c r="O46" s="51"/>
      <c r="P46" s="58" t="str">
        <f t="shared" si="15"/>
        <v/>
      </c>
      <c r="Q46" s="51"/>
      <c r="R46" s="58" t="str">
        <f t="shared" si="16"/>
        <v/>
      </c>
      <c r="S46" s="53"/>
      <c r="T46" s="58" t="str">
        <f t="shared" si="17"/>
        <v/>
      </c>
      <c r="U46" s="51"/>
      <c r="V46" s="58" t="str">
        <f t="shared" si="18"/>
        <v/>
      </c>
      <c r="W46" s="51"/>
      <c r="X46" s="58" t="str">
        <f t="shared" si="19"/>
        <v/>
      </c>
    </row>
    <row r="47" spans="1:24" x14ac:dyDescent="0.35">
      <c r="A47" s="20">
        <v>37</v>
      </c>
      <c r="B47" s="46">
        <v>46440</v>
      </c>
      <c r="C47" s="59">
        <f t="shared" si="10"/>
        <v>246.91358024691357</v>
      </c>
      <c r="D47" s="48"/>
      <c r="E47" s="59">
        <f>SUM($C$11:C47)</f>
        <v>9135.8024691358023</v>
      </c>
      <c r="F47" s="59">
        <f>SUM($D$11:D47)</f>
        <v>0</v>
      </c>
      <c r="G47" s="49" t="str">
        <f>IF(COUNT($D$11:D47)=0,"",F47/E47)</f>
        <v/>
      </c>
      <c r="H47" s="50" t="str">
        <f t="shared" si="11"/>
        <v/>
      </c>
      <c r="I47" s="51"/>
      <c r="J47" s="52" t="str">
        <f t="shared" si="12"/>
        <v/>
      </c>
      <c r="K47" s="51"/>
      <c r="L47" s="52" t="str">
        <f t="shared" si="13"/>
        <v/>
      </c>
      <c r="M47" s="51"/>
      <c r="N47" s="52" t="str">
        <f t="shared" si="14"/>
        <v/>
      </c>
      <c r="O47" s="51"/>
      <c r="P47" s="52" t="str">
        <f t="shared" si="15"/>
        <v/>
      </c>
      <c r="Q47" s="51"/>
      <c r="R47" s="52" t="str">
        <f t="shared" si="16"/>
        <v/>
      </c>
      <c r="S47" s="53"/>
      <c r="T47" s="52" t="str">
        <f t="shared" si="17"/>
        <v/>
      </c>
      <c r="U47" s="51"/>
      <c r="V47" s="52" t="str">
        <f t="shared" si="18"/>
        <v/>
      </c>
      <c r="W47" s="51"/>
      <c r="X47" s="52" t="str">
        <f t="shared" si="19"/>
        <v/>
      </c>
    </row>
    <row r="48" spans="1:24" x14ac:dyDescent="0.35">
      <c r="A48" s="27">
        <v>38</v>
      </c>
      <c r="B48" s="54">
        <v>46447</v>
      </c>
      <c r="C48" s="60">
        <f t="shared" si="10"/>
        <v>246.91358024691357</v>
      </c>
      <c r="D48" s="48"/>
      <c r="E48" s="60">
        <f>SUM($C$11:C48)</f>
        <v>9382.7160493827159</v>
      </c>
      <c r="F48" s="60">
        <f>SUM($D$11:D48)</f>
        <v>0</v>
      </c>
      <c r="G48" s="56" t="str">
        <f>IF(COUNT($D$11:D48)=0,"",F48/E48)</f>
        <v/>
      </c>
      <c r="H48" s="57" t="str">
        <f t="shared" si="11"/>
        <v/>
      </c>
      <c r="I48" s="51"/>
      <c r="J48" s="58" t="str">
        <f t="shared" si="12"/>
        <v/>
      </c>
      <c r="K48" s="51"/>
      <c r="L48" s="58" t="str">
        <f t="shared" si="13"/>
        <v/>
      </c>
      <c r="M48" s="51"/>
      <c r="N48" s="58" t="str">
        <f t="shared" si="14"/>
        <v/>
      </c>
      <c r="O48" s="51"/>
      <c r="P48" s="58" t="str">
        <f t="shared" si="15"/>
        <v/>
      </c>
      <c r="Q48" s="51"/>
      <c r="R48" s="58" t="str">
        <f t="shared" si="16"/>
        <v/>
      </c>
      <c r="S48" s="53"/>
      <c r="T48" s="58" t="str">
        <f t="shared" si="17"/>
        <v/>
      </c>
      <c r="U48" s="51"/>
      <c r="V48" s="58" t="str">
        <f t="shared" si="18"/>
        <v/>
      </c>
      <c r="W48" s="51"/>
      <c r="X48" s="58" t="str">
        <f t="shared" si="19"/>
        <v/>
      </c>
    </row>
    <row r="49" spans="1:24" x14ac:dyDescent="0.35">
      <c r="A49" s="20">
        <v>39</v>
      </c>
      <c r="B49" s="46">
        <v>46454</v>
      </c>
      <c r="C49" s="59">
        <f t="shared" si="10"/>
        <v>246.91358024691357</v>
      </c>
      <c r="D49" s="48"/>
      <c r="E49" s="59">
        <f>SUM($C$11:C49)</f>
        <v>9629.6296296296296</v>
      </c>
      <c r="F49" s="59">
        <f>SUM($D$11:D49)</f>
        <v>0</v>
      </c>
      <c r="G49" s="49" t="str">
        <f>IF(COUNT($D$11:D49)=0,"",F49/E49)</f>
        <v/>
      </c>
      <c r="H49" s="50" t="str">
        <f t="shared" si="11"/>
        <v/>
      </c>
      <c r="I49" s="51"/>
      <c r="J49" s="52" t="str">
        <f t="shared" si="12"/>
        <v/>
      </c>
      <c r="K49" s="51"/>
      <c r="L49" s="52" t="str">
        <f t="shared" si="13"/>
        <v/>
      </c>
      <c r="M49" s="51"/>
      <c r="N49" s="52" t="str">
        <f t="shared" si="14"/>
        <v/>
      </c>
      <c r="O49" s="51"/>
      <c r="P49" s="52" t="str">
        <f t="shared" si="15"/>
        <v/>
      </c>
      <c r="Q49" s="51"/>
      <c r="R49" s="52" t="str">
        <f t="shared" si="16"/>
        <v/>
      </c>
      <c r="S49" s="53"/>
      <c r="T49" s="52" t="str">
        <f t="shared" si="17"/>
        <v/>
      </c>
      <c r="U49" s="51"/>
      <c r="V49" s="52" t="str">
        <f t="shared" si="18"/>
        <v/>
      </c>
      <c r="W49" s="51"/>
      <c r="X49" s="52" t="str">
        <f t="shared" si="19"/>
        <v/>
      </c>
    </row>
    <row r="50" spans="1:24" x14ac:dyDescent="0.35">
      <c r="A50" s="27">
        <v>40</v>
      </c>
      <c r="B50" s="54">
        <v>46461</v>
      </c>
      <c r="C50" s="60">
        <f t="shared" si="10"/>
        <v>246.91358024691357</v>
      </c>
      <c r="D50" s="48"/>
      <c r="E50" s="60">
        <f>SUM($C$11:C50)</f>
        <v>9876.5432098765432</v>
      </c>
      <c r="F50" s="60">
        <f>SUM($D$11:D50)</f>
        <v>0</v>
      </c>
      <c r="G50" s="56" t="str">
        <f>IF(COUNT($D$11:D50)=0,"",F50/E50)</f>
        <v/>
      </c>
      <c r="H50" s="57" t="str">
        <f t="shared" si="11"/>
        <v/>
      </c>
      <c r="I50" s="51"/>
      <c r="J50" s="58" t="str">
        <f t="shared" si="12"/>
        <v/>
      </c>
      <c r="K50" s="51"/>
      <c r="L50" s="58" t="str">
        <f t="shared" si="13"/>
        <v/>
      </c>
      <c r="M50" s="51"/>
      <c r="N50" s="58" t="str">
        <f t="shared" si="14"/>
        <v/>
      </c>
      <c r="O50" s="51"/>
      <c r="P50" s="58" t="str">
        <f t="shared" si="15"/>
        <v/>
      </c>
      <c r="Q50" s="51"/>
      <c r="R50" s="58" t="str">
        <f t="shared" si="16"/>
        <v/>
      </c>
      <c r="S50" s="53"/>
      <c r="T50" s="58" t="str">
        <f t="shared" si="17"/>
        <v/>
      </c>
      <c r="U50" s="51"/>
      <c r="V50" s="58" t="str">
        <f t="shared" si="18"/>
        <v/>
      </c>
      <c r="W50" s="51"/>
      <c r="X50" s="58" t="str">
        <f t="shared" si="19"/>
        <v/>
      </c>
    </row>
    <row r="51" spans="1:24" x14ac:dyDescent="0.35">
      <c r="A51" s="20">
        <v>41</v>
      </c>
      <c r="B51" s="46">
        <v>46468</v>
      </c>
      <c r="C51" s="59">
        <f t="shared" si="10"/>
        <v>246.91358024691357</v>
      </c>
      <c r="D51" s="48"/>
      <c r="E51" s="59">
        <f>SUM($C$11:C51)</f>
        <v>10123.456790123457</v>
      </c>
      <c r="F51" s="59">
        <f>SUM($D$11:D51)</f>
        <v>0</v>
      </c>
      <c r="G51" s="49" t="str">
        <f>IF(COUNT($D$11:D51)=0,"",F51/E51)</f>
        <v/>
      </c>
      <c r="H51" s="50" t="str">
        <f t="shared" si="11"/>
        <v/>
      </c>
      <c r="I51" s="51"/>
      <c r="J51" s="52" t="str">
        <f t="shared" si="12"/>
        <v/>
      </c>
      <c r="K51" s="51"/>
      <c r="L51" s="52" t="str">
        <f t="shared" si="13"/>
        <v/>
      </c>
      <c r="M51" s="51"/>
      <c r="N51" s="52" t="str">
        <f t="shared" si="14"/>
        <v/>
      </c>
      <c r="O51" s="51"/>
      <c r="P51" s="52" t="str">
        <f t="shared" si="15"/>
        <v/>
      </c>
      <c r="Q51" s="51"/>
      <c r="R51" s="52" t="str">
        <f t="shared" si="16"/>
        <v/>
      </c>
      <c r="S51" s="53"/>
      <c r="T51" s="52" t="str">
        <f t="shared" si="17"/>
        <v/>
      </c>
      <c r="U51" s="51"/>
      <c r="V51" s="52" t="str">
        <f t="shared" si="18"/>
        <v/>
      </c>
      <c r="W51" s="51"/>
      <c r="X51" s="52" t="str">
        <f t="shared" si="19"/>
        <v/>
      </c>
    </row>
    <row r="52" spans="1:24" x14ac:dyDescent="0.35">
      <c r="A52" s="27">
        <v>42</v>
      </c>
      <c r="B52" s="54">
        <v>46475</v>
      </c>
      <c r="C52" s="60">
        <f t="shared" si="10"/>
        <v>246.91358024691357</v>
      </c>
      <c r="D52" s="48"/>
      <c r="E52" s="60">
        <f>SUM($C$11:C52)</f>
        <v>10370.37037037037</v>
      </c>
      <c r="F52" s="60">
        <f>SUM($D$11:D52)</f>
        <v>0</v>
      </c>
      <c r="G52" s="56" t="str">
        <f>IF(COUNT($D$11:D52)=0,"",F52/E52)</f>
        <v/>
      </c>
      <c r="H52" s="57" t="str">
        <f t="shared" si="11"/>
        <v/>
      </c>
      <c r="I52" s="51"/>
      <c r="J52" s="58" t="str">
        <f t="shared" si="12"/>
        <v/>
      </c>
      <c r="K52" s="51"/>
      <c r="L52" s="58" t="str">
        <f t="shared" si="13"/>
        <v/>
      </c>
      <c r="M52" s="51"/>
      <c r="N52" s="58" t="str">
        <f t="shared" si="14"/>
        <v/>
      </c>
      <c r="O52" s="51"/>
      <c r="P52" s="58" t="str">
        <f t="shared" si="15"/>
        <v/>
      </c>
      <c r="Q52" s="51"/>
      <c r="R52" s="58" t="str">
        <f t="shared" si="16"/>
        <v/>
      </c>
      <c r="S52" s="53"/>
      <c r="T52" s="58" t="str">
        <f t="shared" si="17"/>
        <v/>
      </c>
      <c r="U52" s="51"/>
      <c r="V52" s="58" t="str">
        <f t="shared" si="18"/>
        <v/>
      </c>
      <c r="W52" s="51"/>
      <c r="X52" s="58" t="str">
        <f t="shared" si="19"/>
        <v/>
      </c>
    </row>
    <row r="53" spans="1:24" x14ac:dyDescent="0.35">
      <c r="A53" s="20">
        <v>43</v>
      </c>
      <c r="B53" s="46">
        <v>46482</v>
      </c>
      <c r="C53" s="59">
        <f t="shared" si="10"/>
        <v>246.91358024691357</v>
      </c>
      <c r="D53" s="48"/>
      <c r="E53" s="59">
        <f>SUM($C$11:C53)</f>
        <v>10617.283950617284</v>
      </c>
      <c r="F53" s="59">
        <f>SUM($D$11:D53)</f>
        <v>0</v>
      </c>
      <c r="G53" s="49" t="str">
        <f>IF(COUNT($D$11:D53)=0,"",F53/E53)</f>
        <v/>
      </c>
      <c r="H53" s="50" t="str">
        <f t="shared" si="11"/>
        <v/>
      </c>
      <c r="I53" s="51"/>
      <c r="J53" s="52" t="str">
        <f t="shared" si="12"/>
        <v/>
      </c>
      <c r="K53" s="51"/>
      <c r="L53" s="52" t="str">
        <f t="shared" si="13"/>
        <v/>
      </c>
      <c r="M53" s="51"/>
      <c r="N53" s="52" t="str">
        <f t="shared" si="14"/>
        <v/>
      </c>
      <c r="O53" s="51"/>
      <c r="P53" s="52" t="str">
        <f t="shared" si="15"/>
        <v/>
      </c>
      <c r="Q53" s="51"/>
      <c r="R53" s="52" t="str">
        <f t="shared" si="16"/>
        <v/>
      </c>
      <c r="S53" s="53"/>
      <c r="T53" s="52" t="str">
        <f t="shared" si="17"/>
        <v/>
      </c>
      <c r="U53" s="51"/>
      <c r="V53" s="52" t="str">
        <f t="shared" si="18"/>
        <v/>
      </c>
      <c r="W53" s="51"/>
      <c r="X53" s="52" t="str">
        <f t="shared" si="19"/>
        <v/>
      </c>
    </row>
    <row r="54" spans="1:24" x14ac:dyDescent="0.35">
      <c r="A54" s="27">
        <v>44</v>
      </c>
      <c r="B54" s="54">
        <v>46489</v>
      </c>
      <c r="C54" s="60">
        <f t="shared" si="10"/>
        <v>246.91358024691357</v>
      </c>
      <c r="D54" s="48"/>
      <c r="E54" s="60">
        <f>SUM($C$11:C54)</f>
        <v>10864.197530864198</v>
      </c>
      <c r="F54" s="60">
        <f>SUM($D$11:D54)</f>
        <v>0</v>
      </c>
      <c r="G54" s="56" t="str">
        <f>IF(COUNT($D$11:D54)=0,"",F54/E54)</f>
        <v/>
      </c>
      <c r="H54" s="57" t="str">
        <f t="shared" si="11"/>
        <v/>
      </c>
      <c r="I54" s="51"/>
      <c r="J54" s="58" t="str">
        <f t="shared" si="12"/>
        <v/>
      </c>
      <c r="K54" s="51"/>
      <c r="L54" s="58" t="str">
        <f t="shared" si="13"/>
        <v/>
      </c>
      <c r="M54" s="51"/>
      <c r="N54" s="58" t="str">
        <f t="shared" si="14"/>
        <v/>
      </c>
      <c r="O54" s="51"/>
      <c r="P54" s="58" t="str">
        <f t="shared" si="15"/>
        <v/>
      </c>
      <c r="Q54" s="51"/>
      <c r="R54" s="58" t="str">
        <f t="shared" si="16"/>
        <v/>
      </c>
      <c r="S54" s="53"/>
      <c r="T54" s="58" t="str">
        <f t="shared" si="17"/>
        <v/>
      </c>
      <c r="U54" s="51"/>
      <c r="V54" s="58" t="str">
        <f t="shared" si="18"/>
        <v/>
      </c>
      <c r="W54" s="51"/>
      <c r="X54" s="58" t="str">
        <f t="shared" si="19"/>
        <v/>
      </c>
    </row>
    <row r="55" spans="1:24" x14ac:dyDescent="0.35">
      <c r="A55" s="20">
        <v>45</v>
      </c>
      <c r="B55" s="46">
        <v>46496</v>
      </c>
      <c r="C55" s="59">
        <f t="shared" si="10"/>
        <v>246.91358024691357</v>
      </c>
      <c r="D55" s="48"/>
      <c r="E55" s="59">
        <f>SUM($C$11:C55)</f>
        <v>11111.111111111111</v>
      </c>
      <c r="F55" s="59">
        <f>SUM($D$11:D55)</f>
        <v>0</v>
      </c>
      <c r="G55" s="49" t="str">
        <f>IF(COUNT($D$11:D55)=0,"",F55/E55)</f>
        <v/>
      </c>
      <c r="H55" s="50" t="str">
        <f t="shared" si="11"/>
        <v/>
      </c>
      <c r="I55" s="51"/>
      <c r="J55" s="52" t="str">
        <f t="shared" si="12"/>
        <v/>
      </c>
      <c r="K55" s="51"/>
      <c r="L55" s="52" t="str">
        <f t="shared" si="13"/>
        <v/>
      </c>
      <c r="M55" s="51"/>
      <c r="N55" s="52" t="str">
        <f t="shared" si="14"/>
        <v/>
      </c>
      <c r="O55" s="51"/>
      <c r="P55" s="52" t="str">
        <f t="shared" si="15"/>
        <v/>
      </c>
      <c r="Q55" s="51"/>
      <c r="R55" s="52" t="str">
        <f t="shared" si="16"/>
        <v/>
      </c>
      <c r="S55" s="53"/>
      <c r="T55" s="52" t="str">
        <f t="shared" si="17"/>
        <v/>
      </c>
      <c r="U55" s="51"/>
      <c r="V55" s="52" t="str">
        <f t="shared" si="18"/>
        <v/>
      </c>
      <c r="W55" s="51"/>
      <c r="X55" s="52" t="str">
        <f t="shared" si="19"/>
        <v/>
      </c>
    </row>
    <row r="56" spans="1:24" x14ac:dyDescent="0.35">
      <c r="A56" s="27">
        <v>46</v>
      </c>
      <c r="B56" s="54">
        <v>46503</v>
      </c>
      <c r="C56" s="60">
        <f t="shared" si="10"/>
        <v>246.91358024691357</v>
      </c>
      <c r="D56" s="48"/>
      <c r="E56" s="60">
        <f>SUM($C$11:C56)</f>
        <v>11358.024691358025</v>
      </c>
      <c r="F56" s="60">
        <f>SUM($D$11:D56)</f>
        <v>0</v>
      </c>
      <c r="G56" s="56" t="str">
        <f>IF(COUNT($D$11:D56)=0,"",F56/E56)</f>
        <v/>
      </c>
      <c r="H56" s="57" t="str">
        <f t="shared" si="11"/>
        <v/>
      </c>
      <c r="I56" s="51"/>
      <c r="J56" s="58" t="str">
        <f t="shared" si="12"/>
        <v/>
      </c>
      <c r="K56" s="51"/>
      <c r="L56" s="58" t="str">
        <f t="shared" si="13"/>
        <v/>
      </c>
      <c r="M56" s="51"/>
      <c r="N56" s="58" t="str">
        <f t="shared" si="14"/>
        <v/>
      </c>
      <c r="O56" s="51"/>
      <c r="P56" s="58" t="str">
        <f t="shared" si="15"/>
        <v/>
      </c>
      <c r="Q56" s="51"/>
      <c r="R56" s="58" t="str">
        <f t="shared" si="16"/>
        <v/>
      </c>
      <c r="S56" s="53"/>
      <c r="T56" s="58" t="str">
        <f t="shared" si="17"/>
        <v/>
      </c>
      <c r="U56" s="51"/>
      <c r="V56" s="58" t="str">
        <f t="shared" si="18"/>
        <v/>
      </c>
      <c r="W56" s="51"/>
      <c r="X56" s="58" t="str">
        <f t="shared" si="19"/>
        <v/>
      </c>
    </row>
    <row r="57" spans="1:24" x14ac:dyDescent="0.35">
      <c r="A57" s="20">
        <v>47</v>
      </c>
      <c r="B57" s="46">
        <v>46510</v>
      </c>
      <c r="C57" s="59">
        <f t="shared" si="10"/>
        <v>246.91358024691357</v>
      </c>
      <c r="D57" s="48"/>
      <c r="E57" s="59">
        <f>SUM($C$11:C57)</f>
        <v>11604.938271604939</v>
      </c>
      <c r="F57" s="59">
        <f>SUM($D$11:D57)</f>
        <v>0</v>
      </c>
      <c r="G57" s="49" t="str">
        <f>IF(COUNT($D$11:D57)=0,"",F57/E57)</f>
        <v/>
      </c>
      <c r="H57" s="50" t="str">
        <f t="shared" si="11"/>
        <v/>
      </c>
      <c r="I57" s="51"/>
      <c r="J57" s="52" t="str">
        <f t="shared" si="12"/>
        <v/>
      </c>
      <c r="K57" s="51"/>
      <c r="L57" s="52" t="str">
        <f t="shared" si="13"/>
        <v/>
      </c>
      <c r="M57" s="51"/>
      <c r="N57" s="52" t="str">
        <f t="shared" si="14"/>
        <v/>
      </c>
      <c r="O57" s="51"/>
      <c r="P57" s="52" t="str">
        <f t="shared" si="15"/>
        <v/>
      </c>
      <c r="Q57" s="51"/>
      <c r="R57" s="52" t="str">
        <f t="shared" si="16"/>
        <v/>
      </c>
      <c r="S57" s="53"/>
      <c r="T57" s="52" t="str">
        <f t="shared" si="17"/>
        <v/>
      </c>
      <c r="U57" s="51"/>
      <c r="V57" s="52" t="str">
        <f t="shared" si="18"/>
        <v/>
      </c>
      <c r="W57" s="51"/>
      <c r="X57" s="52" t="str">
        <f t="shared" si="19"/>
        <v/>
      </c>
    </row>
    <row r="58" spans="1:24" x14ac:dyDescent="0.35">
      <c r="A58" s="27">
        <v>48</v>
      </c>
      <c r="B58" s="54">
        <v>46517</v>
      </c>
      <c r="C58" s="60">
        <f t="shared" si="10"/>
        <v>246.91358024691357</v>
      </c>
      <c r="D58" s="48"/>
      <c r="E58" s="60">
        <f>SUM($C$11:C58)</f>
        <v>11851.851851851852</v>
      </c>
      <c r="F58" s="60">
        <f>SUM($D$11:D58)</f>
        <v>0</v>
      </c>
      <c r="G58" s="56" t="str">
        <f>IF(COUNT($D$11:D58)=0,"",F58/E58)</f>
        <v/>
      </c>
      <c r="H58" s="57" t="str">
        <f t="shared" si="11"/>
        <v/>
      </c>
      <c r="I58" s="51"/>
      <c r="J58" s="58" t="str">
        <f t="shared" si="12"/>
        <v/>
      </c>
      <c r="K58" s="51"/>
      <c r="L58" s="58" t="str">
        <f t="shared" si="13"/>
        <v/>
      </c>
      <c r="M58" s="51"/>
      <c r="N58" s="58" t="str">
        <f t="shared" si="14"/>
        <v/>
      </c>
      <c r="O58" s="51"/>
      <c r="P58" s="58" t="str">
        <f t="shared" si="15"/>
        <v/>
      </c>
      <c r="Q58" s="51"/>
      <c r="R58" s="58" t="str">
        <f t="shared" si="16"/>
        <v/>
      </c>
      <c r="S58" s="53"/>
      <c r="T58" s="58" t="str">
        <f t="shared" si="17"/>
        <v/>
      </c>
      <c r="U58" s="51"/>
      <c r="V58" s="58" t="str">
        <f t="shared" si="18"/>
        <v/>
      </c>
      <c r="W58" s="51"/>
      <c r="X58" s="58" t="str">
        <f t="shared" si="19"/>
        <v/>
      </c>
    </row>
    <row r="59" spans="1:24" x14ac:dyDescent="0.35">
      <c r="A59" s="20">
        <v>49</v>
      </c>
      <c r="B59" s="46">
        <v>46524</v>
      </c>
      <c r="C59" s="59">
        <f t="shared" si="10"/>
        <v>246.91358024691357</v>
      </c>
      <c r="D59" s="48"/>
      <c r="E59" s="59">
        <f>SUM($C$11:C59)</f>
        <v>12098.765432098766</v>
      </c>
      <c r="F59" s="59">
        <f>SUM($D$11:D59)</f>
        <v>0</v>
      </c>
      <c r="G59" s="49" t="str">
        <f>IF(COUNT($D$11:D59)=0,"",F59/E59)</f>
        <v/>
      </c>
      <c r="H59" s="50" t="str">
        <f t="shared" si="11"/>
        <v/>
      </c>
      <c r="I59" s="51"/>
      <c r="J59" s="52" t="str">
        <f t="shared" si="12"/>
        <v/>
      </c>
      <c r="K59" s="51"/>
      <c r="L59" s="52" t="str">
        <f t="shared" si="13"/>
        <v/>
      </c>
      <c r="M59" s="51"/>
      <c r="N59" s="52" t="str">
        <f t="shared" si="14"/>
        <v/>
      </c>
      <c r="O59" s="51"/>
      <c r="P59" s="52" t="str">
        <f t="shared" si="15"/>
        <v/>
      </c>
      <c r="Q59" s="51"/>
      <c r="R59" s="52" t="str">
        <f t="shared" si="16"/>
        <v/>
      </c>
      <c r="S59" s="53"/>
      <c r="T59" s="52" t="str">
        <f t="shared" si="17"/>
        <v/>
      </c>
      <c r="U59" s="51"/>
      <c r="V59" s="52" t="str">
        <f t="shared" si="18"/>
        <v/>
      </c>
      <c r="W59" s="51"/>
      <c r="X59" s="52" t="str">
        <f t="shared" si="19"/>
        <v/>
      </c>
    </row>
    <row r="60" spans="1:24" x14ac:dyDescent="0.35">
      <c r="A60" s="27">
        <v>50</v>
      </c>
      <c r="B60" s="54">
        <v>46531</v>
      </c>
      <c r="C60" s="60">
        <f t="shared" si="10"/>
        <v>246.91358024691357</v>
      </c>
      <c r="D60" s="48"/>
      <c r="E60" s="60">
        <f>SUM($C$11:C60)</f>
        <v>12345.679012345679</v>
      </c>
      <c r="F60" s="60">
        <f>SUM($D$11:D60)</f>
        <v>0</v>
      </c>
      <c r="G60" s="56" t="str">
        <f>IF(COUNT($D$11:D60)=0,"",F60/E60)</f>
        <v/>
      </c>
      <c r="H60" s="57" t="str">
        <f t="shared" si="11"/>
        <v/>
      </c>
      <c r="I60" s="51"/>
      <c r="J60" s="58" t="str">
        <f t="shared" si="12"/>
        <v/>
      </c>
      <c r="K60" s="51"/>
      <c r="L60" s="58" t="str">
        <f t="shared" si="13"/>
        <v/>
      </c>
      <c r="M60" s="51"/>
      <c r="N60" s="58" t="str">
        <f t="shared" si="14"/>
        <v/>
      </c>
      <c r="O60" s="51"/>
      <c r="P60" s="58" t="str">
        <f t="shared" si="15"/>
        <v/>
      </c>
      <c r="Q60" s="51"/>
      <c r="R60" s="58" t="str">
        <f t="shared" si="16"/>
        <v/>
      </c>
      <c r="S60" s="53"/>
      <c r="T60" s="58" t="str">
        <f t="shared" si="17"/>
        <v/>
      </c>
      <c r="U60" s="51"/>
      <c r="V60" s="58" t="str">
        <f t="shared" si="18"/>
        <v/>
      </c>
      <c r="W60" s="51"/>
      <c r="X60" s="58" t="str">
        <f t="shared" si="19"/>
        <v/>
      </c>
    </row>
    <row r="61" spans="1:24" x14ac:dyDescent="0.35">
      <c r="A61" s="20">
        <v>51</v>
      </c>
      <c r="B61" s="46">
        <v>46538</v>
      </c>
      <c r="C61" s="59">
        <f t="shared" si="10"/>
        <v>246.91358024691357</v>
      </c>
      <c r="D61" s="48"/>
      <c r="E61" s="59">
        <f>SUM($C$11:C61)</f>
        <v>12592.592592592593</v>
      </c>
      <c r="F61" s="59">
        <f>SUM($D$11:D61)</f>
        <v>0</v>
      </c>
      <c r="G61" s="49" t="str">
        <f>IF(COUNT($D$11:D61)=0,"",F61/E61)</f>
        <v/>
      </c>
      <c r="H61" s="50" t="str">
        <f t="shared" si="11"/>
        <v/>
      </c>
      <c r="I61" s="51"/>
      <c r="J61" s="52" t="str">
        <f t="shared" si="12"/>
        <v/>
      </c>
      <c r="K61" s="51"/>
      <c r="L61" s="52" t="str">
        <f t="shared" si="13"/>
        <v/>
      </c>
      <c r="M61" s="51"/>
      <c r="N61" s="52" t="str">
        <f t="shared" si="14"/>
        <v/>
      </c>
      <c r="O61" s="51"/>
      <c r="P61" s="52" t="str">
        <f t="shared" si="15"/>
        <v/>
      </c>
      <c r="Q61" s="51"/>
      <c r="R61" s="52" t="str">
        <f t="shared" si="16"/>
        <v/>
      </c>
      <c r="S61" s="53"/>
      <c r="T61" s="52" t="str">
        <f t="shared" si="17"/>
        <v/>
      </c>
      <c r="U61" s="51"/>
      <c r="V61" s="52" t="str">
        <f t="shared" si="18"/>
        <v/>
      </c>
      <c r="W61" s="51"/>
      <c r="X61" s="52" t="str">
        <f t="shared" si="19"/>
        <v/>
      </c>
    </row>
    <row r="62" spans="1:24" x14ac:dyDescent="0.35">
      <c r="A62" s="27">
        <v>52</v>
      </c>
      <c r="B62" s="54">
        <v>46545</v>
      </c>
      <c r="C62" s="60">
        <f t="shared" si="10"/>
        <v>246.91358024691357</v>
      </c>
      <c r="D62" s="48"/>
      <c r="E62" s="60">
        <f>SUM($C$11:C62)</f>
        <v>12839.506172839507</v>
      </c>
      <c r="F62" s="60">
        <f>SUM($D$11:D62)</f>
        <v>0</v>
      </c>
      <c r="G62" s="56" t="str">
        <f>IF(COUNT($D$11:D62)=0,"",F62/E62)</f>
        <v/>
      </c>
      <c r="H62" s="57" t="str">
        <f t="shared" si="11"/>
        <v/>
      </c>
      <c r="I62" s="51"/>
      <c r="J62" s="58" t="str">
        <f t="shared" si="12"/>
        <v/>
      </c>
      <c r="K62" s="51"/>
      <c r="L62" s="58" t="str">
        <f t="shared" si="13"/>
        <v/>
      </c>
      <c r="M62" s="51"/>
      <c r="N62" s="58" t="str">
        <f t="shared" si="14"/>
        <v/>
      </c>
      <c r="O62" s="51"/>
      <c r="P62" s="58" t="str">
        <f t="shared" si="15"/>
        <v/>
      </c>
      <c r="Q62" s="51"/>
      <c r="R62" s="58" t="str">
        <f t="shared" si="16"/>
        <v/>
      </c>
      <c r="S62" s="53"/>
      <c r="T62" s="58" t="str">
        <f t="shared" si="17"/>
        <v/>
      </c>
      <c r="U62" s="51"/>
      <c r="V62" s="58" t="str">
        <f t="shared" si="18"/>
        <v/>
      </c>
      <c r="W62" s="51"/>
      <c r="X62" s="58" t="str">
        <f t="shared" si="19"/>
        <v/>
      </c>
    </row>
    <row r="63" spans="1:24" x14ac:dyDescent="0.35">
      <c r="A63" s="20">
        <v>53</v>
      </c>
      <c r="B63" s="46">
        <v>46552</v>
      </c>
      <c r="C63" s="59">
        <f t="shared" si="10"/>
        <v>246.91358024691357</v>
      </c>
      <c r="D63" s="48"/>
      <c r="E63" s="59">
        <f>SUM($C$11:C63)</f>
        <v>13086.41975308642</v>
      </c>
      <c r="F63" s="59">
        <f>SUM($D$11:D63)</f>
        <v>0</v>
      </c>
      <c r="G63" s="49" t="str">
        <f>IF(COUNT($D$11:D63)=0,"",F63/E63)</f>
        <v/>
      </c>
      <c r="H63" s="50" t="str">
        <f t="shared" si="11"/>
        <v/>
      </c>
      <c r="I63" s="51"/>
      <c r="J63" s="52" t="str">
        <f t="shared" si="12"/>
        <v/>
      </c>
      <c r="K63" s="51"/>
      <c r="L63" s="52" t="str">
        <f t="shared" si="13"/>
        <v/>
      </c>
      <c r="M63" s="51"/>
      <c r="N63" s="52" t="str">
        <f t="shared" si="14"/>
        <v/>
      </c>
      <c r="O63" s="51"/>
      <c r="P63" s="52" t="str">
        <f t="shared" si="15"/>
        <v/>
      </c>
      <c r="Q63" s="51"/>
      <c r="R63" s="52" t="str">
        <f t="shared" si="16"/>
        <v/>
      </c>
      <c r="S63" s="53"/>
      <c r="T63" s="52" t="str">
        <f t="shared" si="17"/>
        <v/>
      </c>
      <c r="U63" s="51"/>
      <c r="V63" s="52" t="str">
        <f t="shared" si="18"/>
        <v/>
      </c>
      <c r="W63" s="51"/>
      <c r="X63" s="52" t="str">
        <f t="shared" si="19"/>
        <v/>
      </c>
    </row>
    <row r="64" spans="1:24" x14ac:dyDescent="0.35">
      <c r="A64" s="27">
        <v>54</v>
      </c>
      <c r="B64" s="54">
        <v>46559</v>
      </c>
      <c r="C64" s="60">
        <f t="shared" si="10"/>
        <v>246.91358024691357</v>
      </c>
      <c r="D64" s="48"/>
      <c r="E64" s="60">
        <f>SUM($C$11:C64)</f>
        <v>13333.333333333334</v>
      </c>
      <c r="F64" s="60">
        <f>SUM($D$11:D64)</f>
        <v>0</v>
      </c>
      <c r="G64" s="56" t="str">
        <f>IF(COUNT($D$11:D64)=0,"",F64/E64)</f>
        <v/>
      </c>
      <c r="H64" s="57" t="str">
        <f t="shared" si="11"/>
        <v/>
      </c>
      <c r="I64" s="51"/>
      <c r="J64" s="58" t="str">
        <f t="shared" si="12"/>
        <v/>
      </c>
      <c r="K64" s="51"/>
      <c r="L64" s="58" t="str">
        <f t="shared" si="13"/>
        <v/>
      </c>
      <c r="M64" s="51"/>
      <c r="N64" s="58" t="str">
        <f t="shared" si="14"/>
        <v/>
      </c>
      <c r="O64" s="51"/>
      <c r="P64" s="58" t="str">
        <f t="shared" si="15"/>
        <v/>
      </c>
      <c r="Q64" s="51"/>
      <c r="R64" s="58" t="str">
        <f t="shared" si="16"/>
        <v/>
      </c>
      <c r="S64" s="53"/>
      <c r="T64" s="58" t="str">
        <f t="shared" si="17"/>
        <v/>
      </c>
      <c r="U64" s="51"/>
      <c r="V64" s="58" t="str">
        <f t="shared" si="18"/>
        <v/>
      </c>
      <c r="W64" s="51"/>
      <c r="X64" s="58" t="str">
        <f t="shared" si="19"/>
        <v/>
      </c>
    </row>
    <row r="65" spans="1:24" x14ac:dyDescent="0.35">
      <c r="A65" s="20">
        <v>55</v>
      </c>
      <c r="B65" s="46">
        <v>46566</v>
      </c>
      <c r="C65" s="59">
        <f t="shared" si="10"/>
        <v>246.91358024691357</v>
      </c>
      <c r="D65" s="48"/>
      <c r="E65" s="59">
        <f>SUM($C$11:C65)</f>
        <v>13580.246913580248</v>
      </c>
      <c r="F65" s="59">
        <f>SUM($D$11:D65)</f>
        <v>0</v>
      </c>
      <c r="G65" s="49" t="str">
        <f>IF(COUNT($D$11:D65)=0,"",F65/E65)</f>
        <v/>
      </c>
      <c r="H65" s="50" t="str">
        <f t="shared" si="11"/>
        <v/>
      </c>
      <c r="I65" s="51"/>
      <c r="J65" s="52" t="str">
        <f t="shared" si="12"/>
        <v/>
      </c>
      <c r="K65" s="51"/>
      <c r="L65" s="52" t="str">
        <f t="shared" si="13"/>
        <v/>
      </c>
      <c r="M65" s="51"/>
      <c r="N65" s="52" t="str">
        <f t="shared" si="14"/>
        <v/>
      </c>
      <c r="O65" s="51"/>
      <c r="P65" s="52" t="str">
        <f t="shared" si="15"/>
        <v/>
      </c>
      <c r="Q65" s="51"/>
      <c r="R65" s="52" t="str">
        <f t="shared" si="16"/>
        <v/>
      </c>
      <c r="S65" s="53"/>
      <c r="T65" s="52" t="str">
        <f t="shared" si="17"/>
        <v/>
      </c>
      <c r="U65" s="51"/>
      <c r="V65" s="52" t="str">
        <f t="shared" si="18"/>
        <v/>
      </c>
      <c r="W65" s="51"/>
      <c r="X65" s="52" t="str">
        <f t="shared" si="19"/>
        <v/>
      </c>
    </row>
    <row r="66" spans="1:24" x14ac:dyDescent="0.35">
      <c r="A66" s="27">
        <v>56</v>
      </c>
      <c r="B66" s="54">
        <v>46573</v>
      </c>
      <c r="C66" s="60">
        <f t="shared" si="10"/>
        <v>246.91358024691357</v>
      </c>
      <c r="D66" s="48"/>
      <c r="E66" s="60">
        <f>SUM($C$11:C66)</f>
        <v>13827.160493827161</v>
      </c>
      <c r="F66" s="60">
        <f>SUM($D$11:D66)</f>
        <v>0</v>
      </c>
      <c r="G66" s="56" t="str">
        <f>IF(COUNT($D$11:D66)=0,"",F66/E66)</f>
        <v/>
      </c>
      <c r="H66" s="57" t="str">
        <f t="shared" si="11"/>
        <v/>
      </c>
      <c r="I66" s="51"/>
      <c r="J66" s="58" t="str">
        <f t="shared" si="12"/>
        <v/>
      </c>
      <c r="K66" s="51"/>
      <c r="L66" s="58" t="str">
        <f t="shared" si="13"/>
        <v/>
      </c>
      <c r="M66" s="51"/>
      <c r="N66" s="58" t="str">
        <f t="shared" si="14"/>
        <v/>
      </c>
      <c r="O66" s="51"/>
      <c r="P66" s="58" t="str">
        <f t="shared" si="15"/>
        <v/>
      </c>
      <c r="Q66" s="51"/>
      <c r="R66" s="58" t="str">
        <f t="shared" si="16"/>
        <v/>
      </c>
      <c r="S66" s="53"/>
      <c r="T66" s="58" t="str">
        <f t="shared" si="17"/>
        <v/>
      </c>
      <c r="U66" s="51"/>
      <c r="V66" s="58" t="str">
        <f t="shared" si="18"/>
        <v/>
      </c>
      <c r="W66" s="51"/>
      <c r="X66" s="58" t="str">
        <f t="shared" si="19"/>
        <v/>
      </c>
    </row>
    <row r="67" spans="1:24" x14ac:dyDescent="0.35">
      <c r="A67" s="20">
        <v>57</v>
      </c>
      <c r="B67" s="46">
        <v>46580</v>
      </c>
      <c r="C67" s="59">
        <f t="shared" si="10"/>
        <v>246.91358024691357</v>
      </c>
      <c r="D67" s="48"/>
      <c r="E67" s="59">
        <f>SUM($C$11:C67)</f>
        <v>14074.074074074075</v>
      </c>
      <c r="F67" s="59">
        <f>SUM($D$11:D67)</f>
        <v>0</v>
      </c>
      <c r="G67" s="49" t="str">
        <f>IF(COUNT($D$11:D67)=0,"",F67/E67)</f>
        <v/>
      </c>
      <c r="H67" s="50" t="str">
        <f t="shared" si="11"/>
        <v/>
      </c>
      <c r="I67" s="51"/>
      <c r="J67" s="52" t="str">
        <f t="shared" si="12"/>
        <v/>
      </c>
      <c r="K67" s="51"/>
      <c r="L67" s="52" t="str">
        <f t="shared" si="13"/>
        <v/>
      </c>
      <c r="M67" s="51"/>
      <c r="N67" s="52" t="str">
        <f t="shared" si="14"/>
        <v/>
      </c>
      <c r="O67" s="51"/>
      <c r="P67" s="52" t="str">
        <f t="shared" si="15"/>
        <v/>
      </c>
      <c r="Q67" s="51"/>
      <c r="R67" s="52" t="str">
        <f t="shared" si="16"/>
        <v/>
      </c>
      <c r="S67" s="53"/>
      <c r="T67" s="52" t="str">
        <f t="shared" si="17"/>
        <v/>
      </c>
      <c r="U67" s="51"/>
      <c r="V67" s="52" t="str">
        <f t="shared" si="18"/>
        <v/>
      </c>
      <c r="W67" s="51"/>
      <c r="X67" s="52" t="str">
        <f t="shared" si="19"/>
        <v/>
      </c>
    </row>
    <row r="68" spans="1:24" x14ac:dyDescent="0.35">
      <c r="A68" s="27">
        <v>58</v>
      </c>
      <c r="B68" s="54">
        <v>46587</v>
      </c>
      <c r="C68" s="60">
        <f t="shared" si="10"/>
        <v>246.91358024691357</v>
      </c>
      <c r="D68" s="48"/>
      <c r="E68" s="60">
        <f>SUM($C$11:C68)</f>
        <v>14320.987654320988</v>
      </c>
      <c r="F68" s="60">
        <f>SUM($D$11:D68)</f>
        <v>0</v>
      </c>
      <c r="G68" s="56" t="str">
        <f>IF(COUNT($D$11:D68)=0,"",F68/E68)</f>
        <v/>
      </c>
      <c r="H68" s="57" t="str">
        <f t="shared" si="11"/>
        <v/>
      </c>
      <c r="I68" s="51"/>
      <c r="J68" s="58" t="str">
        <f t="shared" si="12"/>
        <v/>
      </c>
      <c r="K68" s="51"/>
      <c r="L68" s="58" t="str">
        <f t="shared" si="13"/>
        <v/>
      </c>
      <c r="M68" s="51"/>
      <c r="N68" s="58" t="str">
        <f t="shared" si="14"/>
        <v/>
      </c>
      <c r="O68" s="51"/>
      <c r="P68" s="58" t="str">
        <f t="shared" si="15"/>
        <v/>
      </c>
      <c r="Q68" s="51"/>
      <c r="R68" s="58" t="str">
        <f t="shared" si="16"/>
        <v/>
      </c>
      <c r="S68" s="53"/>
      <c r="T68" s="58" t="str">
        <f t="shared" si="17"/>
        <v/>
      </c>
      <c r="U68" s="51"/>
      <c r="V68" s="58" t="str">
        <f t="shared" si="18"/>
        <v/>
      </c>
      <c r="W68" s="51"/>
      <c r="X68" s="58" t="str">
        <f t="shared" si="19"/>
        <v/>
      </c>
    </row>
    <row r="69" spans="1:24" x14ac:dyDescent="0.35">
      <c r="A69" s="20">
        <v>59</v>
      </c>
      <c r="B69" s="46">
        <v>46594</v>
      </c>
      <c r="C69" s="59">
        <f t="shared" si="10"/>
        <v>246.91358024691357</v>
      </c>
      <c r="D69" s="48"/>
      <c r="E69" s="59">
        <f>SUM($C$11:C69)</f>
        <v>14567.901234567902</v>
      </c>
      <c r="F69" s="59">
        <f>SUM($D$11:D69)</f>
        <v>0</v>
      </c>
      <c r="G69" s="49" t="str">
        <f>IF(COUNT($D$11:D69)=0,"",F69/E69)</f>
        <v/>
      </c>
      <c r="H69" s="50" t="str">
        <f t="shared" si="11"/>
        <v/>
      </c>
      <c r="I69" s="51"/>
      <c r="J69" s="52" t="str">
        <f t="shared" si="12"/>
        <v/>
      </c>
      <c r="K69" s="51"/>
      <c r="L69" s="52" t="str">
        <f t="shared" si="13"/>
        <v/>
      </c>
      <c r="M69" s="51"/>
      <c r="N69" s="52" t="str">
        <f t="shared" si="14"/>
        <v/>
      </c>
      <c r="O69" s="51"/>
      <c r="P69" s="52" t="str">
        <f t="shared" si="15"/>
        <v/>
      </c>
      <c r="Q69" s="51"/>
      <c r="R69" s="52" t="str">
        <f t="shared" si="16"/>
        <v/>
      </c>
      <c r="S69" s="53"/>
      <c r="T69" s="52" t="str">
        <f t="shared" si="17"/>
        <v/>
      </c>
      <c r="U69" s="51"/>
      <c r="V69" s="52" t="str">
        <f t="shared" si="18"/>
        <v/>
      </c>
      <c r="W69" s="51"/>
      <c r="X69" s="52" t="str">
        <f t="shared" si="19"/>
        <v/>
      </c>
    </row>
    <row r="70" spans="1:24" x14ac:dyDescent="0.35">
      <c r="A70" s="27">
        <v>60</v>
      </c>
      <c r="B70" s="54">
        <v>46601</v>
      </c>
      <c r="C70" s="60">
        <f t="shared" si="10"/>
        <v>246.91358024691357</v>
      </c>
      <c r="D70" s="48"/>
      <c r="E70" s="60">
        <f>SUM($C$11:C70)</f>
        <v>14814.814814814816</v>
      </c>
      <c r="F70" s="60">
        <f>SUM($D$11:D70)</f>
        <v>0</v>
      </c>
      <c r="G70" s="56" t="str">
        <f>IF(COUNT($D$11:D70)=0,"",F70/E70)</f>
        <v/>
      </c>
      <c r="H70" s="57" t="str">
        <f t="shared" si="11"/>
        <v/>
      </c>
      <c r="I70" s="51"/>
      <c r="J70" s="58" t="str">
        <f t="shared" si="12"/>
        <v/>
      </c>
      <c r="K70" s="51"/>
      <c r="L70" s="58" t="str">
        <f t="shared" si="13"/>
        <v/>
      </c>
      <c r="M70" s="51"/>
      <c r="N70" s="58" t="str">
        <f t="shared" si="14"/>
        <v/>
      </c>
      <c r="O70" s="51"/>
      <c r="P70" s="58" t="str">
        <f t="shared" si="15"/>
        <v/>
      </c>
      <c r="Q70" s="51"/>
      <c r="R70" s="58" t="str">
        <f t="shared" si="16"/>
        <v/>
      </c>
      <c r="S70" s="53"/>
      <c r="T70" s="58" t="str">
        <f t="shared" si="17"/>
        <v/>
      </c>
      <c r="U70" s="51"/>
      <c r="V70" s="58" t="str">
        <f t="shared" si="18"/>
        <v/>
      </c>
      <c r="W70" s="51"/>
      <c r="X70" s="58" t="str">
        <f t="shared" si="19"/>
        <v/>
      </c>
    </row>
    <row r="71" spans="1:24" x14ac:dyDescent="0.35">
      <c r="A71" s="20">
        <v>61</v>
      </c>
      <c r="B71" s="46">
        <v>46608</v>
      </c>
      <c r="C71" s="59">
        <f t="shared" si="10"/>
        <v>246.91358024691357</v>
      </c>
      <c r="D71" s="48"/>
      <c r="E71" s="59">
        <f>SUM($C$11:C71)</f>
        <v>15061.728395061729</v>
      </c>
      <c r="F71" s="59">
        <f>SUM($D$11:D71)</f>
        <v>0</v>
      </c>
      <c r="G71" s="49" t="str">
        <f>IF(COUNT($D$11:D71)=0,"",F71/E71)</f>
        <v/>
      </c>
      <c r="H71" s="50" t="str">
        <f t="shared" si="11"/>
        <v/>
      </c>
      <c r="I71" s="51"/>
      <c r="J71" s="52" t="str">
        <f t="shared" si="12"/>
        <v/>
      </c>
      <c r="K71" s="51"/>
      <c r="L71" s="52" t="str">
        <f t="shared" si="13"/>
        <v/>
      </c>
      <c r="M71" s="51"/>
      <c r="N71" s="52" t="str">
        <f t="shared" si="14"/>
        <v/>
      </c>
      <c r="O71" s="51"/>
      <c r="P71" s="52" t="str">
        <f t="shared" si="15"/>
        <v/>
      </c>
      <c r="Q71" s="51"/>
      <c r="R71" s="52" t="str">
        <f t="shared" si="16"/>
        <v/>
      </c>
      <c r="S71" s="53"/>
      <c r="T71" s="52" t="str">
        <f t="shared" si="17"/>
        <v/>
      </c>
      <c r="U71" s="51"/>
      <c r="V71" s="52" t="str">
        <f t="shared" si="18"/>
        <v/>
      </c>
      <c r="W71" s="51"/>
      <c r="X71" s="52" t="str">
        <f t="shared" si="19"/>
        <v/>
      </c>
    </row>
    <row r="72" spans="1:24" x14ac:dyDescent="0.35">
      <c r="A72" s="27">
        <v>62</v>
      </c>
      <c r="B72" s="54">
        <v>46615</v>
      </c>
      <c r="C72" s="60">
        <f t="shared" si="10"/>
        <v>246.91358024691357</v>
      </c>
      <c r="D72" s="48"/>
      <c r="E72" s="60">
        <f>SUM($C$11:C72)</f>
        <v>15308.641975308643</v>
      </c>
      <c r="F72" s="60">
        <f>SUM($D$11:D72)</f>
        <v>0</v>
      </c>
      <c r="G72" s="56" t="str">
        <f>IF(COUNT($D$11:D72)=0,"",F72/E72)</f>
        <v/>
      </c>
      <c r="H72" s="57" t="str">
        <f t="shared" si="11"/>
        <v/>
      </c>
      <c r="I72" s="51"/>
      <c r="J72" s="58" t="str">
        <f t="shared" si="12"/>
        <v/>
      </c>
      <c r="K72" s="51"/>
      <c r="L72" s="58" t="str">
        <f t="shared" si="13"/>
        <v/>
      </c>
      <c r="M72" s="51"/>
      <c r="N72" s="58" t="str">
        <f t="shared" si="14"/>
        <v/>
      </c>
      <c r="O72" s="51"/>
      <c r="P72" s="58" t="str">
        <f t="shared" si="15"/>
        <v/>
      </c>
      <c r="Q72" s="51"/>
      <c r="R72" s="58" t="str">
        <f t="shared" si="16"/>
        <v/>
      </c>
      <c r="S72" s="53"/>
      <c r="T72" s="58" t="str">
        <f t="shared" si="17"/>
        <v/>
      </c>
      <c r="U72" s="51"/>
      <c r="V72" s="58" t="str">
        <f t="shared" si="18"/>
        <v/>
      </c>
      <c r="W72" s="51"/>
      <c r="X72" s="58" t="str">
        <f t="shared" si="19"/>
        <v/>
      </c>
    </row>
    <row r="73" spans="1:24" x14ac:dyDescent="0.35">
      <c r="A73" s="20">
        <v>63</v>
      </c>
      <c r="B73" s="46">
        <v>46622</v>
      </c>
      <c r="C73" s="59">
        <f t="shared" si="10"/>
        <v>246.91358024691357</v>
      </c>
      <c r="D73" s="48"/>
      <c r="E73" s="59">
        <f>SUM($C$11:C73)</f>
        <v>15555.555555555557</v>
      </c>
      <c r="F73" s="59">
        <f>SUM($D$11:D73)</f>
        <v>0</v>
      </c>
      <c r="G73" s="49" t="str">
        <f>IF(COUNT($D$11:D73)=0,"",F73/E73)</f>
        <v/>
      </c>
      <c r="H73" s="50" t="str">
        <f t="shared" si="11"/>
        <v/>
      </c>
      <c r="I73" s="51"/>
      <c r="J73" s="52" t="str">
        <f t="shared" si="12"/>
        <v/>
      </c>
      <c r="K73" s="51"/>
      <c r="L73" s="52" t="str">
        <f t="shared" si="13"/>
        <v/>
      </c>
      <c r="M73" s="51"/>
      <c r="N73" s="52" t="str">
        <f t="shared" si="14"/>
        <v/>
      </c>
      <c r="O73" s="51"/>
      <c r="P73" s="52" t="str">
        <f t="shared" si="15"/>
        <v/>
      </c>
      <c r="Q73" s="51"/>
      <c r="R73" s="52" t="str">
        <f t="shared" si="16"/>
        <v/>
      </c>
      <c r="S73" s="53"/>
      <c r="T73" s="52" t="str">
        <f t="shared" si="17"/>
        <v/>
      </c>
      <c r="U73" s="51"/>
      <c r="V73" s="52" t="str">
        <f t="shared" si="18"/>
        <v/>
      </c>
      <c r="W73" s="51"/>
      <c r="X73" s="52" t="str">
        <f t="shared" si="19"/>
        <v/>
      </c>
    </row>
    <row r="74" spans="1:24" x14ac:dyDescent="0.35">
      <c r="A74" s="27">
        <v>64</v>
      </c>
      <c r="B74" s="54">
        <v>46629</v>
      </c>
      <c r="C74" s="60">
        <f t="shared" si="10"/>
        <v>246.91358024691357</v>
      </c>
      <c r="D74" s="48"/>
      <c r="E74" s="60">
        <f>SUM($C$11:C74)</f>
        <v>15802.46913580247</v>
      </c>
      <c r="F74" s="60">
        <f>SUM($D$11:D74)</f>
        <v>0</v>
      </c>
      <c r="G74" s="56" t="str">
        <f>IF(COUNT($D$11:D74)=0,"",F74/E74)</f>
        <v/>
      </c>
      <c r="H74" s="57" t="str">
        <f t="shared" si="11"/>
        <v/>
      </c>
      <c r="I74" s="51"/>
      <c r="J74" s="58" t="str">
        <f t="shared" si="12"/>
        <v/>
      </c>
      <c r="K74" s="51"/>
      <c r="L74" s="58" t="str">
        <f t="shared" si="13"/>
        <v/>
      </c>
      <c r="M74" s="51"/>
      <c r="N74" s="58" t="str">
        <f t="shared" si="14"/>
        <v/>
      </c>
      <c r="O74" s="51"/>
      <c r="P74" s="58" t="str">
        <f t="shared" si="15"/>
        <v/>
      </c>
      <c r="Q74" s="51"/>
      <c r="R74" s="58" t="str">
        <f t="shared" si="16"/>
        <v/>
      </c>
      <c r="S74" s="53"/>
      <c r="T74" s="58" t="str">
        <f t="shared" si="17"/>
        <v/>
      </c>
      <c r="U74" s="51"/>
      <c r="V74" s="58" t="str">
        <f t="shared" si="18"/>
        <v/>
      </c>
      <c r="W74" s="51"/>
      <c r="X74" s="58" t="str">
        <f t="shared" si="19"/>
        <v/>
      </c>
    </row>
    <row r="75" spans="1:24" x14ac:dyDescent="0.35">
      <c r="A75" s="20">
        <v>65</v>
      </c>
      <c r="B75" s="46">
        <v>46636</v>
      </c>
      <c r="C75" s="59">
        <f t="shared" ref="C75:C91" si="20">$B$5/$B$8</f>
        <v>246.91358024691357</v>
      </c>
      <c r="D75" s="48"/>
      <c r="E75" s="59">
        <f>SUM($C$11:C75)</f>
        <v>16049.382716049384</v>
      </c>
      <c r="F75" s="59">
        <f>SUM($D$11:D75)</f>
        <v>0</v>
      </c>
      <c r="G75" s="49" t="str">
        <f>IF(COUNT($D$11:D75)=0,"",F75/E75)</f>
        <v/>
      </c>
      <c r="H75" s="50" t="str">
        <f t="shared" ref="H75:H106" si="21">IF(G75="","",IF(G75&gt;=0.95,"En meta",IF(G75&gt;=0.8,"Riesgo","Atrasado")))</f>
        <v/>
      </c>
      <c r="I75" s="51"/>
      <c r="J75" s="52" t="str">
        <f t="shared" ref="J75:J106" si="22">IF(I75="","",IF($I$9="","",IF($I$9=0,"",I75/$I$9)))</f>
        <v/>
      </c>
      <c r="K75" s="51"/>
      <c r="L75" s="52" t="str">
        <f t="shared" ref="L75:L106" si="23">IF(K75="","",IF($K$9="","",IF($K$9=0,"",K75/$K$9)))</f>
        <v/>
      </c>
      <c r="M75" s="51"/>
      <c r="N75" s="52" t="str">
        <f t="shared" ref="N75:N106" si="24">IF(M75="","",IF($M$9="","",IF($M$9=0,"",M75/$M$9)))</f>
        <v/>
      </c>
      <c r="O75" s="51"/>
      <c r="P75" s="52" t="str">
        <f t="shared" ref="P75:P106" si="25">IF(O75="","",IF($O$9="","",IF($O$9=0,"",O75/$O$9)))</f>
        <v/>
      </c>
      <c r="Q75" s="51"/>
      <c r="R75" s="52" t="str">
        <f t="shared" ref="R75:R106" si="26">IF(Q75="","",IF($Q$9="","",IF($Q$9=0,"",Q75/$Q$9)))</f>
        <v/>
      </c>
      <c r="S75" s="53"/>
      <c r="T75" s="52" t="str">
        <f t="shared" ref="T75:T106" si="27">IF(S75="","",IF($S$9="","",IF($S$9=0,"",S75/$S$9)))</f>
        <v/>
      </c>
      <c r="U75" s="51"/>
      <c r="V75" s="52" t="str">
        <f t="shared" ref="V75:V106" si="28">IF(U75="","",IF($U$9="","",IF($U$9=0,"",U75/$U$9)))</f>
        <v/>
      </c>
      <c r="W75" s="51"/>
      <c r="X75" s="52" t="str">
        <f t="shared" ref="X75:X106" si="29">IF(W75="","",IF($W$9="","",IF($W$9=0,"",W75/$W$9)))</f>
        <v/>
      </c>
    </row>
    <row r="76" spans="1:24" x14ac:dyDescent="0.35">
      <c r="A76" s="27">
        <v>66</v>
      </c>
      <c r="B76" s="54">
        <v>46643</v>
      </c>
      <c r="C76" s="60">
        <f t="shared" si="20"/>
        <v>246.91358024691357</v>
      </c>
      <c r="D76" s="48"/>
      <c r="E76" s="60">
        <f>SUM($C$11:C76)</f>
        <v>16296.296296296297</v>
      </c>
      <c r="F76" s="60">
        <f>SUM($D$11:D76)</f>
        <v>0</v>
      </c>
      <c r="G76" s="56" t="str">
        <f>IF(COUNT($D$11:D76)=0,"",F76/E76)</f>
        <v/>
      </c>
      <c r="H76" s="57" t="str">
        <f t="shared" si="21"/>
        <v/>
      </c>
      <c r="I76" s="51"/>
      <c r="J76" s="58" t="str">
        <f t="shared" si="22"/>
        <v/>
      </c>
      <c r="K76" s="51"/>
      <c r="L76" s="58" t="str">
        <f t="shared" si="23"/>
        <v/>
      </c>
      <c r="M76" s="51"/>
      <c r="N76" s="58" t="str">
        <f t="shared" si="24"/>
        <v/>
      </c>
      <c r="O76" s="51"/>
      <c r="P76" s="58" t="str">
        <f t="shared" si="25"/>
        <v/>
      </c>
      <c r="Q76" s="51"/>
      <c r="R76" s="58" t="str">
        <f t="shared" si="26"/>
        <v/>
      </c>
      <c r="S76" s="53"/>
      <c r="T76" s="58" t="str">
        <f t="shared" si="27"/>
        <v/>
      </c>
      <c r="U76" s="51"/>
      <c r="V76" s="58" t="str">
        <f t="shared" si="28"/>
        <v/>
      </c>
      <c r="W76" s="51"/>
      <c r="X76" s="58" t="str">
        <f t="shared" si="29"/>
        <v/>
      </c>
    </row>
    <row r="77" spans="1:24" x14ac:dyDescent="0.35">
      <c r="A77" s="20">
        <v>67</v>
      </c>
      <c r="B77" s="46">
        <v>46650</v>
      </c>
      <c r="C77" s="59">
        <f t="shared" si="20"/>
        <v>246.91358024691357</v>
      </c>
      <c r="D77" s="48"/>
      <c r="E77" s="59">
        <f>SUM($C$11:C77)</f>
        <v>16543.209876543209</v>
      </c>
      <c r="F77" s="59">
        <f>SUM($D$11:D77)</f>
        <v>0</v>
      </c>
      <c r="G77" s="49" t="str">
        <f>IF(COUNT($D$11:D77)=0,"",F77/E77)</f>
        <v/>
      </c>
      <c r="H77" s="50" t="str">
        <f t="shared" si="21"/>
        <v/>
      </c>
      <c r="I77" s="51"/>
      <c r="J77" s="52" t="str">
        <f t="shared" si="22"/>
        <v/>
      </c>
      <c r="K77" s="51"/>
      <c r="L77" s="52" t="str">
        <f t="shared" si="23"/>
        <v/>
      </c>
      <c r="M77" s="51"/>
      <c r="N77" s="52" t="str">
        <f t="shared" si="24"/>
        <v/>
      </c>
      <c r="O77" s="51"/>
      <c r="P77" s="52" t="str">
        <f t="shared" si="25"/>
        <v/>
      </c>
      <c r="Q77" s="51"/>
      <c r="R77" s="52" t="str">
        <f t="shared" si="26"/>
        <v/>
      </c>
      <c r="S77" s="53"/>
      <c r="T77" s="52" t="str">
        <f t="shared" si="27"/>
        <v/>
      </c>
      <c r="U77" s="51"/>
      <c r="V77" s="52" t="str">
        <f t="shared" si="28"/>
        <v/>
      </c>
      <c r="W77" s="51"/>
      <c r="X77" s="52" t="str">
        <f t="shared" si="29"/>
        <v/>
      </c>
    </row>
    <row r="78" spans="1:24" x14ac:dyDescent="0.35">
      <c r="A78" s="27">
        <v>68</v>
      </c>
      <c r="B78" s="54">
        <v>46657</v>
      </c>
      <c r="C78" s="60">
        <f t="shared" si="20"/>
        <v>246.91358024691357</v>
      </c>
      <c r="D78" s="48"/>
      <c r="E78" s="60">
        <f>SUM($C$11:C78)</f>
        <v>16790.123456790123</v>
      </c>
      <c r="F78" s="60">
        <f>SUM($D$11:D78)</f>
        <v>0</v>
      </c>
      <c r="G78" s="56" t="str">
        <f>IF(COUNT($D$11:D78)=0,"",F78/E78)</f>
        <v/>
      </c>
      <c r="H78" s="57" t="str">
        <f t="shared" si="21"/>
        <v/>
      </c>
      <c r="I78" s="51"/>
      <c r="J78" s="58" t="str">
        <f t="shared" si="22"/>
        <v/>
      </c>
      <c r="K78" s="51"/>
      <c r="L78" s="58" t="str">
        <f t="shared" si="23"/>
        <v/>
      </c>
      <c r="M78" s="51"/>
      <c r="N78" s="58" t="str">
        <f t="shared" si="24"/>
        <v/>
      </c>
      <c r="O78" s="51"/>
      <c r="P78" s="58" t="str">
        <f t="shared" si="25"/>
        <v/>
      </c>
      <c r="Q78" s="51"/>
      <c r="R78" s="58" t="str">
        <f t="shared" si="26"/>
        <v/>
      </c>
      <c r="S78" s="53"/>
      <c r="T78" s="58" t="str">
        <f t="shared" si="27"/>
        <v/>
      </c>
      <c r="U78" s="51"/>
      <c r="V78" s="58" t="str">
        <f t="shared" si="28"/>
        <v/>
      </c>
      <c r="W78" s="51"/>
      <c r="X78" s="58" t="str">
        <f t="shared" si="29"/>
        <v/>
      </c>
    </row>
    <row r="79" spans="1:24" x14ac:dyDescent="0.35">
      <c r="A79" s="20">
        <v>69</v>
      </c>
      <c r="B79" s="46">
        <v>46664</v>
      </c>
      <c r="C79" s="59">
        <f t="shared" si="20"/>
        <v>246.91358024691357</v>
      </c>
      <c r="D79" s="48"/>
      <c r="E79" s="59">
        <f>SUM($C$11:C79)</f>
        <v>17037.037037037036</v>
      </c>
      <c r="F79" s="59">
        <f>SUM($D$11:D79)</f>
        <v>0</v>
      </c>
      <c r="G79" s="49" t="str">
        <f>IF(COUNT($D$11:D79)=0,"",F79/E79)</f>
        <v/>
      </c>
      <c r="H79" s="50" t="str">
        <f t="shared" si="21"/>
        <v/>
      </c>
      <c r="I79" s="51"/>
      <c r="J79" s="52" t="str">
        <f t="shared" si="22"/>
        <v/>
      </c>
      <c r="K79" s="51"/>
      <c r="L79" s="52" t="str">
        <f t="shared" si="23"/>
        <v/>
      </c>
      <c r="M79" s="51"/>
      <c r="N79" s="52" t="str">
        <f t="shared" si="24"/>
        <v/>
      </c>
      <c r="O79" s="51"/>
      <c r="P79" s="52" t="str">
        <f t="shared" si="25"/>
        <v/>
      </c>
      <c r="Q79" s="51"/>
      <c r="R79" s="52" t="str">
        <f t="shared" si="26"/>
        <v/>
      </c>
      <c r="S79" s="53"/>
      <c r="T79" s="52" t="str">
        <f t="shared" si="27"/>
        <v/>
      </c>
      <c r="U79" s="51"/>
      <c r="V79" s="52" t="str">
        <f t="shared" si="28"/>
        <v/>
      </c>
      <c r="W79" s="51"/>
      <c r="X79" s="52" t="str">
        <f t="shared" si="29"/>
        <v/>
      </c>
    </row>
    <row r="80" spans="1:24" x14ac:dyDescent="0.35">
      <c r="A80" s="27">
        <v>70</v>
      </c>
      <c r="B80" s="54">
        <v>46671</v>
      </c>
      <c r="C80" s="60">
        <f t="shared" si="20"/>
        <v>246.91358024691357</v>
      </c>
      <c r="D80" s="48"/>
      <c r="E80" s="60">
        <f>SUM($C$11:C80)</f>
        <v>17283.95061728395</v>
      </c>
      <c r="F80" s="60">
        <f>SUM($D$11:D80)</f>
        <v>0</v>
      </c>
      <c r="G80" s="56" t="str">
        <f>IF(COUNT($D$11:D80)=0,"",F80/E80)</f>
        <v/>
      </c>
      <c r="H80" s="57" t="str">
        <f t="shared" si="21"/>
        <v/>
      </c>
      <c r="I80" s="51"/>
      <c r="J80" s="58" t="str">
        <f t="shared" si="22"/>
        <v/>
      </c>
      <c r="K80" s="51"/>
      <c r="L80" s="58" t="str">
        <f t="shared" si="23"/>
        <v/>
      </c>
      <c r="M80" s="51"/>
      <c r="N80" s="58" t="str">
        <f t="shared" si="24"/>
        <v/>
      </c>
      <c r="O80" s="51"/>
      <c r="P80" s="58" t="str">
        <f t="shared" si="25"/>
        <v/>
      </c>
      <c r="Q80" s="51"/>
      <c r="R80" s="58" t="str">
        <f t="shared" si="26"/>
        <v/>
      </c>
      <c r="S80" s="53"/>
      <c r="T80" s="58" t="str">
        <f t="shared" si="27"/>
        <v/>
      </c>
      <c r="U80" s="51"/>
      <c r="V80" s="58" t="str">
        <f t="shared" si="28"/>
        <v/>
      </c>
      <c r="W80" s="51"/>
      <c r="X80" s="58" t="str">
        <f t="shared" si="29"/>
        <v/>
      </c>
    </row>
    <row r="81" spans="1:24" x14ac:dyDescent="0.35">
      <c r="A81" s="20">
        <v>71</v>
      </c>
      <c r="B81" s="46">
        <v>46678</v>
      </c>
      <c r="C81" s="59">
        <f t="shared" si="20"/>
        <v>246.91358024691357</v>
      </c>
      <c r="D81" s="48"/>
      <c r="E81" s="59">
        <f>SUM($C$11:C81)</f>
        <v>17530.864197530864</v>
      </c>
      <c r="F81" s="59">
        <f>SUM($D$11:D81)</f>
        <v>0</v>
      </c>
      <c r="G81" s="49" t="str">
        <f>IF(COUNT($D$11:D81)=0,"",F81/E81)</f>
        <v/>
      </c>
      <c r="H81" s="50" t="str">
        <f t="shared" si="21"/>
        <v/>
      </c>
      <c r="I81" s="51"/>
      <c r="J81" s="52" t="str">
        <f t="shared" si="22"/>
        <v/>
      </c>
      <c r="K81" s="51"/>
      <c r="L81" s="52" t="str">
        <f t="shared" si="23"/>
        <v/>
      </c>
      <c r="M81" s="51"/>
      <c r="N81" s="52" t="str">
        <f t="shared" si="24"/>
        <v/>
      </c>
      <c r="O81" s="51"/>
      <c r="P81" s="52" t="str">
        <f t="shared" si="25"/>
        <v/>
      </c>
      <c r="Q81" s="51"/>
      <c r="R81" s="52" t="str">
        <f t="shared" si="26"/>
        <v/>
      </c>
      <c r="S81" s="53"/>
      <c r="T81" s="52" t="str">
        <f t="shared" si="27"/>
        <v/>
      </c>
      <c r="U81" s="51"/>
      <c r="V81" s="52" t="str">
        <f t="shared" si="28"/>
        <v/>
      </c>
      <c r="W81" s="51"/>
      <c r="X81" s="52" t="str">
        <f t="shared" si="29"/>
        <v/>
      </c>
    </row>
    <row r="82" spans="1:24" x14ac:dyDescent="0.35">
      <c r="A82" s="27">
        <v>72</v>
      </c>
      <c r="B82" s="54">
        <v>46685</v>
      </c>
      <c r="C82" s="60">
        <f t="shared" si="20"/>
        <v>246.91358024691357</v>
      </c>
      <c r="D82" s="48"/>
      <c r="E82" s="60">
        <f>SUM($C$11:C82)</f>
        <v>17777.777777777777</v>
      </c>
      <c r="F82" s="60">
        <f>SUM($D$11:D82)</f>
        <v>0</v>
      </c>
      <c r="G82" s="56" t="str">
        <f>IF(COUNT($D$11:D82)=0,"",F82/E82)</f>
        <v/>
      </c>
      <c r="H82" s="57" t="str">
        <f t="shared" si="21"/>
        <v/>
      </c>
      <c r="I82" s="51"/>
      <c r="J82" s="58" t="str">
        <f t="shared" si="22"/>
        <v/>
      </c>
      <c r="K82" s="51"/>
      <c r="L82" s="58" t="str">
        <f t="shared" si="23"/>
        <v/>
      </c>
      <c r="M82" s="51"/>
      <c r="N82" s="58" t="str">
        <f t="shared" si="24"/>
        <v/>
      </c>
      <c r="O82" s="51"/>
      <c r="P82" s="58" t="str">
        <f t="shared" si="25"/>
        <v/>
      </c>
      <c r="Q82" s="51"/>
      <c r="R82" s="58" t="str">
        <f t="shared" si="26"/>
        <v/>
      </c>
      <c r="S82" s="53"/>
      <c r="T82" s="58" t="str">
        <f t="shared" si="27"/>
        <v/>
      </c>
      <c r="U82" s="51"/>
      <c r="V82" s="58" t="str">
        <f t="shared" si="28"/>
        <v/>
      </c>
      <c r="W82" s="51"/>
      <c r="X82" s="58" t="str">
        <f t="shared" si="29"/>
        <v/>
      </c>
    </row>
    <row r="83" spans="1:24" x14ac:dyDescent="0.35">
      <c r="A83" s="20">
        <v>73</v>
      </c>
      <c r="B83" s="46">
        <v>46692</v>
      </c>
      <c r="C83" s="59">
        <f t="shared" si="20"/>
        <v>246.91358024691357</v>
      </c>
      <c r="D83" s="48"/>
      <c r="E83" s="59">
        <f>SUM($C$11:C83)</f>
        <v>18024.691358024691</v>
      </c>
      <c r="F83" s="59">
        <f>SUM($D$11:D83)</f>
        <v>0</v>
      </c>
      <c r="G83" s="49" t="str">
        <f>IF(COUNT($D$11:D83)=0,"",F83/E83)</f>
        <v/>
      </c>
      <c r="H83" s="50" t="str">
        <f t="shared" si="21"/>
        <v/>
      </c>
      <c r="I83" s="51"/>
      <c r="J83" s="52" t="str">
        <f t="shared" si="22"/>
        <v/>
      </c>
      <c r="K83" s="51"/>
      <c r="L83" s="52" t="str">
        <f t="shared" si="23"/>
        <v/>
      </c>
      <c r="M83" s="51"/>
      <c r="N83" s="52" t="str">
        <f t="shared" si="24"/>
        <v/>
      </c>
      <c r="O83" s="51"/>
      <c r="P83" s="52" t="str">
        <f t="shared" si="25"/>
        <v/>
      </c>
      <c r="Q83" s="51"/>
      <c r="R83" s="52" t="str">
        <f t="shared" si="26"/>
        <v/>
      </c>
      <c r="S83" s="53"/>
      <c r="T83" s="52" t="str">
        <f t="shared" si="27"/>
        <v/>
      </c>
      <c r="U83" s="51"/>
      <c r="V83" s="52" t="str">
        <f t="shared" si="28"/>
        <v/>
      </c>
      <c r="W83" s="51"/>
      <c r="X83" s="52" t="str">
        <f t="shared" si="29"/>
        <v/>
      </c>
    </row>
    <row r="84" spans="1:24" x14ac:dyDescent="0.35">
      <c r="A84" s="27">
        <v>74</v>
      </c>
      <c r="B84" s="54">
        <v>46699</v>
      </c>
      <c r="C84" s="60">
        <f t="shared" si="20"/>
        <v>246.91358024691357</v>
      </c>
      <c r="D84" s="48"/>
      <c r="E84" s="60">
        <f>SUM($C$11:C84)</f>
        <v>18271.604938271605</v>
      </c>
      <c r="F84" s="60">
        <f>SUM($D$11:D84)</f>
        <v>0</v>
      </c>
      <c r="G84" s="56" t="str">
        <f>IF(COUNT($D$11:D84)=0,"",F84/E84)</f>
        <v/>
      </c>
      <c r="H84" s="57" t="str">
        <f t="shared" si="21"/>
        <v/>
      </c>
      <c r="I84" s="51"/>
      <c r="J84" s="58" t="str">
        <f t="shared" si="22"/>
        <v/>
      </c>
      <c r="K84" s="51"/>
      <c r="L84" s="58" t="str">
        <f t="shared" si="23"/>
        <v/>
      </c>
      <c r="M84" s="51"/>
      <c r="N84" s="58" t="str">
        <f t="shared" si="24"/>
        <v/>
      </c>
      <c r="O84" s="51"/>
      <c r="P84" s="58" t="str">
        <f t="shared" si="25"/>
        <v/>
      </c>
      <c r="Q84" s="51"/>
      <c r="R84" s="58" t="str">
        <f t="shared" si="26"/>
        <v/>
      </c>
      <c r="S84" s="53"/>
      <c r="T84" s="58" t="str">
        <f t="shared" si="27"/>
        <v/>
      </c>
      <c r="U84" s="51"/>
      <c r="V84" s="58" t="str">
        <f t="shared" si="28"/>
        <v/>
      </c>
      <c r="W84" s="51"/>
      <c r="X84" s="58" t="str">
        <f t="shared" si="29"/>
        <v/>
      </c>
    </row>
    <row r="85" spans="1:24" x14ac:dyDescent="0.35">
      <c r="A85" s="20">
        <v>75</v>
      </c>
      <c r="B85" s="46">
        <v>46706</v>
      </c>
      <c r="C85" s="59">
        <f t="shared" si="20"/>
        <v>246.91358024691357</v>
      </c>
      <c r="D85" s="48"/>
      <c r="E85" s="59">
        <f>SUM($C$11:C85)</f>
        <v>18518.518518518518</v>
      </c>
      <c r="F85" s="59">
        <f>SUM($D$11:D85)</f>
        <v>0</v>
      </c>
      <c r="G85" s="49" t="str">
        <f>IF(COUNT($D$11:D85)=0,"",F85/E85)</f>
        <v/>
      </c>
      <c r="H85" s="50" t="str">
        <f t="shared" si="21"/>
        <v/>
      </c>
      <c r="I85" s="51"/>
      <c r="J85" s="52" t="str">
        <f t="shared" si="22"/>
        <v/>
      </c>
      <c r="K85" s="51"/>
      <c r="L85" s="52" t="str">
        <f t="shared" si="23"/>
        <v/>
      </c>
      <c r="M85" s="51"/>
      <c r="N85" s="52" t="str">
        <f t="shared" si="24"/>
        <v/>
      </c>
      <c r="O85" s="51"/>
      <c r="P85" s="52" t="str">
        <f t="shared" si="25"/>
        <v/>
      </c>
      <c r="Q85" s="51"/>
      <c r="R85" s="52" t="str">
        <f t="shared" si="26"/>
        <v/>
      </c>
      <c r="S85" s="53"/>
      <c r="T85" s="52" t="str">
        <f t="shared" si="27"/>
        <v/>
      </c>
      <c r="U85" s="51"/>
      <c r="V85" s="52" t="str">
        <f t="shared" si="28"/>
        <v/>
      </c>
      <c r="W85" s="51"/>
      <c r="X85" s="52" t="str">
        <f t="shared" si="29"/>
        <v/>
      </c>
    </row>
    <row r="86" spans="1:24" x14ac:dyDescent="0.35">
      <c r="A86" s="27">
        <v>76</v>
      </c>
      <c r="B86" s="54">
        <v>46713</v>
      </c>
      <c r="C86" s="60">
        <f t="shared" si="20"/>
        <v>246.91358024691357</v>
      </c>
      <c r="D86" s="48"/>
      <c r="E86" s="60">
        <f>SUM($C$11:C86)</f>
        <v>18765.432098765432</v>
      </c>
      <c r="F86" s="60">
        <f>SUM($D$11:D86)</f>
        <v>0</v>
      </c>
      <c r="G86" s="56" t="str">
        <f>IF(COUNT($D$11:D86)=0,"",F86/E86)</f>
        <v/>
      </c>
      <c r="H86" s="57" t="str">
        <f t="shared" si="21"/>
        <v/>
      </c>
      <c r="I86" s="51"/>
      <c r="J86" s="58" t="str">
        <f t="shared" si="22"/>
        <v/>
      </c>
      <c r="K86" s="51"/>
      <c r="L86" s="58" t="str">
        <f t="shared" si="23"/>
        <v/>
      </c>
      <c r="M86" s="51"/>
      <c r="N86" s="58" t="str">
        <f t="shared" si="24"/>
        <v/>
      </c>
      <c r="O86" s="51"/>
      <c r="P86" s="58" t="str">
        <f t="shared" si="25"/>
        <v/>
      </c>
      <c r="Q86" s="51"/>
      <c r="R86" s="58" t="str">
        <f t="shared" si="26"/>
        <v/>
      </c>
      <c r="S86" s="53"/>
      <c r="T86" s="58" t="str">
        <f t="shared" si="27"/>
        <v/>
      </c>
      <c r="U86" s="51"/>
      <c r="V86" s="58" t="str">
        <f t="shared" si="28"/>
        <v/>
      </c>
      <c r="W86" s="51"/>
      <c r="X86" s="58" t="str">
        <f t="shared" si="29"/>
        <v/>
      </c>
    </row>
    <row r="87" spans="1:24" x14ac:dyDescent="0.35">
      <c r="A87" s="20">
        <v>77</v>
      </c>
      <c r="B87" s="46">
        <v>46720</v>
      </c>
      <c r="C87" s="59">
        <f t="shared" si="20"/>
        <v>246.91358024691357</v>
      </c>
      <c r="D87" s="48"/>
      <c r="E87" s="59">
        <f>SUM($C$11:C87)</f>
        <v>19012.345679012345</v>
      </c>
      <c r="F87" s="59">
        <f>SUM($D$11:D87)</f>
        <v>0</v>
      </c>
      <c r="G87" s="49" t="str">
        <f>IF(COUNT($D$11:D87)=0,"",F87/E87)</f>
        <v/>
      </c>
      <c r="H87" s="50" t="str">
        <f t="shared" si="21"/>
        <v/>
      </c>
      <c r="I87" s="51"/>
      <c r="J87" s="52" t="str">
        <f t="shared" si="22"/>
        <v/>
      </c>
      <c r="K87" s="51"/>
      <c r="L87" s="52" t="str">
        <f t="shared" si="23"/>
        <v/>
      </c>
      <c r="M87" s="51"/>
      <c r="N87" s="52" t="str">
        <f t="shared" si="24"/>
        <v/>
      </c>
      <c r="O87" s="51"/>
      <c r="P87" s="52" t="str">
        <f t="shared" si="25"/>
        <v/>
      </c>
      <c r="Q87" s="51"/>
      <c r="R87" s="52" t="str">
        <f t="shared" si="26"/>
        <v/>
      </c>
      <c r="S87" s="53"/>
      <c r="T87" s="52" t="str">
        <f t="shared" si="27"/>
        <v/>
      </c>
      <c r="U87" s="51"/>
      <c r="V87" s="52" t="str">
        <f t="shared" si="28"/>
        <v/>
      </c>
      <c r="W87" s="51"/>
      <c r="X87" s="52" t="str">
        <f t="shared" si="29"/>
        <v/>
      </c>
    </row>
    <row r="88" spans="1:24" x14ac:dyDescent="0.35">
      <c r="A88" s="27">
        <v>78</v>
      </c>
      <c r="B88" s="54">
        <v>46727</v>
      </c>
      <c r="C88" s="60">
        <f t="shared" si="20"/>
        <v>246.91358024691357</v>
      </c>
      <c r="D88" s="48"/>
      <c r="E88" s="60">
        <f>SUM($C$11:C88)</f>
        <v>19259.259259259259</v>
      </c>
      <c r="F88" s="60">
        <f>SUM($D$11:D88)</f>
        <v>0</v>
      </c>
      <c r="G88" s="56" t="str">
        <f>IF(COUNT($D$11:D88)=0,"",F88/E88)</f>
        <v/>
      </c>
      <c r="H88" s="57" t="str">
        <f t="shared" si="21"/>
        <v/>
      </c>
      <c r="I88" s="51"/>
      <c r="J88" s="58" t="str">
        <f t="shared" si="22"/>
        <v/>
      </c>
      <c r="K88" s="51"/>
      <c r="L88" s="58" t="str">
        <f t="shared" si="23"/>
        <v/>
      </c>
      <c r="M88" s="51"/>
      <c r="N88" s="58" t="str">
        <f t="shared" si="24"/>
        <v/>
      </c>
      <c r="O88" s="51"/>
      <c r="P88" s="58" t="str">
        <f t="shared" si="25"/>
        <v/>
      </c>
      <c r="Q88" s="51"/>
      <c r="R88" s="58" t="str">
        <f t="shared" si="26"/>
        <v/>
      </c>
      <c r="S88" s="53"/>
      <c r="T88" s="58" t="str">
        <f t="shared" si="27"/>
        <v/>
      </c>
      <c r="U88" s="51"/>
      <c r="V88" s="58" t="str">
        <f t="shared" si="28"/>
        <v/>
      </c>
      <c r="W88" s="51"/>
      <c r="X88" s="58" t="str">
        <f t="shared" si="29"/>
        <v/>
      </c>
    </row>
    <row r="89" spans="1:24" x14ac:dyDescent="0.35">
      <c r="A89" s="20">
        <v>79</v>
      </c>
      <c r="B89" s="46">
        <v>46734</v>
      </c>
      <c r="C89" s="59">
        <f t="shared" si="20"/>
        <v>246.91358024691357</v>
      </c>
      <c r="D89" s="48"/>
      <c r="E89" s="59">
        <f>SUM($C$11:C89)</f>
        <v>19506.172839506173</v>
      </c>
      <c r="F89" s="59">
        <f>SUM($D$11:D89)</f>
        <v>0</v>
      </c>
      <c r="G89" s="49" t="str">
        <f>IF(COUNT($D$11:D89)=0,"",F89/E89)</f>
        <v/>
      </c>
      <c r="H89" s="50" t="str">
        <f t="shared" si="21"/>
        <v/>
      </c>
      <c r="I89" s="51"/>
      <c r="J89" s="52" t="str">
        <f t="shared" si="22"/>
        <v/>
      </c>
      <c r="K89" s="51"/>
      <c r="L89" s="52" t="str">
        <f t="shared" si="23"/>
        <v/>
      </c>
      <c r="M89" s="51"/>
      <c r="N89" s="52" t="str">
        <f t="shared" si="24"/>
        <v/>
      </c>
      <c r="O89" s="51"/>
      <c r="P89" s="52" t="str">
        <f t="shared" si="25"/>
        <v/>
      </c>
      <c r="Q89" s="51"/>
      <c r="R89" s="52" t="str">
        <f t="shared" si="26"/>
        <v/>
      </c>
      <c r="S89" s="53"/>
      <c r="T89" s="52" t="str">
        <f t="shared" si="27"/>
        <v/>
      </c>
      <c r="U89" s="51"/>
      <c r="V89" s="52" t="str">
        <f t="shared" si="28"/>
        <v/>
      </c>
      <c r="W89" s="51"/>
      <c r="X89" s="52" t="str">
        <f t="shared" si="29"/>
        <v/>
      </c>
    </row>
    <row r="90" spans="1:24" x14ac:dyDescent="0.35">
      <c r="A90" s="27">
        <v>80</v>
      </c>
      <c r="B90" s="54">
        <v>46741</v>
      </c>
      <c r="C90" s="60">
        <f t="shared" si="20"/>
        <v>246.91358024691357</v>
      </c>
      <c r="D90" s="48"/>
      <c r="E90" s="60">
        <f>SUM($C$11:C90)</f>
        <v>19753.086419753086</v>
      </c>
      <c r="F90" s="60">
        <f>SUM($D$11:D90)</f>
        <v>0</v>
      </c>
      <c r="G90" s="56" t="str">
        <f>IF(COUNT($D$11:D90)=0,"",F90/E90)</f>
        <v/>
      </c>
      <c r="H90" s="57" t="str">
        <f t="shared" si="21"/>
        <v/>
      </c>
      <c r="I90" s="51"/>
      <c r="J90" s="58" t="str">
        <f t="shared" si="22"/>
        <v/>
      </c>
      <c r="K90" s="51"/>
      <c r="L90" s="58" t="str">
        <f t="shared" si="23"/>
        <v/>
      </c>
      <c r="M90" s="51"/>
      <c r="N90" s="58" t="str">
        <f t="shared" si="24"/>
        <v/>
      </c>
      <c r="O90" s="51"/>
      <c r="P90" s="58" t="str">
        <f t="shared" si="25"/>
        <v/>
      </c>
      <c r="Q90" s="51"/>
      <c r="R90" s="58" t="str">
        <f t="shared" si="26"/>
        <v/>
      </c>
      <c r="S90" s="53"/>
      <c r="T90" s="58" t="str">
        <f t="shared" si="27"/>
        <v/>
      </c>
      <c r="U90" s="51"/>
      <c r="V90" s="58" t="str">
        <f t="shared" si="28"/>
        <v/>
      </c>
      <c r="W90" s="51"/>
      <c r="X90" s="58" t="str">
        <f t="shared" si="29"/>
        <v/>
      </c>
    </row>
    <row r="91" spans="1:24" x14ac:dyDescent="0.35">
      <c r="A91" s="20">
        <v>81</v>
      </c>
      <c r="B91" s="46">
        <v>46748</v>
      </c>
      <c r="C91" s="59">
        <f t="shared" si="20"/>
        <v>246.91358024691357</v>
      </c>
      <c r="D91" s="48"/>
      <c r="E91" s="59">
        <f>SUM($C$11:C91)</f>
        <v>20000</v>
      </c>
      <c r="F91" s="59">
        <f>SUM($D$11:D91)</f>
        <v>0</v>
      </c>
      <c r="G91" s="49" t="str">
        <f>IF(COUNT($D$11:D91)=0,"",F91/E91)</f>
        <v/>
      </c>
      <c r="H91" s="50" t="str">
        <f t="shared" si="21"/>
        <v/>
      </c>
      <c r="I91" s="51"/>
      <c r="J91" s="52" t="str">
        <f t="shared" si="22"/>
        <v/>
      </c>
      <c r="K91" s="51"/>
      <c r="L91" s="52" t="str">
        <f t="shared" si="23"/>
        <v/>
      </c>
      <c r="M91" s="51"/>
      <c r="N91" s="52" t="str">
        <f t="shared" si="24"/>
        <v/>
      </c>
      <c r="O91" s="51"/>
      <c r="P91" s="52" t="str">
        <f t="shared" si="25"/>
        <v/>
      </c>
      <c r="Q91" s="51"/>
      <c r="R91" s="52" t="str">
        <f t="shared" si="26"/>
        <v/>
      </c>
      <c r="S91" s="53"/>
      <c r="T91" s="52" t="str">
        <f t="shared" si="27"/>
        <v/>
      </c>
      <c r="U91" s="51"/>
      <c r="V91" s="52" t="str">
        <f t="shared" si="28"/>
        <v/>
      </c>
      <c r="W91" s="51"/>
      <c r="X91" s="52" t="str">
        <f t="shared" si="29"/>
        <v/>
      </c>
    </row>
  </sheetData>
  <mergeCells count="17">
    <mergeCell ref="S9:T9"/>
    <mergeCell ref="U9:V9"/>
    <mergeCell ref="W9:X9"/>
    <mergeCell ref="I9:J9"/>
    <mergeCell ref="K9:L9"/>
    <mergeCell ref="M9:N9"/>
    <mergeCell ref="O9:P9"/>
    <mergeCell ref="Q9:R9"/>
    <mergeCell ref="A1:X1"/>
    <mergeCell ref="I8:J8"/>
    <mergeCell ref="K8:L8"/>
    <mergeCell ref="M8:N8"/>
    <mergeCell ref="O8:P8"/>
    <mergeCell ref="Q8:R8"/>
    <mergeCell ref="S8:T8"/>
    <mergeCell ref="U8:V8"/>
    <mergeCell ref="W8:X8"/>
  </mergeCells>
  <conditionalFormatting sqref="H11:H91">
    <cfRule type="containsText" dxfId="14" priority="2" operator="containsText" text="En meta">
      <formula>NOT(ISERROR(SEARCH("En meta",H11)))</formula>
    </cfRule>
    <cfRule type="containsText" dxfId="13" priority="3" operator="containsText" text="Riesgo">
      <formula>NOT(ISERROR(SEARCH("Riesgo",H11)))</formula>
    </cfRule>
    <cfRule type="containsText" dxfId="12" priority="4" operator="containsText" text="Atrasado">
      <formula>NOT(ISERROR(SEARCH("Atrasado",H11)))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1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ColWidth="8.6328125" defaultRowHeight="14.5" x14ac:dyDescent="0.35"/>
  <cols>
    <col min="1" max="1" width="5" customWidth="1"/>
    <col min="2" max="2" width="11" customWidth="1"/>
    <col min="3" max="3" width="12" customWidth="1"/>
    <col min="4" max="4" width="11" customWidth="1"/>
    <col min="5" max="6" width="12" customWidth="1"/>
    <col min="7" max="7" width="13" customWidth="1"/>
    <col min="8" max="9" width="11" customWidth="1"/>
    <col min="10" max="10" width="7" customWidth="1"/>
    <col min="11" max="11" width="11" customWidth="1"/>
    <col min="12" max="12" width="7" customWidth="1"/>
    <col min="13" max="13" width="11" customWidth="1"/>
    <col min="14" max="14" width="7" customWidth="1"/>
    <col min="15" max="15" width="11" customWidth="1"/>
    <col min="16" max="16" width="7" customWidth="1"/>
    <col min="17" max="17" width="11" customWidth="1"/>
    <col min="18" max="18" width="7" customWidth="1"/>
    <col min="19" max="19" width="11" customWidth="1"/>
    <col min="20" max="20" width="7" customWidth="1"/>
    <col min="21" max="21" width="11" customWidth="1"/>
    <col min="22" max="22" width="7" customWidth="1"/>
    <col min="23" max="23" width="11" customWidth="1"/>
    <col min="24" max="24" width="7" customWidth="1"/>
  </cols>
  <sheetData>
    <row r="1" spans="1:24" ht="18" x14ac:dyDescent="0.4">
      <c r="A1" s="4" t="s">
        <v>113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7" t="s">
        <v>46</v>
      </c>
      <c r="B2" s="38" t="s">
        <v>114</v>
      </c>
    </row>
    <row r="3" spans="1:24" x14ac:dyDescent="0.35">
      <c r="A3" s="7" t="s">
        <v>48</v>
      </c>
      <c r="B3" s="38" t="s">
        <v>115</v>
      </c>
    </row>
    <row r="4" spans="1:24" x14ac:dyDescent="0.35">
      <c r="A4" s="7" t="s">
        <v>50</v>
      </c>
      <c r="B4" s="39" t="s">
        <v>51</v>
      </c>
      <c r="D4" s="7" t="s">
        <v>52</v>
      </c>
      <c r="E4" s="38" t="s">
        <v>34</v>
      </c>
    </row>
    <row r="5" spans="1:24" x14ac:dyDescent="0.35">
      <c r="A5" s="7" t="s">
        <v>53</v>
      </c>
      <c r="B5" s="40">
        <v>0</v>
      </c>
      <c r="D5" s="7" t="s">
        <v>54</v>
      </c>
      <c r="E5" s="41">
        <v>46188</v>
      </c>
      <c r="G5" s="7" t="s">
        <v>55</v>
      </c>
      <c r="H5" s="41">
        <v>46748</v>
      </c>
    </row>
    <row r="6" spans="1:24" x14ac:dyDescent="0.35">
      <c r="A6" s="7" t="s">
        <v>56</v>
      </c>
      <c r="B6" s="38" t="s">
        <v>57</v>
      </c>
    </row>
    <row r="8" spans="1:24" ht="42" customHeight="1" x14ac:dyDescent="0.35">
      <c r="A8" s="7" t="s">
        <v>58</v>
      </c>
      <c r="B8" s="42">
        <f>COUNT(A11:A91)</f>
        <v>81</v>
      </c>
      <c r="H8" s="43" t="s">
        <v>59</v>
      </c>
      <c r="I8" s="3" t="s">
        <v>116</v>
      </c>
      <c r="J8" s="3"/>
      <c r="K8" s="3" t="s">
        <v>117</v>
      </c>
      <c r="L8" s="3"/>
      <c r="M8" s="3" t="s">
        <v>118</v>
      </c>
      <c r="N8" s="3"/>
      <c r="O8" s="3" t="s">
        <v>119</v>
      </c>
      <c r="P8" s="3"/>
      <c r="Q8" s="3" t="s">
        <v>120</v>
      </c>
      <c r="R8" s="3"/>
      <c r="S8" s="3" t="s">
        <v>121</v>
      </c>
      <c r="T8" s="3"/>
      <c r="U8" s="3" t="s">
        <v>67</v>
      </c>
      <c r="V8" s="3"/>
      <c r="W8" s="3" t="s">
        <v>67</v>
      </c>
      <c r="X8" s="3"/>
    </row>
    <row r="9" spans="1:24" x14ac:dyDescent="0.35">
      <c r="A9" s="44" t="s">
        <v>68</v>
      </c>
      <c r="H9" s="43" t="s">
        <v>69</v>
      </c>
      <c r="I9" s="1">
        <v>1</v>
      </c>
      <c r="J9" s="1"/>
      <c r="K9" s="2">
        <v>2</v>
      </c>
      <c r="L9" s="2"/>
      <c r="M9" s="2">
        <v>3</v>
      </c>
      <c r="N9" s="2"/>
      <c r="O9" s="2">
        <v>1</v>
      </c>
      <c r="P9" s="2"/>
      <c r="Q9" s="1">
        <v>1</v>
      </c>
      <c r="R9" s="1"/>
      <c r="S9" s="2">
        <v>1</v>
      </c>
      <c r="T9" s="2"/>
      <c r="U9" s="2"/>
      <c r="V9" s="2"/>
      <c r="W9" s="2"/>
      <c r="X9" s="2"/>
    </row>
    <row r="10" spans="1:24" x14ac:dyDescent="0.35">
      <c r="A10" s="9" t="s">
        <v>11</v>
      </c>
      <c r="B10" s="9" t="s">
        <v>70</v>
      </c>
      <c r="C10" s="9" t="s">
        <v>15</v>
      </c>
      <c r="D10" s="9" t="s">
        <v>72</v>
      </c>
      <c r="E10" s="9"/>
      <c r="F10" s="9"/>
      <c r="G10" s="9" t="s">
        <v>103</v>
      </c>
      <c r="H10" s="9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spans="1:24" x14ac:dyDescent="0.35">
      <c r="A11" s="20">
        <v>1</v>
      </c>
      <c r="B11" s="46">
        <v>46188</v>
      </c>
      <c r="C11" s="47">
        <f t="shared" ref="C11:C42" si="0">$B$5</f>
        <v>0</v>
      </c>
      <c r="D11" s="48"/>
      <c r="E11" s="20"/>
      <c r="F11" s="20"/>
      <c r="G11" s="65" t="str">
        <f t="shared" ref="G11:G42" si="1">IF(D11="","",D11-C11)</f>
        <v/>
      </c>
      <c r="H11" s="50" t="str">
        <f t="shared" ref="H11:H42" si="2">IF(D11="","",IF(D11&lt;=C11,"En meta",IF(D11&lt;=C11+1,"Riesgo","Atrasado")))</f>
        <v/>
      </c>
      <c r="I11" s="53"/>
      <c r="J11" s="52" t="str">
        <f t="shared" ref="J11:J42" si="3">IF(I11="","",IF($I$9="","",IF($I$9=0,"",I11/$I$9)))</f>
        <v/>
      </c>
      <c r="K11" s="51"/>
      <c r="L11" s="52" t="str">
        <f t="shared" ref="L11:L42" si="4">IF(K11="","",IF($K$9="","",IF($K$9=0,"",K11/$K$9)))</f>
        <v/>
      </c>
      <c r="M11" s="51"/>
      <c r="N11" s="52" t="str">
        <f t="shared" ref="N11:N42" si="5">IF(M11="","",IF($M$9="","",IF($M$9=0,"",M11/$M$9)))</f>
        <v/>
      </c>
      <c r="O11" s="51"/>
      <c r="P11" s="52" t="str">
        <f t="shared" ref="P11:P42" si="6">IF(O11="","",IF($O$9="","",IF($O$9=0,"",O11/$O$9)))</f>
        <v/>
      </c>
      <c r="Q11" s="53"/>
      <c r="R11" s="52" t="str">
        <f t="shared" ref="R11:R42" si="7">IF(Q11="","",IF($Q$9="","",IF($Q$9=0,"",Q11/$Q$9)))</f>
        <v/>
      </c>
      <c r="S11" s="51"/>
      <c r="T11" s="52" t="str">
        <f t="shared" ref="T11:T42" si="8">IF(S11="","",IF($S$9="","",IF($S$9=0,"",S11/$S$9)))</f>
        <v/>
      </c>
      <c r="U11" s="51"/>
      <c r="V11" s="52" t="str">
        <f t="shared" ref="V11:V42" si="9">IF(U11="","",IF($U$9="","",IF($U$9=0,"",U11/$U$9)))</f>
        <v/>
      </c>
      <c r="W11" s="51"/>
      <c r="X11" s="52" t="str">
        <f t="shared" ref="X11:X42" si="10">IF(W11="","",IF($W$9="","",IF($W$9=0,"",W11/$W$9)))</f>
        <v/>
      </c>
    </row>
    <row r="12" spans="1:24" x14ac:dyDescent="0.35">
      <c r="A12" s="27">
        <v>2</v>
      </c>
      <c r="B12" s="54">
        <v>46195</v>
      </c>
      <c r="C12" s="55">
        <f t="shared" si="0"/>
        <v>0</v>
      </c>
      <c r="D12" s="48"/>
      <c r="E12" s="27"/>
      <c r="F12" s="27"/>
      <c r="G12" s="66" t="str">
        <f t="shared" si="1"/>
        <v/>
      </c>
      <c r="H12" s="57" t="str">
        <f t="shared" si="2"/>
        <v/>
      </c>
      <c r="I12" s="53"/>
      <c r="J12" s="58" t="str">
        <f t="shared" si="3"/>
        <v/>
      </c>
      <c r="K12" s="51"/>
      <c r="L12" s="58" t="str">
        <f t="shared" si="4"/>
        <v/>
      </c>
      <c r="M12" s="51"/>
      <c r="N12" s="58" t="str">
        <f t="shared" si="5"/>
        <v/>
      </c>
      <c r="O12" s="51"/>
      <c r="P12" s="58" t="str">
        <f t="shared" si="6"/>
        <v/>
      </c>
      <c r="Q12" s="53"/>
      <c r="R12" s="58" t="str">
        <f t="shared" si="7"/>
        <v/>
      </c>
      <c r="S12" s="51"/>
      <c r="T12" s="58" t="str">
        <f t="shared" si="8"/>
        <v/>
      </c>
      <c r="U12" s="51"/>
      <c r="V12" s="58" t="str">
        <f t="shared" si="9"/>
        <v/>
      </c>
      <c r="W12" s="51"/>
      <c r="X12" s="58" t="str">
        <f t="shared" si="10"/>
        <v/>
      </c>
    </row>
    <row r="13" spans="1:24" x14ac:dyDescent="0.35">
      <c r="A13" s="20">
        <v>3</v>
      </c>
      <c r="B13" s="46">
        <v>46202</v>
      </c>
      <c r="C13" s="47">
        <f t="shared" si="0"/>
        <v>0</v>
      </c>
      <c r="D13" s="48"/>
      <c r="E13" s="20"/>
      <c r="F13" s="20"/>
      <c r="G13" s="65" t="str">
        <f t="shared" si="1"/>
        <v/>
      </c>
      <c r="H13" s="50" t="str">
        <f t="shared" si="2"/>
        <v/>
      </c>
      <c r="I13" s="53"/>
      <c r="J13" s="52" t="str">
        <f t="shared" si="3"/>
        <v/>
      </c>
      <c r="K13" s="51"/>
      <c r="L13" s="52" t="str">
        <f t="shared" si="4"/>
        <v/>
      </c>
      <c r="M13" s="51"/>
      <c r="N13" s="52" t="str">
        <f t="shared" si="5"/>
        <v/>
      </c>
      <c r="O13" s="51"/>
      <c r="P13" s="52" t="str">
        <f t="shared" si="6"/>
        <v/>
      </c>
      <c r="Q13" s="53"/>
      <c r="R13" s="52" t="str">
        <f t="shared" si="7"/>
        <v/>
      </c>
      <c r="S13" s="51"/>
      <c r="T13" s="52" t="str">
        <f t="shared" si="8"/>
        <v/>
      </c>
      <c r="U13" s="51"/>
      <c r="V13" s="52" t="str">
        <f t="shared" si="9"/>
        <v/>
      </c>
      <c r="W13" s="51"/>
      <c r="X13" s="52" t="str">
        <f t="shared" si="10"/>
        <v/>
      </c>
    </row>
    <row r="14" spans="1:24" x14ac:dyDescent="0.35">
      <c r="A14" s="27">
        <v>4</v>
      </c>
      <c r="B14" s="54">
        <v>46209</v>
      </c>
      <c r="C14" s="55">
        <f t="shared" si="0"/>
        <v>0</v>
      </c>
      <c r="D14" s="48"/>
      <c r="E14" s="27"/>
      <c r="F14" s="27"/>
      <c r="G14" s="66" t="str">
        <f t="shared" si="1"/>
        <v/>
      </c>
      <c r="H14" s="57" t="str">
        <f t="shared" si="2"/>
        <v/>
      </c>
      <c r="I14" s="53"/>
      <c r="J14" s="58" t="str">
        <f t="shared" si="3"/>
        <v/>
      </c>
      <c r="K14" s="51"/>
      <c r="L14" s="58" t="str">
        <f t="shared" si="4"/>
        <v/>
      </c>
      <c r="M14" s="51"/>
      <c r="N14" s="58" t="str">
        <f t="shared" si="5"/>
        <v/>
      </c>
      <c r="O14" s="51"/>
      <c r="P14" s="58" t="str">
        <f t="shared" si="6"/>
        <v/>
      </c>
      <c r="Q14" s="53"/>
      <c r="R14" s="58" t="str">
        <f t="shared" si="7"/>
        <v/>
      </c>
      <c r="S14" s="51"/>
      <c r="T14" s="58" t="str">
        <f t="shared" si="8"/>
        <v/>
      </c>
      <c r="U14" s="51"/>
      <c r="V14" s="58" t="str">
        <f t="shared" si="9"/>
        <v/>
      </c>
      <c r="W14" s="51"/>
      <c r="X14" s="58" t="str">
        <f t="shared" si="10"/>
        <v/>
      </c>
    </row>
    <row r="15" spans="1:24" x14ac:dyDescent="0.35">
      <c r="A15" s="20">
        <v>5</v>
      </c>
      <c r="B15" s="46">
        <v>46216</v>
      </c>
      <c r="C15" s="47">
        <f t="shared" si="0"/>
        <v>0</v>
      </c>
      <c r="D15" s="48"/>
      <c r="E15" s="20"/>
      <c r="F15" s="20"/>
      <c r="G15" s="65" t="str">
        <f t="shared" si="1"/>
        <v/>
      </c>
      <c r="H15" s="50" t="str">
        <f t="shared" si="2"/>
        <v/>
      </c>
      <c r="I15" s="53"/>
      <c r="J15" s="52" t="str">
        <f t="shared" si="3"/>
        <v/>
      </c>
      <c r="K15" s="51"/>
      <c r="L15" s="52" t="str">
        <f t="shared" si="4"/>
        <v/>
      </c>
      <c r="M15" s="51"/>
      <c r="N15" s="52" t="str">
        <f t="shared" si="5"/>
        <v/>
      </c>
      <c r="O15" s="51"/>
      <c r="P15" s="52" t="str">
        <f t="shared" si="6"/>
        <v/>
      </c>
      <c r="Q15" s="53"/>
      <c r="R15" s="52" t="str">
        <f t="shared" si="7"/>
        <v/>
      </c>
      <c r="S15" s="51"/>
      <c r="T15" s="52" t="str">
        <f t="shared" si="8"/>
        <v/>
      </c>
      <c r="U15" s="51"/>
      <c r="V15" s="52" t="str">
        <f t="shared" si="9"/>
        <v/>
      </c>
      <c r="W15" s="51"/>
      <c r="X15" s="52" t="str">
        <f t="shared" si="10"/>
        <v/>
      </c>
    </row>
    <row r="16" spans="1:24" x14ac:dyDescent="0.35">
      <c r="A16" s="27">
        <v>6</v>
      </c>
      <c r="B16" s="54">
        <v>46223</v>
      </c>
      <c r="C16" s="55">
        <f t="shared" si="0"/>
        <v>0</v>
      </c>
      <c r="D16" s="48"/>
      <c r="E16" s="27"/>
      <c r="F16" s="27"/>
      <c r="G16" s="66" t="str">
        <f t="shared" si="1"/>
        <v/>
      </c>
      <c r="H16" s="57" t="str">
        <f t="shared" si="2"/>
        <v/>
      </c>
      <c r="I16" s="53"/>
      <c r="J16" s="58" t="str">
        <f t="shared" si="3"/>
        <v/>
      </c>
      <c r="K16" s="51"/>
      <c r="L16" s="58" t="str">
        <f t="shared" si="4"/>
        <v/>
      </c>
      <c r="M16" s="51"/>
      <c r="N16" s="58" t="str">
        <f t="shared" si="5"/>
        <v/>
      </c>
      <c r="O16" s="51"/>
      <c r="P16" s="58" t="str">
        <f t="shared" si="6"/>
        <v/>
      </c>
      <c r="Q16" s="53"/>
      <c r="R16" s="58" t="str">
        <f t="shared" si="7"/>
        <v/>
      </c>
      <c r="S16" s="51"/>
      <c r="T16" s="58" t="str">
        <f t="shared" si="8"/>
        <v/>
      </c>
      <c r="U16" s="51"/>
      <c r="V16" s="58" t="str">
        <f t="shared" si="9"/>
        <v/>
      </c>
      <c r="W16" s="51"/>
      <c r="X16" s="58" t="str">
        <f t="shared" si="10"/>
        <v/>
      </c>
    </row>
    <row r="17" spans="1:24" x14ac:dyDescent="0.35">
      <c r="A17" s="20">
        <v>7</v>
      </c>
      <c r="B17" s="46">
        <v>46230</v>
      </c>
      <c r="C17" s="47">
        <f t="shared" si="0"/>
        <v>0</v>
      </c>
      <c r="D17" s="48"/>
      <c r="E17" s="20"/>
      <c r="F17" s="20"/>
      <c r="G17" s="65" t="str">
        <f t="shared" si="1"/>
        <v/>
      </c>
      <c r="H17" s="50" t="str">
        <f t="shared" si="2"/>
        <v/>
      </c>
      <c r="I17" s="53"/>
      <c r="J17" s="52" t="str">
        <f t="shared" si="3"/>
        <v/>
      </c>
      <c r="K17" s="51"/>
      <c r="L17" s="52" t="str">
        <f t="shared" si="4"/>
        <v/>
      </c>
      <c r="M17" s="51"/>
      <c r="N17" s="52" t="str">
        <f t="shared" si="5"/>
        <v/>
      </c>
      <c r="O17" s="51"/>
      <c r="P17" s="52" t="str">
        <f t="shared" si="6"/>
        <v/>
      </c>
      <c r="Q17" s="53"/>
      <c r="R17" s="52" t="str">
        <f t="shared" si="7"/>
        <v/>
      </c>
      <c r="S17" s="51"/>
      <c r="T17" s="52" t="str">
        <f t="shared" si="8"/>
        <v/>
      </c>
      <c r="U17" s="51"/>
      <c r="V17" s="52" t="str">
        <f t="shared" si="9"/>
        <v/>
      </c>
      <c r="W17" s="51"/>
      <c r="X17" s="52" t="str">
        <f t="shared" si="10"/>
        <v/>
      </c>
    </row>
    <row r="18" spans="1:24" x14ac:dyDescent="0.35">
      <c r="A18" s="27">
        <v>8</v>
      </c>
      <c r="B18" s="54">
        <v>46237</v>
      </c>
      <c r="C18" s="55">
        <f t="shared" si="0"/>
        <v>0</v>
      </c>
      <c r="D18" s="48"/>
      <c r="E18" s="27"/>
      <c r="F18" s="27"/>
      <c r="G18" s="66" t="str">
        <f t="shared" si="1"/>
        <v/>
      </c>
      <c r="H18" s="57" t="str">
        <f t="shared" si="2"/>
        <v/>
      </c>
      <c r="I18" s="53"/>
      <c r="J18" s="58" t="str">
        <f t="shared" si="3"/>
        <v/>
      </c>
      <c r="K18" s="51"/>
      <c r="L18" s="58" t="str">
        <f t="shared" si="4"/>
        <v/>
      </c>
      <c r="M18" s="51"/>
      <c r="N18" s="58" t="str">
        <f t="shared" si="5"/>
        <v/>
      </c>
      <c r="O18" s="51"/>
      <c r="P18" s="58" t="str">
        <f t="shared" si="6"/>
        <v/>
      </c>
      <c r="Q18" s="53"/>
      <c r="R18" s="58" t="str">
        <f t="shared" si="7"/>
        <v/>
      </c>
      <c r="S18" s="51"/>
      <c r="T18" s="58" t="str">
        <f t="shared" si="8"/>
        <v/>
      </c>
      <c r="U18" s="51"/>
      <c r="V18" s="58" t="str">
        <f t="shared" si="9"/>
        <v/>
      </c>
      <c r="W18" s="51"/>
      <c r="X18" s="58" t="str">
        <f t="shared" si="10"/>
        <v/>
      </c>
    </row>
    <row r="19" spans="1:24" x14ac:dyDescent="0.35">
      <c r="A19" s="20">
        <v>9</v>
      </c>
      <c r="B19" s="46">
        <v>46244</v>
      </c>
      <c r="C19" s="47">
        <f t="shared" si="0"/>
        <v>0</v>
      </c>
      <c r="D19" s="48"/>
      <c r="E19" s="20"/>
      <c r="F19" s="20"/>
      <c r="G19" s="65" t="str">
        <f t="shared" si="1"/>
        <v/>
      </c>
      <c r="H19" s="50" t="str">
        <f t="shared" si="2"/>
        <v/>
      </c>
      <c r="I19" s="53"/>
      <c r="J19" s="52" t="str">
        <f t="shared" si="3"/>
        <v/>
      </c>
      <c r="K19" s="51"/>
      <c r="L19" s="52" t="str">
        <f t="shared" si="4"/>
        <v/>
      </c>
      <c r="M19" s="51"/>
      <c r="N19" s="52" t="str">
        <f t="shared" si="5"/>
        <v/>
      </c>
      <c r="O19" s="51"/>
      <c r="P19" s="52" t="str">
        <f t="shared" si="6"/>
        <v/>
      </c>
      <c r="Q19" s="53"/>
      <c r="R19" s="52" t="str">
        <f t="shared" si="7"/>
        <v/>
      </c>
      <c r="S19" s="51"/>
      <c r="T19" s="52" t="str">
        <f t="shared" si="8"/>
        <v/>
      </c>
      <c r="U19" s="51"/>
      <c r="V19" s="52" t="str">
        <f t="shared" si="9"/>
        <v/>
      </c>
      <c r="W19" s="51"/>
      <c r="X19" s="52" t="str">
        <f t="shared" si="10"/>
        <v/>
      </c>
    </row>
    <row r="20" spans="1:24" x14ac:dyDescent="0.35">
      <c r="A20" s="27">
        <v>10</v>
      </c>
      <c r="B20" s="54">
        <v>46251</v>
      </c>
      <c r="C20" s="55">
        <f t="shared" si="0"/>
        <v>0</v>
      </c>
      <c r="D20" s="48"/>
      <c r="E20" s="27"/>
      <c r="F20" s="27"/>
      <c r="G20" s="66" t="str">
        <f t="shared" si="1"/>
        <v/>
      </c>
      <c r="H20" s="57" t="str">
        <f t="shared" si="2"/>
        <v/>
      </c>
      <c r="I20" s="53"/>
      <c r="J20" s="58" t="str">
        <f t="shared" si="3"/>
        <v/>
      </c>
      <c r="K20" s="51"/>
      <c r="L20" s="58" t="str">
        <f t="shared" si="4"/>
        <v/>
      </c>
      <c r="M20" s="51"/>
      <c r="N20" s="58" t="str">
        <f t="shared" si="5"/>
        <v/>
      </c>
      <c r="O20" s="51"/>
      <c r="P20" s="58" t="str">
        <f t="shared" si="6"/>
        <v/>
      </c>
      <c r="Q20" s="53"/>
      <c r="R20" s="58" t="str">
        <f t="shared" si="7"/>
        <v/>
      </c>
      <c r="S20" s="51"/>
      <c r="T20" s="58" t="str">
        <f t="shared" si="8"/>
        <v/>
      </c>
      <c r="U20" s="51"/>
      <c r="V20" s="58" t="str">
        <f t="shared" si="9"/>
        <v/>
      </c>
      <c r="W20" s="51"/>
      <c r="X20" s="58" t="str">
        <f t="shared" si="10"/>
        <v/>
      </c>
    </row>
    <row r="21" spans="1:24" x14ac:dyDescent="0.35">
      <c r="A21" s="20">
        <v>11</v>
      </c>
      <c r="B21" s="46">
        <v>46258</v>
      </c>
      <c r="C21" s="47">
        <f t="shared" si="0"/>
        <v>0</v>
      </c>
      <c r="D21" s="48"/>
      <c r="E21" s="20"/>
      <c r="F21" s="20"/>
      <c r="G21" s="65" t="str">
        <f t="shared" si="1"/>
        <v/>
      </c>
      <c r="H21" s="50" t="str">
        <f t="shared" si="2"/>
        <v/>
      </c>
      <c r="I21" s="53"/>
      <c r="J21" s="52" t="str">
        <f t="shared" si="3"/>
        <v/>
      </c>
      <c r="K21" s="51"/>
      <c r="L21" s="52" t="str">
        <f t="shared" si="4"/>
        <v/>
      </c>
      <c r="M21" s="51"/>
      <c r="N21" s="52" t="str">
        <f t="shared" si="5"/>
        <v/>
      </c>
      <c r="O21" s="51"/>
      <c r="P21" s="52" t="str">
        <f t="shared" si="6"/>
        <v/>
      </c>
      <c r="Q21" s="53"/>
      <c r="R21" s="52" t="str">
        <f t="shared" si="7"/>
        <v/>
      </c>
      <c r="S21" s="51"/>
      <c r="T21" s="52" t="str">
        <f t="shared" si="8"/>
        <v/>
      </c>
      <c r="U21" s="51"/>
      <c r="V21" s="52" t="str">
        <f t="shared" si="9"/>
        <v/>
      </c>
      <c r="W21" s="51"/>
      <c r="X21" s="52" t="str">
        <f t="shared" si="10"/>
        <v/>
      </c>
    </row>
    <row r="22" spans="1:24" x14ac:dyDescent="0.35">
      <c r="A22" s="27">
        <v>12</v>
      </c>
      <c r="B22" s="54">
        <v>46265</v>
      </c>
      <c r="C22" s="55">
        <f t="shared" si="0"/>
        <v>0</v>
      </c>
      <c r="D22" s="48"/>
      <c r="E22" s="27"/>
      <c r="F22" s="27"/>
      <c r="G22" s="66" t="str">
        <f t="shared" si="1"/>
        <v/>
      </c>
      <c r="H22" s="57" t="str">
        <f t="shared" si="2"/>
        <v/>
      </c>
      <c r="I22" s="53"/>
      <c r="J22" s="58" t="str">
        <f t="shared" si="3"/>
        <v/>
      </c>
      <c r="K22" s="51"/>
      <c r="L22" s="58" t="str">
        <f t="shared" si="4"/>
        <v/>
      </c>
      <c r="M22" s="51"/>
      <c r="N22" s="58" t="str">
        <f t="shared" si="5"/>
        <v/>
      </c>
      <c r="O22" s="51"/>
      <c r="P22" s="58" t="str">
        <f t="shared" si="6"/>
        <v/>
      </c>
      <c r="Q22" s="53"/>
      <c r="R22" s="58" t="str">
        <f t="shared" si="7"/>
        <v/>
      </c>
      <c r="S22" s="51"/>
      <c r="T22" s="58" t="str">
        <f t="shared" si="8"/>
        <v/>
      </c>
      <c r="U22" s="51"/>
      <c r="V22" s="58" t="str">
        <f t="shared" si="9"/>
        <v/>
      </c>
      <c r="W22" s="51"/>
      <c r="X22" s="58" t="str">
        <f t="shared" si="10"/>
        <v/>
      </c>
    </row>
    <row r="23" spans="1:24" x14ac:dyDescent="0.35">
      <c r="A23" s="20">
        <v>13</v>
      </c>
      <c r="B23" s="46">
        <v>46272</v>
      </c>
      <c r="C23" s="47">
        <f t="shared" si="0"/>
        <v>0</v>
      </c>
      <c r="D23" s="48"/>
      <c r="E23" s="20"/>
      <c r="F23" s="20"/>
      <c r="G23" s="65" t="str">
        <f t="shared" si="1"/>
        <v/>
      </c>
      <c r="H23" s="50" t="str">
        <f t="shared" si="2"/>
        <v/>
      </c>
      <c r="I23" s="53"/>
      <c r="J23" s="52" t="str">
        <f t="shared" si="3"/>
        <v/>
      </c>
      <c r="K23" s="51"/>
      <c r="L23" s="52" t="str">
        <f t="shared" si="4"/>
        <v/>
      </c>
      <c r="M23" s="51"/>
      <c r="N23" s="52" t="str">
        <f t="shared" si="5"/>
        <v/>
      </c>
      <c r="O23" s="51"/>
      <c r="P23" s="52" t="str">
        <f t="shared" si="6"/>
        <v/>
      </c>
      <c r="Q23" s="53"/>
      <c r="R23" s="52" t="str">
        <f t="shared" si="7"/>
        <v/>
      </c>
      <c r="S23" s="51"/>
      <c r="T23" s="52" t="str">
        <f t="shared" si="8"/>
        <v/>
      </c>
      <c r="U23" s="51"/>
      <c r="V23" s="52" t="str">
        <f t="shared" si="9"/>
        <v/>
      </c>
      <c r="W23" s="51"/>
      <c r="X23" s="52" t="str">
        <f t="shared" si="10"/>
        <v/>
      </c>
    </row>
    <row r="24" spans="1:24" x14ac:dyDescent="0.35">
      <c r="A24" s="27">
        <v>14</v>
      </c>
      <c r="B24" s="54">
        <v>46279</v>
      </c>
      <c r="C24" s="55">
        <f t="shared" si="0"/>
        <v>0</v>
      </c>
      <c r="D24" s="48"/>
      <c r="E24" s="27"/>
      <c r="F24" s="27"/>
      <c r="G24" s="66" t="str">
        <f t="shared" si="1"/>
        <v/>
      </c>
      <c r="H24" s="57" t="str">
        <f t="shared" si="2"/>
        <v/>
      </c>
      <c r="I24" s="53"/>
      <c r="J24" s="58" t="str">
        <f t="shared" si="3"/>
        <v/>
      </c>
      <c r="K24" s="51"/>
      <c r="L24" s="58" t="str">
        <f t="shared" si="4"/>
        <v/>
      </c>
      <c r="M24" s="51"/>
      <c r="N24" s="58" t="str">
        <f t="shared" si="5"/>
        <v/>
      </c>
      <c r="O24" s="51"/>
      <c r="P24" s="58" t="str">
        <f t="shared" si="6"/>
        <v/>
      </c>
      <c r="Q24" s="53"/>
      <c r="R24" s="58" t="str">
        <f t="shared" si="7"/>
        <v/>
      </c>
      <c r="S24" s="51"/>
      <c r="T24" s="58" t="str">
        <f t="shared" si="8"/>
        <v/>
      </c>
      <c r="U24" s="51"/>
      <c r="V24" s="58" t="str">
        <f t="shared" si="9"/>
        <v/>
      </c>
      <c r="W24" s="51"/>
      <c r="X24" s="58" t="str">
        <f t="shared" si="10"/>
        <v/>
      </c>
    </row>
    <row r="25" spans="1:24" x14ac:dyDescent="0.35">
      <c r="A25" s="20">
        <v>15</v>
      </c>
      <c r="B25" s="46">
        <v>46286</v>
      </c>
      <c r="C25" s="47">
        <f t="shared" si="0"/>
        <v>0</v>
      </c>
      <c r="D25" s="48"/>
      <c r="E25" s="20"/>
      <c r="F25" s="20"/>
      <c r="G25" s="65" t="str">
        <f t="shared" si="1"/>
        <v/>
      </c>
      <c r="H25" s="50" t="str">
        <f t="shared" si="2"/>
        <v/>
      </c>
      <c r="I25" s="53"/>
      <c r="J25" s="52" t="str">
        <f t="shared" si="3"/>
        <v/>
      </c>
      <c r="K25" s="51"/>
      <c r="L25" s="52" t="str">
        <f t="shared" si="4"/>
        <v/>
      </c>
      <c r="M25" s="51"/>
      <c r="N25" s="52" t="str">
        <f t="shared" si="5"/>
        <v/>
      </c>
      <c r="O25" s="51"/>
      <c r="P25" s="52" t="str">
        <f t="shared" si="6"/>
        <v/>
      </c>
      <c r="Q25" s="53"/>
      <c r="R25" s="52" t="str">
        <f t="shared" si="7"/>
        <v/>
      </c>
      <c r="S25" s="51"/>
      <c r="T25" s="52" t="str">
        <f t="shared" si="8"/>
        <v/>
      </c>
      <c r="U25" s="51"/>
      <c r="V25" s="52" t="str">
        <f t="shared" si="9"/>
        <v/>
      </c>
      <c r="W25" s="51"/>
      <c r="X25" s="52" t="str">
        <f t="shared" si="10"/>
        <v/>
      </c>
    </row>
    <row r="26" spans="1:24" x14ac:dyDescent="0.35">
      <c r="A26" s="27">
        <v>16</v>
      </c>
      <c r="B26" s="54">
        <v>46293</v>
      </c>
      <c r="C26" s="55">
        <f t="shared" si="0"/>
        <v>0</v>
      </c>
      <c r="D26" s="48"/>
      <c r="E26" s="27"/>
      <c r="F26" s="27"/>
      <c r="G26" s="66" t="str">
        <f t="shared" si="1"/>
        <v/>
      </c>
      <c r="H26" s="57" t="str">
        <f t="shared" si="2"/>
        <v/>
      </c>
      <c r="I26" s="53"/>
      <c r="J26" s="58" t="str">
        <f t="shared" si="3"/>
        <v/>
      </c>
      <c r="K26" s="51"/>
      <c r="L26" s="58" t="str">
        <f t="shared" si="4"/>
        <v/>
      </c>
      <c r="M26" s="51"/>
      <c r="N26" s="58" t="str">
        <f t="shared" si="5"/>
        <v/>
      </c>
      <c r="O26" s="51"/>
      <c r="P26" s="58" t="str">
        <f t="shared" si="6"/>
        <v/>
      </c>
      <c r="Q26" s="53"/>
      <c r="R26" s="58" t="str">
        <f t="shared" si="7"/>
        <v/>
      </c>
      <c r="S26" s="51"/>
      <c r="T26" s="58" t="str">
        <f t="shared" si="8"/>
        <v/>
      </c>
      <c r="U26" s="51"/>
      <c r="V26" s="58" t="str">
        <f t="shared" si="9"/>
        <v/>
      </c>
      <c r="W26" s="51"/>
      <c r="X26" s="58" t="str">
        <f t="shared" si="10"/>
        <v/>
      </c>
    </row>
    <row r="27" spans="1:24" x14ac:dyDescent="0.35">
      <c r="A27" s="20">
        <v>17</v>
      </c>
      <c r="B27" s="46">
        <v>46300</v>
      </c>
      <c r="C27" s="47">
        <f t="shared" si="0"/>
        <v>0</v>
      </c>
      <c r="D27" s="48"/>
      <c r="E27" s="20"/>
      <c r="F27" s="20"/>
      <c r="G27" s="65" t="str">
        <f t="shared" si="1"/>
        <v/>
      </c>
      <c r="H27" s="50" t="str">
        <f t="shared" si="2"/>
        <v/>
      </c>
      <c r="I27" s="53"/>
      <c r="J27" s="52" t="str">
        <f t="shared" si="3"/>
        <v/>
      </c>
      <c r="K27" s="51"/>
      <c r="L27" s="52" t="str">
        <f t="shared" si="4"/>
        <v/>
      </c>
      <c r="M27" s="51"/>
      <c r="N27" s="52" t="str">
        <f t="shared" si="5"/>
        <v/>
      </c>
      <c r="O27" s="51"/>
      <c r="P27" s="52" t="str">
        <f t="shared" si="6"/>
        <v/>
      </c>
      <c r="Q27" s="53"/>
      <c r="R27" s="52" t="str">
        <f t="shared" si="7"/>
        <v/>
      </c>
      <c r="S27" s="51"/>
      <c r="T27" s="52" t="str">
        <f t="shared" si="8"/>
        <v/>
      </c>
      <c r="U27" s="51"/>
      <c r="V27" s="52" t="str">
        <f t="shared" si="9"/>
        <v/>
      </c>
      <c r="W27" s="51"/>
      <c r="X27" s="52" t="str">
        <f t="shared" si="10"/>
        <v/>
      </c>
    </row>
    <row r="28" spans="1:24" x14ac:dyDescent="0.35">
      <c r="A28" s="27">
        <v>18</v>
      </c>
      <c r="B28" s="54">
        <v>46307</v>
      </c>
      <c r="C28" s="55">
        <f t="shared" si="0"/>
        <v>0</v>
      </c>
      <c r="D28" s="48"/>
      <c r="E28" s="27"/>
      <c r="F28" s="27"/>
      <c r="G28" s="66" t="str">
        <f t="shared" si="1"/>
        <v/>
      </c>
      <c r="H28" s="57" t="str">
        <f t="shared" si="2"/>
        <v/>
      </c>
      <c r="I28" s="53"/>
      <c r="J28" s="58" t="str">
        <f t="shared" si="3"/>
        <v/>
      </c>
      <c r="K28" s="51"/>
      <c r="L28" s="58" t="str">
        <f t="shared" si="4"/>
        <v/>
      </c>
      <c r="M28" s="51"/>
      <c r="N28" s="58" t="str">
        <f t="shared" si="5"/>
        <v/>
      </c>
      <c r="O28" s="51"/>
      <c r="P28" s="58" t="str">
        <f t="shared" si="6"/>
        <v/>
      </c>
      <c r="Q28" s="53"/>
      <c r="R28" s="58" t="str">
        <f t="shared" si="7"/>
        <v/>
      </c>
      <c r="S28" s="51"/>
      <c r="T28" s="58" t="str">
        <f t="shared" si="8"/>
        <v/>
      </c>
      <c r="U28" s="51"/>
      <c r="V28" s="58" t="str">
        <f t="shared" si="9"/>
        <v/>
      </c>
      <c r="W28" s="51"/>
      <c r="X28" s="58" t="str">
        <f t="shared" si="10"/>
        <v/>
      </c>
    </row>
    <row r="29" spans="1:24" x14ac:dyDescent="0.35">
      <c r="A29" s="20">
        <v>19</v>
      </c>
      <c r="B29" s="46">
        <v>46314</v>
      </c>
      <c r="C29" s="47">
        <f t="shared" si="0"/>
        <v>0</v>
      </c>
      <c r="D29" s="48"/>
      <c r="E29" s="20"/>
      <c r="F29" s="20"/>
      <c r="G29" s="65" t="str">
        <f t="shared" si="1"/>
        <v/>
      </c>
      <c r="H29" s="50" t="str">
        <f t="shared" si="2"/>
        <v/>
      </c>
      <c r="I29" s="53"/>
      <c r="J29" s="52" t="str">
        <f t="shared" si="3"/>
        <v/>
      </c>
      <c r="K29" s="51"/>
      <c r="L29" s="52" t="str">
        <f t="shared" si="4"/>
        <v/>
      </c>
      <c r="M29" s="51"/>
      <c r="N29" s="52" t="str">
        <f t="shared" si="5"/>
        <v/>
      </c>
      <c r="O29" s="51"/>
      <c r="P29" s="52" t="str">
        <f t="shared" si="6"/>
        <v/>
      </c>
      <c r="Q29" s="53"/>
      <c r="R29" s="52" t="str">
        <f t="shared" si="7"/>
        <v/>
      </c>
      <c r="S29" s="51"/>
      <c r="T29" s="52" t="str">
        <f t="shared" si="8"/>
        <v/>
      </c>
      <c r="U29" s="51"/>
      <c r="V29" s="52" t="str">
        <f t="shared" si="9"/>
        <v/>
      </c>
      <c r="W29" s="51"/>
      <c r="X29" s="52" t="str">
        <f t="shared" si="10"/>
        <v/>
      </c>
    </row>
    <row r="30" spans="1:24" x14ac:dyDescent="0.35">
      <c r="A30" s="27">
        <v>20</v>
      </c>
      <c r="B30" s="54">
        <v>46321</v>
      </c>
      <c r="C30" s="55">
        <f t="shared" si="0"/>
        <v>0</v>
      </c>
      <c r="D30" s="48"/>
      <c r="E30" s="27"/>
      <c r="F30" s="27"/>
      <c r="G30" s="66" t="str">
        <f t="shared" si="1"/>
        <v/>
      </c>
      <c r="H30" s="57" t="str">
        <f t="shared" si="2"/>
        <v/>
      </c>
      <c r="I30" s="53"/>
      <c r="J30" s="58" t="str">
        <f t="shared" si="3"/>
        <v/>
      </c>
      <c r="K30" s="51"/>
      <c r="L30" s="58" t="str">
        <f t="shared" si="4"/>
        <v/>
      </c>
      <c r="M30" s="51"/>
      <c r="N30" s="58" t="str">
        <f t="shared" si="5"/>
        <v/>
      </c>
      <c r="O30" s="51"/>
      <c r="P30" s="58" t="str">
        <f t="shared" si="6"/>
        <v/>
      </c>
      <c r="Q30" s="53"/>
      <c r="R30" s="58" t="str">
        <f t="shared" si="7"/>
        <v/>
      </c>
      <c r="S30" s="51"/>
      <c r="T30" s="58" t="str">
        <f t="shared" si="8"/>
        <v/>
      </c>
      <c r="U30" s="51"/>
      <c r="V30" s="58" t="str">
        <f t="shared" si="9"/>
        <v/>
      </c>
      <c r="W30" s="51"/>
      <c r="X30" s="58" t="str">
        <f t="shared" si="10"/>
        <v/>
      </c>
    </row>
    <row r="31" spans="1:24" x14ac:dyDescent="0.35">
      <c r="A31" s="20">
        <v>21</v>
      </c>
      <c r="B31" s="46">
        <v>46328</v>
      </c>
      <c r="C31" s="47">
        <f t="shared" si="0"/>
        <v>0</v>
      </c>
      <c r="D31" s="48"/>
      <c r="E31" s="20"/>
      <c r="F31" s="20"/>
      <c r="G31" s="65" t="str">
        <f t="shared" si="1"/>
        <v/>
      </c>
      <c r="H31" s="50" t="str">
        <f t="shared" si="2"/>
        <v/>
      </c>
      <c r="I31" s="53"/>
      <c r="J31" s="52" t="str">
        <f t="shared" si="3"/>
        <v/>
      </c>
      <c r="K31" s="51"/>
      <c r="L31" s="52" t="str">
        <f t="shared" si="4"/>
        <v/>
      </c>
      <c r="M31" s="51"/>
      <c r="N31" s="52" t="str">
        <f t="shared" si="5"/>
        <v/>
      </c>
      <c r="O31" s="51"/>
      <c r="P31" s="52" t="str">
        <f t="shared" si="6"/>
        <v/>
      </c>
      <c r="Q31" s="53"/>
      <c r="R31" s="52" t="str">
        <f t="shared" si="7"/>
        <v/>
      </c>
      <c r="S31" s="51"/>
      <c r="T31" s="52" t="str">
        <f t="shared" si="8"/>
        <v/>
      </c>
      <c r="U31" s="51"/>
      <c r="V31" s="52" t="str">
        <f t="shared" si="9"/>
        <v/>
      </c>
      <c r="W31" s="51"/>
      <c r="X31" s="52" t="str">
        <f t="shared" si="10"/>
        <v/>
      </c>
    </row>
    <row r="32" spans="1:24" x14ac:dyDescent="0.35">
      <c r="A32" s="27">
        <v>22</v>
      </c>
      <c r="B32" s="54">
        <v>46335</v>
      </c>
      <c r="C32" s="55">
        <f t="shared" si="0"/>
        <v>0</v>
      </c>
      <c r="D32" s="48"/>
      <c r="E32" s="27"/>
      <c r="F32" s="27"/>
      <c r="G32" s="66" t="str">
        <f t="shared" si="1"/>
        <v/>
      </c>
      <c r="H32" s="57" t="str">
        <f t="shared" si="2"/>
        <v/>
      </c>
      <c r="I32" s="53"/>
      <c r="J32" s="58" t="str">
        <f t="shared" si="3"/>
        <v/>
      </c>
      <c r="K32" s="51"/>
      <c r="L32" s="58" t="str">
        <f t="shared" si="4"/>
        <v/>
      </c>
      <c r="M32" s="51"/>
      <c r="N32" s="58" t="str">
        <f t="shared" si="5"/>
        <v/>
      </c>
      <c r="O32" s="51"/>
      <c r="P32" s="58" t="str">
        <f t="shared" si="6"/>
        <v/>
      </c>
      <c r="Q32" s="53"/>
      <c r="R32" s="58" t="str">
        <f t="shared" si="7"/>
        <v/>
      </c>
      <c r="S32" s="51"/>
      <c r="T32" s="58" t="str">
        <f t="shared" si="8"/>
        <v/>
      </c>
      <c r="U32" s="51"/>
      <c r="V32" s="58" t="str">
        <f t="shared" si="9"/>
        <v/>
      </c>
      <c r="W32" s="51"/>
      <c r="X32" s="58" t="str">
        <f t="shared" si="10"/>
        <v/>
      </c>
    </row>
    <row r="33" spans="1:24" x14ac:dyDescent="0.35">
      <c r="A33" s="20">
        <v>23</v>
      </c>
      <c r="B33" s="46">
        <v>46342</v>
      </c>
      <c r="C33" s="47">
        <f t="shared" si="0"/>
        <v>0</v>
      </c>
      <c r="D33" s="48"/>
      <c r="E33" s="20"/>
      <c r="F33" s="20"/>
      <c r="G33" s="65" t="str">
        <f t="shared" si="1"/>
        <v/>
      </c>
      <c r="H33" s="50" t="str">
        <f t="shared" si="2"/>
        <v/>
      </c>
      <c r="I33" s="53"/>
      <c r="J33" s="52" t="str">
        <f t="shared" si="3"/>
        <v/>
      </c>
      <c r="K33" s="51"/>
      <c r="L33" s="52" t="str">
        <f t="shared" si="4"/>
        <v/>
      </c>
      <c r="M33" s="51"/>
      <c r="N33" s="52" t="str">
        <f t="shared" si="5"/>
        <v/>
      </c>
      <c r="O33" s="51"/>
      <c r="P33" s="52" t="str">
        <f t="shared" si="6"/>
        <v/>
      </c>
      <c r="Q33" s="53"/>
      <c r="R33" s="52" t="str">
        <f t="shared" si="7"/>
        <v/>
      </c>
      <c r="S33" s="51"/>
      <c r="T33" s="52" t="str">
        <f t="shared" si="8"/>
        <v/>
      </c>
      <c r="U33" s="51"/>
      <c r="V33" s="52" t="str">
        <f t="shared" si="9"/>
        <v/>
      </c>
      <c r="W33" s="51"/>
      <c r="X33" s="52" t="str">
        <f t="shared" si="10"/>
        <v/>
      </c>
    </row>
    <row r="34" spans="1:24" x14ac:dyDescent="0.35">
      <c r="A34" s="27">
        <v>24</v>
      </c>
      <c r="B34" s="54">
        <v>46349</v>
      </c>
      <c r="C34" s="55">
        <f t="shared" si="0"/>
        <v>0</v>
      </c>
      <c r="D34" s="48"/>
      <c r="E34" s="27"/>
      <c r="F34" s="27"/>
      <c r="G34" s="66" t="str">
        <f t="shared" si="1"/>
        <v/>
      </c>
      <c r="H34" s="57" t="str">
        <f t="shared" si="2"/>
        <v/>
      </c>
      <c r="I34" s="53"/>
      <c r="J34" s="58" t="str">
        <f t="shared" si="3"/>
        <v/>
      </c>
      <c r="K34" s="51"/>
      <c r="L34" s="58" t="str">
        <f t="shared" si="4"/>
        <v/>
      </c>
      <c r="M34" s="51"/>
      <c r="N34" s="58" t="str">
        <f t="shared" si="5"/>
        <v/>
      </c>
      <c r="O34" s="51"/>
      <c r="P34" s="58" t="str">
        <f t="shared" si="6"/>
        <v/>
      </c>
      <c r="Q34" s="53"/>
      <c r="R34" s="58" t="str">
        <f t="shared" si="7"/>
        <v/>
      </c>
      <c r="S34" s="51"/>
      <c r="T34" s="58" t="str">
        <f t="shared" si="8"/>
        <v/>
      </c>
      <c r="U34" s="51"/>
      <c r="V34" s="58" t="str">
        <f t="shared" si="9"/>
        <v/>
      </c>
      <c r="W34" s="51"/>
      <c r="X34" s="58" t="str">
        <f t="shared" si="10"/>
        <v/>
      </c>
    </row>
    <row r="35" spans="1:24" x14ac:dyDescent="0.35">
      <c r="A35" s="20">
        <v>25</v>
      </c>
      <c r="B35" s="46">
        <v>46356</v>
      </c>
      <c r="C35" s="47">
        <f t="shared" si="0"/>
        <v>0</v>
      </c>
      <c r="D35" s="48"/>
      <c r="E35" s="20"/>
      <c r="F35" s="20"/>
      <c r="G35" s="65" t="str">
        <f t="shared" si="1"/>
        <v/>
      </c>
      <c r="H35" s="50" t="str">
        <f t="shared" si="2"/>
        <v/>
      </c>
      <c r="I35" s="53"/>
      <c r="J35" s="52" t="str">
        <f t="shared" si="3"/>
        <v/>
      </c>
      <c r="K35" s="51"/>
      <c r="L35" s="52" t="str">
        <f t="shared" si="4"/>
        <v/>
      </c>
      <c r="M35" s="51"/>
      <c r="N35" s="52" t="str">
        <f t="shared" si="5"/>
        <v/>
      </c>
      <c r="O35" s="51"/>
      <c r="P35" s="52" t="str">
        <f t="shared" si="6"/>
        <v/>
      </c>
      <c r="Q35" s="53"/>
      <c r="R35" s="52" t="str">
        <f t="shared" si="7"/>
        <v/>
      </c>
      <c r="S35" s="51"/>
      <c r="T35" s="52" t="str">
        <f t="shared" si="8"/>
        <v/>
      </c>
      <c r="U35" s="51"/>
      <c r="V35" s="52" t="str">
        <f t="shared" si="9"/>
        <v/>
      </c>
      <c r="W35" s="51"/>
      <c r="X35" s="52" t="str">
        <f t="shared" si="10"/>
        <v/>
      </c>
    </row>
    <row r="36" spans="1:24" x14ac:dyDescent="0.35">
      <c r="A36" s="27">
        <v>26</v>
      </c>
      <c r="B36" s="54">
        <v>46363</v>
      </c>
      <c r="C36" s="55">
        <f t="shared" si="0"/>
        <v>0</v>
      </c>
      <c r="D36" s="48"/>
      <c r="E36" s="27"/>
      <c r="F36" s="27"/>
      <c r="G36" s="66" t="str">
        <f t="shared" si="1"/>
        <v/>
      </c>
      <c r="H36" s="57" t="str">
        <f t="shared" si="2"/>
        <v/>
      </c>
      <c r="I36" s="53"/>
      <c r="J36" s="58" t="str">
        <f t="shared" si="3"/>
        <v/>
      </c>
      <c r="K36" s="51"/>
      <c r="L36" s="58" t="str">
        <f t="shared" si="4"/>
        <v/>
      </c>
      <c r="M36" s="51"/>
      <c r="N36" s="58" t="str">
        <f t="shared" si="5"/>
        <v/>
      </c>
      <c r="O36" s="51"/>
      <c r="P36" s="58" t="str">
        <f t="shared" si="6"/>
        <v/>
      </c>
      <c r="Q36" s="53"/>
      <c r="R36" s="58" t="str">
        <f t="shared" si="7"/>
        <v/>
      </c>
      <c r="S36" s="51"/>
      <c r="T36" s="58" t="str">
        <f t="shared" si="8"/>
        <v/>
      </c>
      <c r="U36" s="51"/>
      <c r="V36" s="58" t="str">
        <f t="shared" si="9"/>
        <v/>
      </c>
      <c r="W36" s="51"/>
      <c r="X36" s="58" t="str">
        <f t="shared" si="10"/>
        <v/>
      </c>
    </row>
    <row r="37" spans="1:24" x14ac:dyDescent="0.35">
      <c r="A37" s="20">
        <v>27</v>
      </c>
      <c r="B37" s="46">
        <v>46370</v>
      </c>
      <c r="C37" s="47">
        <f t="shared" si="0"/>
        <v>0</v>
      </c>
      <c r="D37" s="48"/>
      <c r="E37" s="20"/>
      <c r="F37" s="20"/>
      <c r="G37" s="65" t="str">
        <f t="shared" si="1"/>
        <v/>
      </c>
      <c r="H37" s="50" t="str">
        <f t="shared" si="2"/>
        <v/>
      </c>
      <c r="I37" s="53"/>
      <c r="J37" s="52" t="str">
        <f t="shared" si="3"/>
        <v/>
      </c>
      <c r="K37" s="51"/>
      <c r="L37" s="52" t="str">
        <f t="shared" si="4"/>
        <v/>
      </c>
      <c r="M37" s="51"/>
      <c r="N37" s="52" t="str">
        <f t="shared" si="5"/>
        <v/>
      </c>
      <c r="O37" s="51"/>
      <c r="P37" s="52" t="str">
        <f t="shared" si="6"/>
        <v/>
      </c>
      <c r="Q37" s="53"/>
      <c r="R37" s="52" t="str">
        <f t="shared" si="7"/>
        <v/>
      </c>
      <c r="S37" s="51"/>
      <c r="T37" s="52" t="str">
        <f t="shared" si="8"/>
        <v/>
      </c>
      <c r="U37" s="51"/>
      <c r="V37" s="52" t="str">
        <f t="shared" si="9"/>
        <v/>
      </c>
      <c r="W37" s="51"/>
      <c r="X37" s="52" t="str">
        <f t="shared" si="10"/>
        <v/>
      </c>
    </row>
    <row r="38" spans="1:24" x14ac:dyDescent="0.35">
      <c r="A38" s="27">
        <v>28</v>
      </c>
      <c r="B38" s="54">
        <v>46377</v>
      </c>
      <c r="C38" s="55">
        <f t="shared" si="0"/>
        <v>0</v>
      </c>
      <c r="D38" s="48"/>
      <c r="E38" s="27"/>
      <c r="F38" s="27"/>
      <c r="G38" s="66" t="str">
        <f t="shared" si="1"/>
        <v/>
      </c>
      <c r="H38" s="57" t="str">
        <f t="shared" si="2"/>
        <v/>
      </c>
      <c r="I38" s="53"/>
      <c r="J38" s="58" t="str">
        <f t="shared" si="3"/>
        <v/>
      </c>
      <c r="K38" s="51"/>
      <c r="L38" s="58" t="str">
        <f t="shared" si="4"/>
        <v/>
      </c>
      <c r="M38" s="51"/>
      <c r="N38" s="58" t="str">
        <f t="shared" si="5"/>
        <v/>
      </c>
      <c r="O38" s="51"/>
      <c r="P38" s="58" t="str">
        <f t="shared" si="6"/>
        <v/>
      </c>
      <c r="Q38" s="53"/>
      <c r="R38" s="58" t="str">
        <f t="shared" si="7"/>
        <v/>
      </c>
      <c r="S38" s="51"/>
      <c r="T38" s="58" t="str">
        <f t="shared" si="8"/>
        <v/>
      </c>
      <c r="U38" s="51"/>
      <c r="V38" s="58" t="str">
        <f t="shared" si="9"/>
        <v/>
      </c>
      <c r="W38" s="51"/>
      <c r="X38" s="58" t="str">
        <f t="shared" si="10"/>
        <v/>
      </c>
    </row>
    <row r="39" spans="1:24" x14ac:dyDescent="0.35">
      <c r="A39" s="20">
        <v>29</v>
      </c>
      <c r="B39" s="46">
        <v>46384</v>
      </c>
      <c r="C39" s="47">
        <f t="shared" si="0"/>
        <v>0</v>
      </c>
      <c r="D39" s="48"/>
      <c r="E39" s="20"/>
      <c r="F39" s="20"/>
      <c r="G39" s="65" t="str">
        <f t="shared" si="1"/>
        <v/>
      </c>
      <c r="H39" s="50" t="str">
        <f t="shared" si="2"/>
        <v/>
      </c>
      <c r="I39" s="53"/>
      <c r="J39" s="52" t="str">
        <f t="shared" si="3"/>
        <v/>
      </c>
      <c r="K39" s="51"/>
      <c r="L39" s="52" t="str">
        <f t="shared" si="4"/>
        <v/>
      </c>
      <c r="M39" s="51"/>
      <c r="N39" s="52" t="str">
        <f t="shared" si="5"/>
        <v/>
      </c>
      <c r="O39" s="51"/>
      <c r="P39" s="52" t="str">
        <f t="shared" si="6"/>
        <v/>
      </c>
      <c r="Q39" s="53"/>
      <c r="R39" s="52" t="str">
        <f t="shared" si="7"/>
        <v/>
      </c>
      <c r="S39" s="51"/>
      <c r="T39" s="52" t="str">
        <f t="shared" si="8"/>
        <v/>
      </c>
      <c r="U39" s="51"/>
      <c r="V39" s="52" t="str">
        <f t="shared" si="9"/>
        <v/>
      </c>
      <c r="W39" s="51"/>
      <c r="X39" s="52" t="str">
        <f t="shared" si="10"/>
        <v/>
      </c>
    </row>
    <row r="40" spans="1:24" x14ac:dyDescent="0.35">
      <c r="A40" s="27">
        <v>30</v>
      </c>
      <c r="B40" s="54">
        <v>46391</v>
      </c>
      <c r="C40" s="55">
        <f t="shared" si="0"/>
        <v>0</v>
      </c>
      <c r="D40" s="48"/>
      <c r="E40" s="27"/>
      <c r="F40" s="27"/>
      <c r="G40" s="66" t="str">
        <f t="shared" si="1"/>
        <v/>
      </c>
      <c r="H40" s="57" t="str">
        <f t="shared" si="2"/>
        <v/>
      </c>
      <c r="I40" s="53"/>
      <c r="J40" s="58" t="str">
        <f t="shared" si="3"/>
        <v/>
      </c>
      <c r="K40" s="51"/>
      <c r="L40" s="58" t="str">
        <f t="shared" si="4"/>
        <v/>
      </c>
      <c r="M40" s="51"/>
      <c r="N40" s="58" t="str">
        <f t="shared" si="5"/>
        <v/>
      </c>
      <c r="O40" s="51"/>
      <c r="P40" s="58" t="str">
        <f t="shared" si="6"/>
        <v/>
      </c>
      <c r="Q40" s="53"/>
      <c r="R40" s="58" t="str">
        <f t="shared" si="7"/>
        <v/>
      </c>
      <c r="S40" s="51"/>
      <c r="T40" s="58" t="str">
        <f t="shared" si="8"/>
        <v/>
      </c>
      <c r="U40" s="51"/>
      <c r="V40" s="58" t="str">
        <f t="shared" si="9"/>
        <v/>
      </c>
      <c r="W40" s="51"/>
      <c r="X40" s="58" t="str">
        <f t="shared" si="10"/>
        <v/>
      </c>
    </row>
    <row r="41" spans="1:24" x14ac:dyDescent="0.35">
      <c r="A41" s="20">
        <v>31</v>
      </c>
      <c r="B41" s="46">
        <v>46398</v>
      </c>
      <c r="C41" s="47">
        <f t="shared" si="0"/>
        <v>0</v>
      </c>
      <c r="D41" s="48"/>
      <c r="E41" s="20"/>
      <c r="F41" s="20"/>
      <c r="G41" s="65" t="str">
        <f t="shared" si="1"/>
        <v/>
      </c>
      <c r="H41" s="50" t="str">
        <f t="shared" si="2"/>
        <v/>
      </c>
      <c r="I41" s="53"/>
      <c r="J41" s="52" t="str">
        <f t="shared" si="3"/>
        <v/>
      </c>
      <c r="K41" s="51"/>
      <c r="L41" s="52" t="str">
        <f t="shared" si="4"/>
        <v/>
      </c>
      <c r="M41" s="51"/>
      <c r="N41" s="52" t="str">
        <f t="shared" si="5"/>
        <v/>
      </c>
      <c r="O41" s="51"/>
      <c r="P41" s="52" t="str">
        <f t="shared" si="6"/>
        <v/>
      </c>
      <c r="Q41" s="53"/>
      <c r="R41" s="52" t="str">
        <f t="shared" si="7"/>
        <v/>
      </c>
      <c r="S41" s="51"/>
      <c r="T41" s="52" t="str">
        <f t="shared" si="8"/>
        <v/>
      </c>
      <c r="U41" s="51"/>
      <c r="V41" s="52" t="str">
        <f t="shared" si="9"/>
        <v/>
      </c>
      <c r="W41" s="51"/>
      <c r="X41" s="52" t="str">
        <f t="shared" si="10"/>
        <v/>
      </c>
    </row>
    <row r="42" spans="1:24" x14ac:dyDescent="0.35">
      <c r="A42" s="27">
        <v>32</v>
      </c>
      <c r="B42" s="54">
        <v>46405</v>
      </c>
      <c r="C42" s="55">
        <f t="shared" si="0"/>
        <v>0</v>
      </c>
      <c r="D42" s="48"/>
      <c r="E42" s="27"/>
      <c r="F42" s="27"/>
      <c r="G42" s="66" t="str">
        <f t="shared" si="1"/>
        <v/>
      </c>
      <c r="H42" s="57" t="str">
        <f t="shared" si="2"/>
        <v/>
      </c>
      <c r="I42" s="53"/>
      <c r="J42" s="58" t="str">
        <f t="shared" si="3"/>
        <v/>
      </c>
      <c r="K42" s="51"/>
      <c r="L42" s="58" t="str">
        <f t="shared" si="4"/>
        <v/>
      </c>
      <c r="M42" s="51"/>
      <c r="N42" s="58" t="str">
        <f t="shared" si="5"/>
        <v/>
      </c>
      <c r="O42" s="51"/>
      <c r="P42" s="58" t="str">
        <f t="shared" si="6"/>
        <v/>
      </c>
      <c r="Q42" s="53"/>
      <c r="R42" s="58" t="str">
        <f t="shared" si="7"/>
        <v/>
      </c>
      <c r="S42" s="51"/>
      <c r="T42" s="58" t="str">
        <f t="shared" si="8"/>
        <v/>
      </c>
      <c r="U42" s="51"/>
      <c r="V42" s="58" t="str">
        <f t="shared" si="9"/>
        <v/>
      </c>
      <c r="W42" s="51"/>
      <c r="X42" s="58" t="str">
        <f t="shared" si="10"/>
        <v/>
      </c>
    </row>
    <row r="43" spans="1:24" x14ac:dyDescent="0.35">
      <c r="A43" s="20">
        <v>33</v>
      </c>
      <c r="B43" s="46">
        <v>46412</v>
      </c>
      <c r="C43" s="47">
        <f t="shared" ref="C43:C74" si="11">$B$5</f>
        <v>0</v>
      </c>
      <c r="D43" s="48"/>
      <c r="E43" s="20"/>
      <c r="F43" s="20"/>
      <c r="G43" s="65" t="str">
        <f t="shared" ref="G43:G74" si="12">IF(D43="","",D43-C43)</f>
        <v/>
      </c>
      <c r="H43" s="50" t="str">
        <f t="shared" ref="H43:H74" si="13">IF(D43="","",IF(D43&lt;=C43,"En meta",IF(D43&lt;=C43+1,"Riesgo","Atrasado")))</f>
        <v/>
      </c>
      <c r="I43" s="53"/>
      <c r="J43" s="52" t="str">
        <f t="shared" ref="J43:J74" si="14">IF(I43="","",IF($I$9="","",IF($I$9=0,"",I43/$I$9)))</f>
        <v/>
      </c>
      <c r="K43" s="51"/>
      <c r="L43" s="52" t="str">
        <f t="shared" ref="L43:L74" si="15">IF(K43="","",IF($K$9="","",IF($K$9=0,"",K43/$K$9)))</f>
        <v/>
      </c>
      <c r="M43" s="51"/>
      <c r="N43" s="52" t="str">
        <f t="shared" ref="N43:N74" si="16">IF(M43="","",IF($M$9="","",IF($M$9=0,"",M43/$M$9)))</f>
        <v/>
      </c>
      <c r="O43" s="51"/>
      <c r="P43" s="52" t="str">
        <f t="shared" ref="P43:P74" si="17">IF(O43="","",IF($O$9="","",IF($O$9=0,"",O43/$O$9)))</f>
        <v/>
      </c>
      <c r="Q43" s="53"/>
      <c r="R43" s="52" t="str">
        <f t="shared" ref="R43:R74" si="18">IF(Q43="","",IF($Q$9="","",IF($Q$9=0,"",Q43/$Q$9)))</f>
        <v/>
      </c>
      <c r="S43" s="51"/>
      <c r="T43" s="52" t="str">
        <f t="shared" ref="T43:T74" si="19">IF(S43="","",IF($S$9="","",IF($S$9=0,"",S43/$S$9)))</f>
        <v/>
      </c>
      <c r="U43" s="51"/>
      <c r="V43" s="52" t="str">
        <f t="shared" ref="V43:V74" si="20">IF(U43="","",IF($U$9="","",IF($U$9=0,"",U43/$U$9)))</f>
        <v/>
      </c>
      <c r="W43" s="51"/>
      <c r="X43" s="52" t="str">
        <f t="shared" ref="X43:X74" si="21">IF(W43="","",IF($W$9="","",IF($W$9=0,"",W43/$W$9)))</f>
        <v/>
      </c>
    </row>
    <row r="44" spans="1:24" x14ac:dyDescent="0.35">
      <c r="A44" s="27">
        <v>34</v>
      </c>
      <c r="B44" s="54">
        <v>46419</v>
      </c>
      <c r="C44" s="55">
        <f t="shared" si="11"/>
        <v>0</v>
      </c>
      <c r="D44" s="48"/>
      <c r="E44" s="27"/>
      <c r="F44" s="27"/>
      <c r="G44" s="66" t="str">
        <f t="shared" si="12"/>
        <v/>
      </c>
      <c r="H44" s="57" t="str">
        <f t="shared" si="13"/>
        <v/>
      </c>
      <c r="I44" s="53"/>
      <c r="J44" s="58" t="str">
        <f t="shared" si="14"/>
        <v/>
      </c>
      <c r="K44" s="51"/>
      <c r="L44" s="58" t="str">
        <f t="shared" si="15"/>
        <v/>
      </c>
      <c r="M44" s="51"/>
      <c r="N44" s="58" t="str">
        <f t="shared" si="16"/>
        <v/>
      </c>
      <c r="O44" s="51"/>
      <c r="P44" s="58" t="str">
        <f t="shared" si="17"/>
        <v/>
      </c>
      <c r="Q44" s="53"/>
      <c r="R44" s="58" t="str">
        <f t="shared" si="18"/>
        <v/>
      </c>
      <c r="S44" s="51"/>
      <c r="T44" s="58" t="str">
        <f t="shared" si="19"/>
        <v/>
      </c>
      <c r="U44" s="51"/>
      <c r="V44" s="58" t="str">
        <f t="shared" si="20"/>
        <v/>
      </c>
      <c r="W44" s="51"/>
      <c r="X44" s="58" t="str">
        <f t="shared" si="21"/>
        <v/>
      </c>
    </row>
    <row r="45" spans="1:24" x14ac:dyDescent="0.35">
      <c r="A45" s="20">
        <v>35</v>
      </c>
      <c r="B45" s="46">
        <v>46426</v>
      </c>
      <c r="C45" s="47">
        <f t="shared" si="11"/>
        <v>0</v>
      </c>
      <c r="D45" s="48"/>
      <c r="E45" s="20"/>
      <c r="F45" s="20"/>
      <c r="G45" s="65" t="str">
        <f t="shared" si="12"/>
        <v/>
      </c>
      <c r="H45" s="50" t="str">
        <f t="shared" si="13"/>
        <v/>
      </c>
      <c r="I45" s="53"/>
      <c r="J45" s="52" t="str">
        <f t="shared" si="14"/>
        <v/>
      </c>
      <c r="K45" s="51"/>
      <c r="L45" s="52" t="str">
        <f t="shared" si="15"/>
        <v/>
      </c>
      <c r="M45" s="51"/>
      <c r="N45" s="52" t="str">
        <f t="shared" si="16"/>
        <v/>
      </c>
      <c r="O45" s="51"/>
      <c r="P45" s="52" t="str">
        <f t="shared" si="17"/>
        <v/>
      </c>
      <c r="Q45" s="53"/>
      <c r="R45" s="52" t="str">
        <f t="shared" si="18"/>
        <v/>
      </c>
      <c r="S45" s="51"/>
      <c r="T45" s="52" t="str">
        <f t="shared" si="19"/>
        <v/>
      </c>
      <c r="U45" s="51"/>
      <c r="V45" s="52" t="str">
        <f t="shared" si="20"/>
        <v/>
      </c>
      <c r="W45" s="51"/>
      <c r="X45" s="52" t="str">
        <f t="shared" si="21"/>
        <v/>
      </c>
    </row>
    <row r="46" spans="1:24" x14ac:dyDescent="0.35">
      <c r="A46" s="27">
        <v>36</v>
      </c>
      <c r="B46" s="54">
        <v>46433</v>
      </c>
      <c r="C46" s="55">
        <f t="shared" si="11"/>
        <v>0</v>
      </c>
      <c r="D46" s="48"/>
      <c r="E46" s="27"/>
      <c r="F46" s="27"/>
      <c r="G46" s="66" t="str">
        <f t="shared" si="12"/>
        <v/>
      </c>
      <c r="H46" s="57" t="str">
        <f t="shared" si="13"/>
        <v/>
      </c>
      <c r="I46" s="53"/>
      <c r="J46" s="58" t="str">
        <f t="shared" si="14"/>
        <v/>
      </c>
      <c r="K46" s="51"/>
      <c r="L46" s="58" t="str">
        <f t="shared" si="15"/>
        <v/>
      </c>
      <c r="M46" s="51"/>
      <c r="N46" s="58" t="str">
        <f t="shared" si="16"/>
        <v/>
      </c>
      <c r="O46" s="51"/>
      <c r="P46" s="58" t="str">
        <f t="shared" si="17"/>
        <v/>
      </c>
      <c r="Q46" s="53"/>
      <c r="R46" s="58" t="str">
        <f t="shared" si="18"/>
        <v/>
      </c>
      <c r="S46" s="51"/>
      <c r="T46" s="58" t="str">
        <f t="shared" si="19"/>
        <v/>
      </c>
      <c r="U46" s="51"/>
      <c r="V46" s="58" t="str">
        <f t="shared" si="20"/>
        <v/>
      </c>
      <c r="W46" s="51"/>
      <c r="X46" s="58" t="str">
        <f t="shared" si="21"/>
        <v/>
      </c>
    </row>
    <row r="47" spans="1:24" x14ac:dyDescent="0.35">
      <c r="A47" s="20">
        <v>37</v>
      </c>
      <c r="B47" s="46">
        <v>46440</v>
      </c>
      <c r="C47" s="47">
        <f t="shared" si="11"/>
        <v>0</v>
      </c>
      <c r="D47" s="48"/>
      <c r="E47" s="20"/>
      <c r="F47" s="20"/>
      <c r="G47" s="65" t="str">
        <f t="shared" si="12"/>
        <v/>
      </c>
      <c r="H47" s="50" t="str">
        <f t="shared" si="13"/>
        <v/>
      </c>
      <c r="I47" s="53"/>
      <c r="J47" s="52" t="str">
        <f t="shared" si="14"/>
        <v/>
      </c>
      <c r="K47" s="51"/>
      <c r="L47" s="52" t="str">
        <f t="shared" si="15"/>
        <v/>
      </c>
      <c r="M47" s="51"/>
      <c r="N47" s="52" t="str">
        <f t="shared" si="16"/>
        <v/>
      </c>
      <c r="O47" s="51"/>
      <c r="P47" s="52" t="str">
        <f t="shared" si="17"/>
        <v/>
      </c>
      <c r="Q47" s="53"/>
      <c r="R47" s="52" t="str">
        <f t="shared" si="18"/>
        <v/>
      </c>
      <c r="S47" s="51"/>
      <c r="T47" s="52" t="str">
        <f t="shared" si="19"/>
        <v/>
      </c>
      <c r="U47" s="51"/>
      <c r="V47" s="52" t="str">
        <f t="shared" si="20"/>
        <v/>
      </c>
      <c r="W47" s="51"/>
      <c r="X47" s="52" t="str">
        <f t="shared" si="21"/>
        <v/>
      </c>
    </row>
    <row r="48" spans="1:24" x14ac:dyDescent="0.35">
      <c r="A48" s="27">
        <v>38</v>
      </c>
      <c r="B48" s="54">
        <v>46447</v>
      </c>
      <c r="C48" s="55">
        <f t="shared" si="11"/>
        <v>0</v>
      </c>
      <c r="D48" s="48"/>
      <c r="E48" s="27"/>
      <c r="F48" s="27"/>
      <c r="G48" s="66" t="str">
        <f t="shared" si="12"/>
        <v/>
      </c>
      <c r="H48" s="57" t="str">
        <f t="shared" si="13"/>
        <v/>
      </c>
      <c r="I48" s="53"/>
      <c r="J48" s="58" t="str">
        <f t="shared" si="14"/>
        <v/>
      </c>
      <c r="K48" s="51"/>
      <c r="L48" s="58" t="str">
        <f t="shared" si="15"/>
        <v/>
      </c>
      <c r="M48" s="51"/>
      <c r="N48" s="58" t="str">
        <f t="shared" si="16"/>
        <v/>
      </c>
      <c r="O48" s="51"/>
      <c r="P48" s="58" t="str">
        <f t="shared" si="17"/>
        <v/>
      </c>
      <c r="Q48" s="53"/>
      <c r="R48" s="58" t="str">
        <f t="shared" si="18"/>
        <v/>
      </c>
      <c r="S48" s="51"/>
      <c r="T48" s="58" t="str">
        <f t="shared" si="19"/>
        <v/>
      </c>
      <c r="U48" s="51"/>
      <c r="V48" s="58" t="str">
        <f t="shared" si="20"/>
        <v/>
      </c>
      <c r="W48" s="51"/>
      <c r="X48" s="58" t="str">
        <f t="shared" si="21"/>
        <v/>
      </c>
    </row>
    <row r="49" spans="1:24" x14ac:dyDescent="0.35">
      <c r="A49" s="20">
        <v>39</v>
      </c>
      <c r="B49" s="46">
        <v>46454</v>
      </c>
      <c r="C49" s="47">
        <f t="shared" si="11"/>
        <v>0</v>
      </c>
      <c r="D49" s="48"/>
      <c r="E49" s="20"/>
      <c r="F49" s="20"/>
      <c r="G49" s="65" t="str">
        <f t="shared" si="12"/>
        <v/>
      </c>
      <c r="H49" s="50" t="str">
        <f t="shared" si="13"/>
        <v/>
      </c>
      <c r="I49" s="53"/>
      <c r="J49" s="52" t="str">
        <f t="shared" si="14"/>
        <v/>
      </c>
      <c r="K49" s="51"/>
      <c r="L49" s="52" t="str">
        <f t="shared" si="15"/>
        <v/>
      </c>
      <c r="M49" s="51"/>
      <c r="N49" s="52" t="str">
        <f t="shared" si="16"/>
        <v/>
      </c>
      <c r="O49" s="51"/>
      <c r="P49" s="52" t="str">
        <f t="shared" si="17"/>
        <v/>
      </c>
      <c r="Q49" s="53"/>
      <c r="R49" s="52" t="str">
        <f t="shared" si="18"/>
        <v/>
      </c>
      <c r="S49" s="51"/>
      <c r="T49" s="52" t="str">
        <f t="shared" si="19"/>
        <v/>
      </c>
      <c r="U49" s="51"/>
      <c r="V49" s="52" t="str">
        <f t="shared" si="20"/>
        <v/>
      </c>
      <c r="W49" s="51"/>
      <c r="X49" s="52" t="str">
        <f t="shared" si="21"/>
        <v/>
      </c>
    </row>
    <row r="50" spans="1:24" x14ac:dyDescent="0.35">
      <c r="A50" s="27">
        <v>40</v>
      </c>
      <c r="B50" s="54">
        <v>46461</v>
      </c>
      <c r="C50" s="55">
        <f t="shared" si="11"/>
        <v>0</v>
      </c>
      <c r="D50" s="48"/>
      <c r="E50" s="27"/>
      <c r="F50" s="27"/>
      <c r="G50" s="66" t="str">
        <f t="shared" si="12"/>
        <v/>
      </c>
      <c r="H50" s="57" t="str">
        <f t="shared" si="13"/>
        <v/>
      </c>
      <c r="I50" s="53"/>
      <c r="J50" s="58" t="str">
        <f t="shared" si="14"/>
        <v/>
      </c>
      <c r="K50" s="51"/>
      <c r="L50" s="58" t="str">
        <f t="shared" si="15"/>
        <v/>
      </c>
      <c r="M50" s="51"/>
      <c r="N50" s="58" t="str">
        <f t="shared" si="16"/>
        <v/>
      </c>
      <c r="O50" s="51"/>
      <c r="P50" s="58" t="str">
        <f t="shared" si="17"/>
        <v/>
      </c>
      <c r="Q50" s="53"/>
      <c r="R50" s="58" t="str">
        <f t="shared" si="18"/>
        <v/>
      </c>
      <c r="S50" s="51"/>
      <c r="T50" s="58" t="str">
        <f t="shared" si="19"/>
        <v/>
      </c>
      <c r="U50" s="51"/>
      <c r="V50" s="58" t="str">
        <f t="shared" si="20"/>
        <v/>
      </c>
      <c r="W50" s="51"/>
      <c r="X50" s="58" t="str">
        <f t="shared" si="21"/>
        <v/>
      </c>
    </row>
    <row r="51" spans="1:24" x14ac:dyDescent="0.35">
      <c r="A51" s="20">
        <v>41</v>
      </c>
      <c r="B51" s="46">
        <v>46468</v>
      </c>
      <c r="C51" s="47">
        <f t="shared" si="11"/>
        <v>0</v>
      </c>
      <c r="D51" s="48"/>
      <c r="E51" s="20"/>
      <c r="F51" s="20"/>
      <c r="G51" s="65" t="str">
        <f t="shared" si="12"/>
        <v/>
      </c>
      <c r="H51" s="50" t="str">
        <f t="shared" si="13"/>
        <v/>
      </c>
      <c r="I51" s="53"/>
      <c r="J51" s="52" t="str">
        <f t="shared" si="14"/>
        <v/>
      </c>
      <c r="K51" s="51"/>
      <c r="L51" s="52" t="str">
        <f t="shared" si="15"/>
        <v/>
      </c>
      <c r="M51" s="51"/>
      <c r="N51" s="52" t="str">
        <f t="shared" si="16"/>
        <v/>
      </c>
      <c r="O51" s="51"/>
      <c r="P51" s="52" t="str">
        <f t="shared" si="17"/>
        <v/>
      </c>
      <c r="Q51" s="53"/>
      <c r="R51" s="52" t="str">
        <f t="shared" si="18"/>
        <v/>
      </c>
      <c r="S51" s="51"/>
      <c r="T51" s="52" t="str">
        <f t="shared" si="19"/>
        <v/>
      </c>
      <c r="U51" s="51"/>
      <c r="V51" s="52" t="str">
        <f t="shared" si="20"/>
        <v/>
      </c>
      <c r="W51" s="51"/>
      <c r="X51" s="52" t="str">
        <f t="shared" si="21"/>
        <v/>
      </c>
    </row>
    <row r="52" spans="1:24" x14ac:dyDescent="0.35">
      <c r="A52" s="27">
        <v>42</v>
      </c>
      <c r="B52" s="54">
        <v>46475</v>
      </c>
      <c r="C52" s="55">
        <f t="shared" si="11"/>
        <v>0</v>
      </c>
      <c r="D52" s="48"/>
      <c r="E52" s="27"/>
      <c r="F52" s="27"/>
      <c r="G52" s="66" t="str">
        <f t="shared" si="12"/>
        <v/>
      </c>
      <c r="H52" s="57" t="str">
        <f t="shared" si="13"/>
        <v/>
      </c>
      <c r="I52" s="53"/>
      <c r="J52" s="58" t="str">
        <f t="shared" si="14"/>
        <v/>
      </c>
      <c r="K52" s="51"/>
      <c r="L52" s="58" t="str">
        <f t="shared" si="15"/>
        <v/>
      </c>
      <c r="M52" s="51"/>
      <c r="N52" s="58" t="str">
        <f t="shared" si="16"/>
        <v/>
      </c>
      <c r="O52" s="51"/>
      <c r="P52" s="58" t="str">
        <f t="shared" si="17"/>
        <v/>
      </c>
      <c r="Q52" s="53"/>
      <c r="R52" s="58" t="str">
        <f t="shared" si="18"/>
        <v/>
      </c>
      <c r="S52" s="51"/>
      <c r="T52" s="58" t="str">
        <f t="shared" si="19"/>
        <v/>
      </c>
      <c r="U52" s="51"/>
      <c r="V52" s="58" t="str">
        <f t="shared" si="20"/>
        <v/>
      </c>
      <c r="W52" s="51"/>
      <c r="X52" s="58" t="str">
        <f t="shared" si="21"/>
        <v/>
      </c>
    </row>
    <row r="53" spans="1:24" x14ac:dyDescent="0.35">
      <c r="A53" s="20">
        <v>43</v>
      </c>
      <c r="B53" s="46">
        <v>46482</v>
      </c>
      <c r="C53" s="47">
        <f t="shared" si="11"/>
        <v>0</v>
      </c>
      <c r="D53" s="48"/>
      <c r="E53" s="20"/>
      <c r="F53" s="20"/>
      <c r="G53" s="65" t="str">
        <f t="shared" si="12"/>
        <v/>
      </c>
      <c r="H53" s="50" t="str">
        <f t="shared" si="13"/>
        <v/>
      </c>
      <c r="I53" s="53"/>
      <c r="J53" s="52" t="str">
        <f t="shared" si="14"/>
        <v/>
      </c>
      <c r="K53" s="51"/>
      <c r="L53" s="52" t="str">
        <f t="shared" si="15"/>
        <v/>
      </c>
      <c r="M53" s="51"/>
      <c r="N53" s="52" t="str">
        <f t="shared" si="16"/>
        <v/>
      </c>
      <c r="O53" s="51"/>
      <c r="P53" s="52" t="str">
        <f t="shared" si="17"/>
        <v/>
      </c>
      <c r="Q53" s="53"/>
      <c r="R53" s="52" t="str">
        <f t="shared" si="18"/>
        <v/>
      </c>
      <c r="S53" s="51"/>
      <c r="T53" s="52" t="str">
        <f t="shared" si="19"/>
        <v/>
      </c>
      <c r="U53" s="51"/>
      <c r="V53" s="52" t="str">
        <f t="shared" si="20"/>
        <v/>
      </c>
      <c r="W53" s="51"/>
      <c r="X53" s="52" t="str">
        <f t="shared" si="21"/>
        <v/>
      </c>
    </row>
    <row r="54" spans="1:24" x14ac:dyDescent="0.35">
      <c r="A54" s="27">
        <v>44</v>
      </c>
      <c r="B54" s="54">
        <v>46489</v>
      </c>
      <c r="C54" s="55">
        <f t="shared" si="11"/>
        <v>0</v>
      </c>
      <c r="D54" s="48"/>
      <c r="E54" s="27"/>
      <c r="F54" s="27"/>
      <c r="G54" s="66" t="str">
        <f t="shared" si="12"/>
        <v/>
      </c>
      <c r="H54" s="57" t="str">
        <f t="shared" si="13"/>
        <v/>
      </c>
      <c r="I54" s="53"/>
      <c r="J54" s="58" t="str">
        <f t="shared" si="14"/>
        <v/>
      </c>
      <c r="K54" s="51"/>
      <c r="L54" s="58" t="str">
        <f t="shared" si="15"/>
        <v/>
      </c>
      <c r="M54" s="51"/>
      <c r="N54" s="58" t="str">
        <f t="shared" si="16"/>
        <v/>
      </c>
      <c r="O54" s="51"/>
      <c r="P54" s="58" t="str">
        <f t="shared" si="17"/>
        <v/>
      </c>
      <c r="Q54" s="53"/>
      <c r="R54" s="58" t="str">
        <f t="shared" si="18"/>
        <v/>
      </c>
      <c r="S54" s="51"/>
      <c r="T54" s="58" t="str">
        <f t="shared" si="19"/>
        <v/>
      </c>
      <c r="U54" s="51"/>
      <c r="V54" s="58" t="str">
        <f t="shared" si="20"/>
        <v/>
      </c>
      <c r="W54" s="51"/>
      <c r="X54" s="58" t="str">
        <f t="shared" si="21"/>
        <v/>
      </c>
    </row>
    <row r="55" spans="1:24" x14ac:dyDescent="0.35">
      <c r="A55" s="20">
        <v>45</v>
      </c>
      <c r="B55" s="46">
        <v>46496</v>
      </c>
      <c r="C55" s="47">
        <f t="shared" si="11"/>
        <v>0</v>
      </c>
      <c r="D55" s="48"/>
      <c r="E55" s="20"/>
      <c r="F55" s="20"/>
      <c r="G55" s="65" t="str">
        <f t="shared" si="12"/>
        <v/>
      </c>
      <c r="H55" s="50" t="str">
        <f t="shared" si="13"/>
        <v/>
      </c>
      <c r="I55" s="53"/>
      <c r="J55" s="52" t="str">
        <f t="shared" si="14"/>
        <v/>
      </c>
      <c r="K55" s="51"/>
      <c r="L55" s="52" t="str">
        <f t="shared" si="15"/>
        <v/>
      </c>
      <c r="M55" s="51"/>
      <c r="N55" s="52" t="str">
        <f t="shared" si="16"/>
        <v/>
      </c>
      <c r="O55" s="51"/>
      <c r="P55" s="52" t="str">
        <f t="shared" si="17"/>
        <v/>
      </c>
      <c r="Q55" s="53"/>
      <c r="R55" s="52" t="str">
        <f t="shared" si="18"/>
        <v/>
      </c>
      <c r="S55" s="51"/>
      <c r="T55" s="52" t="str">
        <f t="shared" si="19"/>
        <v/>
      </c>
      <c r="U55" s="51"/>
      <c r="V55" s="52" t="str">
        <f t="shared" si="20"/>
        <v/>
      </c>
      <c r="W55" s="51"/>
      <c r="X55" s="52" t="str">
        <f t="shared" si="21"/>
        <v/>
      </c>
    </row>
    <row r="56" spans="1:24" x14ac:dyDescent="0.35">
      <c r="A56" s="27">
        <v>46</v>
      </c>
      <c r="B56" s="54">
        <v>46503</v>
      </c>
      <c r="C56" s="55">
        <f t="shared" si="11"/>
        <v>0</v>
      </c>
      <c r="D56" s="48"/>
      <c r="E56" s="27"/>
      <c r="F56" s="27"/>
      <c r="G56" s="66" t="str">
        <f t="shared" si="12"/>
        <v/>
      </c>
      <c r="H56" s="57" t="str">
        <f t="shared" si="13"/>
        <v/>
      </c>
      <c r="I56" s="53"/>
      <c r="J56" s="58" t="str">
        <f t="shared" si="14"/>
        <v/>
      </c>
      <c r="K56" s="51"/>
      <c r="L56" s="58" t="str">
        <f t="shared" si="15"/>
        <v/>
      </c>
      <c r="M56" s="51"/>
      <c r="N56" s="58" t="str">
        <f t="shared" si="16"/>
        <v/>
      </c>
      <c r="O56" s="51"/>
      <c r="P56" s="58" t="str">
        <f t="shared" si="17"/>
        <v/>
      </c>
      <c r="Q56" s="53"/>
      <c r="R56" s="58" t="str">
        <f t="shared" si="18"/>
        <v/>
      </c>
      <c r="S56" s="51"/>
      <c r="T56" s="58" t="str">
        <f t="shared" si="19"/>
        <v/>
      </c>
      <c r="U56" s="51"/>
      <c r="V56" s="58" t="str">
        <f t="shared" si="20"/>
        <v/>
      </c>
      <c r="W56" s="51"/>
      <c r="X56" s="58" t="str">
        <f t="shared" si="21"/>
        <v/>
      </c>
    </row>
    <row r="57" spans="1:24" x14ac:dyDescent="0.35">
      <c r="A57" s="20">
        <v>47</v>
      </c>
      <c r="B57" s="46">
        <v>46510</v>
      </c>
      <c r="C57" s="47">
        <f t="shared" si="11"/>
        <v>0</v>
      </c>
      <c r="D57" s="48"/>
      <c r="E57" s="20"/>
      <c r="F57" s="20"/>
      <c r="G57" s="65" t="str">
        <f t="shared" si="12"/>
        <v/>
      </c>
      <c r="H57" s="50" t="str">
        <f t="shared" si="13"/>
        <v/>
      </c>
      <c r="I57" s="53"/>
      <c r="J57" s="52" t="str">
        <f t="shared" si="14"/>
        <v/>
      </c>
      <c r="K57" s="51"/>
      <c r="L57" s="52" t="str">
        <f t="shared" si="15"/>
        <v/>
      </c>
      <c r="M57" s="51"/>
      <c r="N57" s="52" t="str">
        <f t="shared" si="16"/>
        <v/>
      </c>
      <c r="O57" s="51"/>
      <c r="P57" s="52" t="str">
        <f t="shared" si="17"/>
        <v/>
      </c>
      <c r="Q57" s="53"/>
      <c r="R57" s="52" t="str">
        <f t="shared" si="18"/>
        <v/>
      </c>
      <c r="S57" s="51"/>
      <c r="T57" s="52" t="str">
        <f t="shared" si="19"/>
        <v/>
      </c>
      <c r="U57" s="51"/>
      <c r="V57" s="52" t="str">
        <f t="shared" si="20"/>
        <v/>
      </c>
      <c r="W57" s="51"/>
      <c r="X57" s="52" t="str">
        <f t="shared" si="21"/>
        <v/>
      </c>
    </row>
    <row r="58" spans="1:24" x14ac:dyDescent="0.35">
      <c r="A58" s="27">
        <v>48</v>
      </c>
      <c r="B58" s="54">
        <v>46517</v>
      </c>
      <c r="C58" s="55">
        <f t="shared" si="11"/>
        <v>0</v>
      </c>
      <c r="D58" s="48"/>
      <c r="E58" s="27"/>
      <c r="F58" s="27"/>
      <c r="G58" s="66" t="str">
        <f t="shared" si="12"/>
        <v/>
      </c>
      <c r="H58" s="57" t="str">
        <f t="shared" si="13"/>
        <v/>
      </c>
      <c r="I58" s="53"/>
      <c r="J58" s="58" t="str">
        <f t="shared" si="14"/>
        <v/>
      </c>
      <c r="K58" s="51"/>
      <c r="L58" s="58" t="str">
        <f t="shared" si="15"/>
        <v/>
      </c>
      <c r="M58" s="51"/>
      <c r="N58" s="58" t="str">
        <f t="shared" si="16"/>
        <v/>
      </c>
      <c r="O58" s="51"/>
      <c r="P58" s="58" t="str">
        <f t="shared" si="17"/>
        <v/>
      </c>
      <c r="Q58" s="53"/>
      <c r="R58" s="58" t="str">
        <f t="shared" si="18"/>
        <v/>
      </c>
      <c r="S58" s="51"/>
      <c r="T58" s="58" t="str">
        <f t="shared" si="19"/>
        <v/>
      </c>
      <c r="U58" s="51"/>
      <c r="V58" s="58" t="str">
        <f t="shared" si="20"/>
        <v/>
      </c>
      <c r="W58" s="51"/>
      <c r="X58" s="58" t="str">
        <f t="shared" si="21"/>
        <v/>
      </c>
    </row>
    <row r="59" spans="1:24" x14ac:dyDescent="0.35">
      <c r="A59" s="20">
        <v>49</v>
      </c>
      <c r="B59" s="46">
        <v>46524</v>
      </c>
      <c r="C59" s="47">
        <f t="shared" si="11"/>
        <v>0</v>
      </c>
      <c r="D59" s="48"/>
      <c r="E59" s="20"/>
      <c r="F59" s="20"/>
      <c r="G59" s="65" t="str">
        <f t="shared" si="12"/>
        <v/>
      </c>
      <c r="H59" s="50" t="str">
        <f t="shared" si="13"/>
        <v/>
      </c>
      <c r="I59" s="53"/>
      <c r="J59" s="52" t="str">
        <f t="shared" si="14"/>
        <v/>
      </c>
      <c r="K59" s="51"/>
      <c r="L59" s="52" t="str">
        <f t="shared" si="15"/>
        <v/>
      </c>
      <c r="M59" s="51"/>
      <c r="N59" s="52" t="str">
        <f t="shared" si="16"/>
        <v/>
      </c>
      <c r="O59" s="51"/>
      <c r="P59" s="52" t="str">
        <f t="shared" si="17"/>
        <v/>
      </c>
      <c r="Q59" s="53"/>
      <c r="R59" s="52" t="str">
        <f t="shared" si="18"/>
        <v/>
      </c>
      <c r="S59" s="51"/>
      <c r="T59" s="52" t="str">
        <f t="shared" si="19"/>
        <v/>
      </c>
      <c r="U59" s="51"/>
      <c r="V59" s="52" t="str">
        <f t="shared" si="20"/>
        <v/>
      </c>
      <c r="W59" s="51"/>
      <c r="X59" s="52" t="str">
        <f t="shared" si="21"/>
        <v/>
      </c>
    </row>
    <row r="60" spans="1:24" x14ac:dyDescent="0.35">
      <c r="A60" s="27">
        <v>50</v>
      </c>
      <c r="B60" s="54">
        <v>46531</v>
      </c>
      <c r="C60" s="55">
        <f t="shared" si="11"/>
        <v>0</v>
      </c>
      <c r="D60" s="48"/>
      <c r="E60" s="27"/>
      <c r="F60" s="27"/>
      <c r="G60" s="66" t="str">
        <f t="shared" si="12"/>
        <v/>
      </c>
      <c r="H60" s="57" t="str">
        <f t="shared" si="13"/>
        <v/>
      </c>
      <c r="I60" s="53"/>
      <c r="J60" s="58" t="str">
        <f t="shared" si="14"/>
        <v/>
      </c>
      <c r="K60" s="51"/>
      <c r="L60" s="58" t="str">
        <f t="shared" si="15"/>
        <v/>
      </c>
      <c r="M60" s="51"/>
      <c r="N60" s="58" t="str">
        <f t="shared" si="16"/>
        <v/>
      </c>
      <c r="O60" s="51"/>
      <c r="P60" s="58" t="str">
        <f t="shared" si="17"/>
        <v/>
      </c>
      <c r="Q60" s="53"/>
      <c r="R60" s="58" t="str">
        <f t="shared" si="18"/>
        <v/>
      </c>
      <c r="S60" s="51"/>
      <c r="T60" s="58" t="str">
        <f t="shared" si="19"/>
        <v/>
      </c>
      <c r="U60" s="51"/>
      <c r="V60" s="58" t="str">
        <f t="shared" si="20"/>
        <v/>
      </c>
      <c r="W60" s="51"/>
      <c r="X60" s="58" t="str">
        <f t="shared" si="21"/>
        <v/>
      </c>
    </row>
    <row r="61" spans="1:24" x14ac:dyDescent="0.35">
      <c r="A61" s="20">
        <v>51</v>
      </c>
      <c r="B61" s="46">
        <v>46538</v>
      </c>
      <c r="C61" s="47">
        <f t="shared" si="11"/>
        <v>0</v>
      </c>
      <c r="D61" s="48"/>
      <c r="E61" s="20"/>
      <c r="F61" s="20"/>
      <c r="G61" s="65" t="str">
        <f t="shared" si="12"/>
        <v/>
      </c>
      <c r="H61" s="50" t="str">
        <f t="shared" si="13"/>
        <v/>
      </c>
      <c r="I61" s="53"/>
      <c r="J61" s="52" t="str">
        <f t="shared" si="14"/>
        <v/>
      </c>
      <c r="K61" s="51"/>
      <c r="L61" s="52" t="str">
        <f t="shared" si="15"/>
        <v/>
      </c>
      <c r="M61" s="51"/>
      <c r="N61" s="52" t="str">
        <f t="shared" si="16"/>
        <v/>
      </c>
      <c r="O61" s="51"/>
      <c r="P61" s="52" t="str">
        <f t="shared" si="17"/>
        <v/>
      </c>
      <c r="Q61" s="53"/>
      <c r="R61" s="52" t="str">
        <f t="shared" si="18"/>
        <v/>
      </c>
      <c r="S61" s="51"/>
      <c r="T61" s="52" t="str">
        <f t="shared" si="19"/>
        <v/>
      </c>
      <c r="U61" s="51"/>
      <c r="V61" s="52" t="str">
        <f t="shared" si="20"/>
        <v/>
      </c>
      <c r="W61" s="51"/>
      <c r="X61" s="52" t="str">
        <f t="shared" si="21"/>
        <v/>
      </c>
    </row>
    <row r="62" spans="1:24" x14ac:dyDescent="0.35">
      <c r="A62" s="27">
        <v>52</v>
      </c>
      <c r="B62" s="54">
        <v>46545</v>
      </c>
      <c r="C62" s="55">
        <f t="shared" si="11"/>
        <v>0</v>
      </c>
      <c r="D62" s="48"/>
      <c r="E62" s="27"/>
      <c r="F62" s="27"/>
      <c r="G62" s="66" t="str">
        <f t="shared" si="12"/>
        <v/>
      </c>
      <c r="H62" s="57" t="str">
        <f t="shared" si="13"/>
        <v/>
      </c>
      <c r="I62" s="53"/>
      <c r="J62" s="58" t="str">
        <f t="shared" si="14"/>
        <v/>
      </c>
      <c r="K62" s="51"/>
      <c r="L62" s="58" t="str">
        <f t="shared" si="15"/>
        <v/>
      </c>
      <c r="M62" s="51"/>
      <c r="N62" s="58" t="str">
        <f t="shared" si="16"/>
        <v/>
      </c>
      <c r="O62" s="51"/>
      <c r="P62" s="58" t="str">
        <f t="shared" si="17"/>
        <v/>
      </c>
      <c r="Q62" s="53"/>
      <c r="R62" s="58" t="str">
        <f t="shared" si="18"/>
        <v/>
      </c>
      <c r="S62" s="51"/>
      <c r="T62" s="58" t="str">
        <f t="shared" si="19"/>
        <v/>
      </c>
      <c r="U62" s="51"/>
      <c r="V62" s="58" t="str">
        <f t="shared" si="20"/>
        <v/>
      </c>
      <c r="W62" s="51"/>
      <c r="X62" s="58" t="str">
        <f t="shared" si="21"/>
        <v/>
      </c>
    </row>
    <row r="63" spans="1:24" x14ac:dyDescent="0.35">
      <c r="A63" s="20">
        <v>53</v>
      </c>
      <c r="B63" s="46">
        <v>46552</v>
      </c>
      <c r="C63" s="47">
        <f t="shared" si="11"/>
        <v>0</v>
      </c>
      <c r="D63" s="48"/>
      <c r="E63" s="20"/>
      <c r="F63" s="20"/>
      <c r="G63" s="65" t="str">
        <f t="shared" si="12"/>
        <v/>
      </c>
      <c r="H63" s="50" t="str">
        <f t="shared" si="13"/>
        <v/>
      </c>
      <c r="I63" s="53"/>
      <c r="J63" s="52" t="str">
        <f t="shared" si="14"/>
        <v/>
      </c>
      <c r="K63" s="51"/>
      <c r="L63" s="52" t="str">
        <f t="shared" si="15"/>
        <v/>
      </c>
      <c r="M63" s="51"/>
      <c r="N63" s="52" t="str">
        <f t="shared" si="16"/>
        <v/>
      </c>
      <c r="O63" s="51"/>
      <c r="P63" s="52" t="str">
        <f t="shared" si="17"/>
        <v/>
      </c>
      <c r="Q63" s="53"/>
      <c r="R63" s="52" t="str">
        <f t="shared" si="18"/>
        <v/>
      </c>
      <c r="S63" s="51"/>
      <c r="T63" s="52" t="str">
        <f t="shared" si="19"/>
        <v/>
      </c>
      <c r="U63" s="51"/>
      <c r="V63" s="52" t="str">
        <f t="shared" si="20"/>
        <v/>
      </c>
      <c r="W63" s="51"/>
      <c r="X63" s="52" t="str">
        <f t="shared" si="21"/>
        <v/>
      </c>
    </row>
    <row r="64" spans="1:24" x14ac:dyDescent="0.35">
      <c r="A64" s="27">
        <v>54</v>
      </c>
      <c r="B64" s="54">
        <v>46559</v>
      </c>
      <c r="C64" s="55">
        <f t="shared" si="11"/>
        <v>0</v>
      </c>
      <c r="D64" s="48"/>
      <c r="E64" s="27"/>
      <c r="F64" s="27"/>
      <c r="G64" s="66" t="str">
        <f t="shared" si="12"/>
        <v/>
      </c>
      <c r="H64" s="57" t="str">
        <f t="shared" si="13"/>
        <v/>
      </c>
      <c r="I64" s="53"/>
      <c r="J64" s="58" t="str">
        <f t="shared" si="14"/>
        <v/>
      </c>
      <c r="K64" s="51"/>
      <c r="L64" s="58" t="str">
        <f t="shared" si="15"/>
        <v/>
      </c>
      <c r="M64" s="51"/>
      <c r="N64" s="58" t="str">
        <f t="shared" si="16"/>
        <v/>
      </c>
      <c r="O64" s="51"/>
      <c r="P64" s="58" t="str">
        <f t="shared" si="17"/>
        <v/>
      </c>
      <c r="Q64" s="53"/>
      <c r="R64" s="58" t="str">
        <f t="shared" si="18"/>
        <v/>
      </c>
      <c r="S64" s="51"/>
      <c r="T64" s="58" t="str">
        <f t="shared" si="19"/>
        <v/>
      </c>
      <c r="U64" s="51"/>
      <c r="V64" s="58" t="str">
        <f t="shared" si="20"/>
        <v/>
      </c>
      <c r="W64" s="51"/>
      <c r="X64" s="58" t="str">
        <f t="shared" si="21"/>
        <v/>
      </c>
    </row>
    <row r="65" spans="1:24" x14ac:dyDescent="0.35">
      <c r="A65" s="20">
        <v>55</v>
      </c>
      <c r="B65" s="46">
        <v>46566</v>
      </c>
      <c r="C65" s="47">
        <f t="shared" si="11"/>
        <v>0</v>
      </c>
      <c r="D65" s="48"/>
      <c r="E65" s="20"/>
      <c r="F65" s="20"/>
      <c r="G65" s="65" t="str">
        <f t="shared" si="12"/>
        <v/>
      </c>
      <c r="H65" s="50" t="str">
        <f t="shared" si="13"/>
        <v/>
      </c>
      <c r="I65" s="53"/>
      <c r="J65" s="52" t="str">
        <f t="shared" si="14"/>
        <v/>
      </c>
      <c r="K65" s="51"/>
      <c r="L65" s="52" t="str">
        <f t="shared" si="15"/>
        <v/>
      </c>
      <c r="M65" s="51"/>
      <c r="N65" s="52" t="str">
        <f t="shared" si="16"/>
        <v/>
      </c>
      <c r="O65" s="51"/>
      <c r="P65" s="52" t="str">
        <f t="shared" si="17"/>
        <v/>
      </c>
      <c r="Q65" s="53"/>
      <c r="R65" s="52" t="str">
        <f t="shared" si="18"/>
        <v/>
      </c>
      <c r="S65" s="51"/>
      <c r="T65" s="52" t="str">
        <f t="shared" si="19"/>
        <v/>
      </c>
      <c r="U65" s="51"/>
      <c r="V65" s="52" t="str">
        <f t="shared" si="20"/>
        <v/>
      </c>
      <c r="W65" s="51"/>
      <c r="X65" s="52" t="str">
        <f t="shared" si="21"/>
        <v/>
      </c>
    </row>
    <row r="66" spans="1:24" x14ac:dyDescent="0.35">
      <c r="A66" s="27">
        <v>56</v>
      </c>
      <c r="B66" s="54">
        <v>46573</v>
      </c>
      <c r="C66" s="55">
        <f t="shared" si="11"/>
        <v>0</v>
      </c>
      <c r="D66" s="48"/>
      <c r="E66" s="27"/>
      <c r="F66" s="27"/>
      <c r="G66" s="66" t="str">
        <f t="shared" si="12"/>
        <v/>
      </c>
      <c r="H66" s="57" t="str">
        <f t="shared" si="13"/>
        <v/>
      </c>
      <c r="I66" s="53"/>
      <c r="J66" s="58" t="str">
        <f t="shared" si="14"/>
        <v/>
      </c>
      <c r="K66" s="51"/>
      <c r="L66" s="58" t="str">
        <f t="shared" si="15"/>
        <v/>
      </c>
      <c r="M66" s="51"/>
      <c r="N66" s="58" t="str">
        <f t="shared" si="16"/>
        <v/>
      </c>
      <c r="O66" s="51"/>
      <c r="P66" s="58" t="str">
        <f t="shared" si="17"/>
        <v/>
      </c>
      <c r="Q66" s="53"/>
      <c r="R66" s="58" t="str">
        <f t="shared" si="18"/>
        <v/>
      </c>
      <c r="S66" s="51"/>
      <c r="T66" s="58" t="str">
        <f t="shared" si="19"/>
        <v/>
      </c>
      <c r="U66" s="51"/>
      <c r="V66" s="58" t="str">
        <f t="shared" si="20"/>
        <v/>
      </c>
      <c r="W66" s="51"/>
      <c r="X66" s="58" t="str">
        <f t="shared" si="21"/>
        <v/>
      </c>
    </row>
    <row r="67" spans="1:24" x14ac:dyDescent="0.35">
      <c r="A67" s="20">
        <v>57</v>
      </c>
      <c r="B67" s="46">
        <v>46580</v>
      </c>
      <c r="C67" s="47">
        <f t="shared" si="11"/>
        <v>0</v>
      </c>
      <c r="D67" s="48"/>
      <c r="E67" s="20"/>
      <c r="F67" s="20"/>
      <c r="G67" s="65" t="str">
        <f t="shared" si="12"/>
        <v/>
      </c>
      <c r="H67" s="50" t="str">
        <f t="shared" si="13"/>
        <v/>
      </c>
      <c r="I67" s="53"/>
      <c r="J67" s="52" t="str">
        <f t="shared" si="14"/>
        <v/>
      </c>
      <c r="K67" s="51"/>
      <c r="L67" s="52" t="str">
        <f t="shared" si="15"/>
        <v/>
      </c>
      <c r="M67" s="51"/>
      <c r="N67" s="52" t="str">
        <f t="shared" si="16"/>
        <v/>
      </c>
      <c r="O67" s="51"/>
      <c r="P67" s="52" t="str">
        <f t="shared" si="17"/>
        <v/>
      </c>
      <c r="Q67" s="53"/>
      <c r="R67" s="52" t="str">
        <f t="shared" si="18"/>
        <v/>
      </c>
      <c r="S67" s="51"/>
      <c r="T67" s="52" t="str">
        <f t="shared" si="19"/>
        <v/>
      </c>
      <c r="U67" s="51"/>
      <c r="V67" s="52" t="str">
        <f t="shared" si="20"/>
        <v/>
      </c>
      <c r="W67" s="51"/>
      <c r="X67" s="52" t="str">
        <f t="shared" si="21"/>
        <v/>
      </c>
    </row>
    <row r="68" spans="1:24" x14ac:dyDescent="0.35">
      <c r="A68" s="27">
        <v>58</v>
      </c>
      <c r="B68" s="54">
        <v>46587</v>
      </c>
      <c r="C68" s="55">
        <f t="shared" si="11"/>
        <v>0</v>
      </c>
      <c r="D68" s="48"/>
      <c r="E68" s="27"/>
      <c r="F68" s="27"/>
      <c r="G68" s="66" t="str">
        <f t="shared" si="12"/>
        <v/>
      </c>
      <c r="H68" s="57" t="str">
        <f t="shared" si="13"/>
        <v/>
      </c>
      <c r="I68" s="53"/>
      <c r="J68" s="58" t="str">
        <f t="shared" si="14"/>
        <v/>
      </c>
      <c r="K68" s="51"/>
      <c r="L68" s="58" t="str">
        <f t="shared" si="15"/>
        <v/>
      </c>
      <c r="M68" s="51"/>
      <c r="N68" s="58" t="str">
        <f t="shared" si="16"/>
        <v/>
      </c>
      <c r="O68" s="51"/>
      <c r="P68" s="58" t="str">
        <f t="shared" si="17"/>
        <v/>
      </c>
      <c r="Q68" s="53"/>
      <c r="R68" s="58" t="str">
        <f t="shared" si="18"/>
        <v/>
      </c>
      <c r="S68" s="51"/>
      <c r="T68" s="58" t="str">
        <f t="shared" si="19"/>
        <v/>
      </c>
      <c r="U68" s="51"/>
      <c r="V68" s="58" t="str">
        <f t="shared" si="20"/>
        <v/>
      </c>
      <c r="W68" s="51"/>
      <c r="X68" s="58" t="str">
        <f t="shared" si="21"/>
        <v/>
      </c>
    </row>
    <row r="69" spans="1:24" x14ac:dyDescent="0.35">
      <c r="A69" s="20">
        <v>59</v>
      </c>
      <c r="B69" s="46">
        <v>46594</v>
      </c>
      <c r="C69" s="47">
        <f t="shared" si="11"/>
        <v>0</v>
      </c>
      <c r="D69" s="48"/>
      <c r="E69" s="20"/>
      <c r="F69" s="20"/>
      <c r="G69" s="65" t="str">
        <f t="shared" si="12"/>
        <v/>
      </c>
      <c r="H69" s="50" t="str">
        <f t="shared" si="13"/>
        <v/>
      </c>
      <c r="I69" s="53"/>
      <c r="J69" s="52" t="str">
        <f t="shared" si="14"/>
        <v/>
      </c>
      <c r="K69" s="51"/>
      <c r="L69" s="52" t="str">
        <f t="shared" si="15"/>
        <v/>
      </c>
      <c r="M69" s="51"/>
      <c r="N69" s="52" t="str">
        <f t="shared" si="16"/>
        <v/>
      </c>
      <c r="O69" s="51"/>
      <c r="P69" s="52" t="str">
        <f t="shared" si="17"/>
        <v/>
      </c>
      <c r="Q69" s="53"/>
      <c r="R69" s="52" t="str">
        <f t="shared" si="18"/>
        <v/>
      </c>
      <c r="S69" s="51"/>
      <c r="T69" s="52" t="str">
        <f t="shared" si="19"/>
        <v/>
      </c>
      <c r="U69" s="51"/>
      <c r="V69" s="52" t="str">
        <f t="shared" si="20"/>
        <v/>
      </c>
      <c r="W69" s="51"/>
      <c r="X69" s="52" t="str">
        <f t="shared" si="21"/>
        <v/>
      </c>
    </row>
    <row r="70" spans="1:24" x14ac:dyDescent="0.35">
      <c r="A70" s="27">
        <v>60</v>
      </c>
      <c r="B70" s="54">
        <v>46601</v>
      </c>
      <c r="C70" s="55">
        <f t="shared" si="11"/>
        <v>0</v>
      </c>
      <c r="D70" s="48"/>
      <c r="E70" s="27"/>
      <c r="F70" s="27"/>
      <c r="G70" s="66" t="str">
        <f t="shared" si="12"/>
        <v/>
      </c>
      <c r="H70" s="57" t="str">
        <f t="shared" si="13"/>
        <v/>
      </c>
      <c r="I70" s="53"/>
      <c r="J70" s="58" t="str">
        <f t="shared" si="14"/>
        <v/>
      </c>
      <c r="K70" s="51"/>
      <c r="L70" s="58" t="str">
        <f t="shared" si="15"/>
        <v/>
      </c>
      <c r="M70" s="51"/>
      <c r="N70" s="58" t="str">
        <f t="shared" si="16"/>
        <v/>
      </c>
      <c r="O70" s="51"/>
      <c r="P70" s="58" t="str">
        <f t="shared" si="17"/>
        <v/>
      </c>
      <c r="Q70" s="53"/>
      <c r="R70" s="58" t="str">
        <f t="shared" si="18"/>
        <v/>
      </c>
      <c r="S70" s="51"/>
      <c r="T70" s="58" t="str">
        <f t="shared" si="19"/>
        <v/>
      </c>
      <c r="U70" s="51"/>
      <c r="V70" s="58" t="str">
        <f t="shared" si="20"/>
        <v/>
      </c>
      <c r="W70" s="51"/>
      <c r="X70" s="58" t="str">
        <f t="shared" si="21"/>
        <v/>
      </c>
    </row>
    <row r="71" spans="1:24" x14ac:dyDescent="0.35">
      <c r="A71" s="20">
        <v>61</v>
      </c>
      <c r="B71" s="46">
        <v>46608</v>
      </c>
      <c r="C71" s="47">
        <f t="shared" si="11"/>
        <v>0</v>
      </c>
      <c r="D71" s="48"/>
      <c r="E71" s="20"/>
      <c r="F71" s="20"/>
      <c r="G71" s="65" t="str">
        <f t="shared" si="12"/>
        <v/>
      </c>
      <c r="H71" s="50" t="str">
        <f t="shared" si="13"/>
        <v/>
      </c>
      <c r="I71" s="53"/>
      <c r="J71" s="52" t="str">
        <f t="shared" si="14"/>
        <v/>
      </c>
      <c r="K71" s="51"/>
      <c r="L71" s="52" t="str">
        <f t="shared" si="15"/>
        <v/>
      </c>
      <c r="M71" s="51"/>
      <c r="N71" s="52" t="str">
        <f t="shared" si="16"/>
        <v/>
      </c>
      <c r="O71" s="51"/>
      <c r="P71" s="52" t="str">
        <f t="shared" si="17"/>
        <v/>
      </c>
      <c r="Q71" s="53"/>
      <c r="R71" s="52" t="str">
        <f t="shared" si="18"/>
        <v/>
      </c>
      <c r="S71" s="51"/>
      <c r="T71" s="52" t="str">
        <f t="shared" si="19"/>
        <v/>
      </c>
      <c r="U71" s="51"/>
      <c r="V71" s="52" t="str">
        <f t="shared" si="20"/>
        <v/>
      </c>
      <c r="W71" s="51"/>
      <c r="X71" s="52" t="str">
        <f t="shared" si="21"/>
        <v/>
      </c>
    </row>
    <row r="72" spans="1:24" x14ac:dyDescent="0.35">
      <c r="A72" s="27">
        <v>62</v>
      </c>
      <c r="B72" s="54">
        <v>46615</v>
      </c>
      <c r="C72" s="55">
        <f t="shared" si="11"/>
        <v>0</v>
      </c>
      <c r="D72" s="48"/>
      <c r="E72" s="27"/>
      <c r="F72" s="27"/>
      <c r="G72" s="66" t="str">
        <f t="shared" si="12"/>
        <v/>
      </c>
      <c r="H72" s="57" t="str">
        <f t="shared" si="13"/>
        <v/>
      </c>
      <c r="I72" s="53"/>
      <c r="J72" s="58" t="str">
        <f t="shared" si="14"/>
        <v/>
      </c>
      <c r="K72" s="51"/>
      <c r="L72" s="58" t="str">
        <f t="shared" si="15"/>
        <v/>
      </c>
      <c r="M72" s="51"/>
      <c r="N72" s="58" t="str">
        <f t="shared" si="16"/>
        <v/>
      </c>
      <c r="O72" s="51"/>
      <c r="P72" s="58" t="str">
        <f t="shared" si="17"/>
        <v/>
      </c>
      <c r="Q72" s="53"/>
      <c r="R72" s="58" t="str">
        <f t="shared" si="18"/>
        <v/>
      </c>
      <c r="S72" s="51"/>
      <c r="T72" s="58" t="str">
        <f t="shared" si="19"/>
        <v/>
      </c>
      <c r="U72" s="51"/>
      <c r="V72" s="58" t="str">
        <f t="shared" si="20"/>
        <v/>
      </c>
      <c r="W72" s="51"/>
      <c r="X72" s="58" t="str">
        <f t="shared" si="21"/>
        <v/>
      </c>
    </row>
    <row r="73" spans="1:24" x14ac:dyDescent="0.35">
      <c r="A73" s="20">
        <v>63</v>
      </c>
      <c r="B73" s="46">
        <v>46622</v>
      </c>
      <c r="C73" s="47">
        <f t="shared" si="11"/>
        <v>0</v>
      </c>
      <c r="D73" s="48"/>
      <c r="E73" s="20"/>
      <c r="F73" s="20"/>
      <c r="G73" s="65" t="str">
        <f t="shared" si="12"/>
        <v/>
      </c>
      <c r="H73" s="50" t="str">
        <f t="shared" si="13"/>
        <v/>
      </c>
      <c r="I73" s="53"/>
      <c r="J73" s="52" t="str">
        <f t="shared" si="14"/>
        <v/>
      </c>
      <c r="K73" s="51"/>
      <c r="L73" s="52" t="str">
        <f t="shared" si="15"/>
        <v/>
      </c>
      <c r="M73" s="51"/>
      <c r="N73" s="52" t="str">
        <f t="shared" si="16"/>
        <v/>
      </c>
      <c r="O73" s="51"/>
      <c r="P73" s="52" t="str">
        <f t="shared" si="17"/>
        <v/>
      </c>
      <c r="Q73" s="53"/>
      <c r="R73" s="52" t="str">
        <f t="shared" si="18"/>
        <v/>
      </c>
      <c r="S73" s="51"/>
      <c r="T73" s="52" t="str">
        <f t="shared" si="19"/>
        <v/>
      </c>
      <c r="U73" s="51"/>
      <c r="V73" s="52" t="str">
        <f t="shared" si="20"/>
        <v/>
      </c>
      <c r="W73" s="51"/>
      <c r="X73" s="52" t="str">
        <f t="shared" si="21"/>
        <v/>
      </c>
    </row>
    <row r="74" spans="1:24" x14ac:dyDescent="0.35">
      <c r="A74" s="27">
        <v>64</v>
      </c>
      <c r="B74" s="54">
        <v>46629</v>
      </c>
      <c r="C74" s="55">
        <f t="shared" si="11"/>
        <v>0</v>
      </c>
      <c r="D74" s="48"/>
      <c r="E74" s="27"/>
      <c r="F74" s="27"/>
      <c r="G74" s="66" t="str">
        <f t="shared" si="12"/>
        <v/>
      </c>
      <c r="H74" s="57" t="str">
        <f t="shared" si="13"/>
        <v/>
      </c>
      <c r="I74" s="53"/>
      <c r="J74" s="58" t="str">
        <f t="shared" si="14"/>
        <v/>
      </c>
      <c r="K74" s="51"/>
      <c r="L74" s="58" t="str">
        <f t="shared" si="15"/>
        <v/>
      </c>
      <c r="M74" s="51"/>
      <c r="N74" s="58" t="str">
        <f t="shared" si="16"/>
        <v/>
      </c>
      <c r="O74" s="51"/>
      <c r="P74" s="58" t="str">
        <f t="shared" si="17"/>
        <v/>
      </c>
      <c r="Q74" s="53"/>
      <c r="R74" s="58" t="str">
        <f t="shared" si="18"/>
        <v/>
      </c>
      <c r="S74" s="51"/>
      <c r="T74" s="58" t="str">
        <f t="shared" si="19"/>
        <v/>
      </c>
      <c r="U74" s="51"/>
      <c r="V74" s="58" t="str">
        <f t="shared" si="20"/>
        <v/>
      </c>
      <c r="W74" s="51"/>
      <c r="X74" s="58" t="str">
        <f t="shared" si="21"/>
        <v/>
      </c>
    </row>
    <row r="75" spans="1:24" x14ac:dyDescent="0.35">
      <c r="A75" s="20">
        <v>65</v>
      </c>
      <c r="B75" s="46">
        <v>46636</v>
      </c>
      <c r="C75" s="47">
        <f t="shared" ref="C75:C91" si="22">$B$5</f>
        <v>0</v>
      </c>
      <c r="D75" s="48"/>
      <c r="E75" s="20"/>
      <c r="F75" s="20"/>
      <c r="G75" s="65" t="str">
        <f t="shared" ref="G75:G91" si="23">IF(D75="","",D75-C75)</f>
        <v/>
      </c>
      <c r="H75" s="50" t="str">
        <f t="shared" ref="H75:H91" si="24">IF(D75="","",IF(D75&lt;=C75,"En meta",IF(D75&lt;=C75+1,"Riesgo","Atrasado")))</f>
        <v/>
      </c>
      <c r="I75" s="53"/>
      <c r="J75" s="52" t="str">
        <f t="shared" ref="J75:J106" si="25">IF(I75="","",IF($I$9="","",IF($I$9=0,"",I75/$I$9)))</f>
        <v/>
      </c>
      <c r="K75" s="51"/>
      <c r="L75" s="52" t="str">
        <f t="shared" ref="L75:L106" si="26">IF(K75="","",IF($K$9="","",IF($K$9=0,"",K75/$K$9)))</f>
        <v/>
      </c>
      <c r="M75" s="51"/>
      <c r="N75" s="52" t="str">
        <f t="shared" ref="N75:N106" si="27">IF(M75="","",IF($M$9="","",IF($M$9=0,"",M75/$M$9)))</f>
        <v/>
      </c>
      <c r="O75" s="51"/>
      <c r="P75" s="52" t="str">
        <f t="shared" ref="P75:P106" si="28">IF(O75="","",IF($O$9="","",IF($O$9=0,"",O75/$O$9)))</f>
        <v/>
      </c>
      <c r="Q75" s="53"/>
      <c r="R75" s="52" t="str">
        <f t="shared" ref="R75:R106" si="29">IF(Q75="","",IF($Q$9="","",IF($Q$9=0,"",Q75/$Q$9)))</f>
        <v/>
      </c>
      <c r="S75" s="51"/>
      <c r="T75" s="52" t="str">
        <f t="shared" ref="T75:T106" si="30">IF(S75="","",IF($S$9="","",IF($S$9=0,"",S75/$S$9)))</f>
        <v/>
      </c>
      <c r="U75" s="51"/>
      <c r="V75" s="52" t="str">
        <f t="shared" ref="V75:V106" si="31">IF(U75="","",IF($U$9="","",IF($U$9=0,"",U75/$U$9)))</f>
        <v/>
      </c>
      <c r="W75" s="51"/>
      <c r="X75" s="52" t="str">
        <f t="shared" ref="X75:X106" si="32">IF(W75="","",IF($W$9="","",IF($W$9=0,"",W75/$W$9)))</f>
        <v/>
      </c>
    </row>
    <row r="76" spans="1:24" x14ac:dyDescent="0.35">
      <c r="A76" s="27">
        <v>66</v>
      </c>
      <c r="B76" s="54">
        <v>46643</v>
      </c>
      <c r="C76" s="55">
        <f t="shared" si="22"/>
        <v>0</v>
      </c>
      <c r="D76" s="48"/>
      <c r="E76" s="27"/>
      <c r="F76" s="27"/>
      <c r="G76" s="66" t="str">
        <f t="shared" si="23"/>
        <v/>
      </c>
      <c r="H76" s="57" t="str">
        <f t="shared" si="24"/>
        <v/>
      </c>
      <c r="I76" s="53"/>
      <c r="J76" s="58" t="str">
        <f t="shared" si="25"/>
        <v/>
      </c>
      <c r="K76" s="51"/>
      <c r="L76" s="58" t="str">
        <f t="shared" si="26"/>
        <v/>
      </c>
      <c r="M76" s="51"/>
      <c r="N76" s="58" t="str">
        <f t="shared" si="27"/>
        <v/>
      </c>
      <c r="O76" s="51"/>
      <c r="P76" s="58" t="str">
        <f t="shared" si="28"/>
        <v/>
      </c>
      <c r="Q76" s="53"/>
      <c r="R76" s="58" t="str">
        <f t="shared" si="29"/>
        <v/>
      </c>
      <c r="S76" s="51"/>
      <c r="T76" s="58" t="str">
        <f t="shared" si="30"/>
        <v/>
      </c>
      <c r="U76" s="51"/>
      <c r="V76" s="58" t="str">
        <f t="shared" si="31"/>
        <v/>
      </c>
      <c r="W76" s="51"/>
      <c r="X76" s="58" t="str">
        <f t="shared" si="32"/>
        <v/>
      </c>
    </row>
    <row r="77" spans="1:24" x14ac:dyDescent="0.35">
      <c r="A77" s="20">
        <v>67</v>
      </c>
      <c r="B77" s="46">
        <v>46650</v>
      </c>
      <c r="C77" s="47">
        <f t="shared" si="22"/>
        <v>0</v>
      </c>
      <c r="D77" s="48"/>
      <c r="E77" s="20"/>
      <c r="F77" s="20"/>
      <c r="G77" s="65" t="str">
        <f t="shared" si="23"/>
        <v/>
      </c>
      <c r="H77" s="50" t="str">
        <f t="shared" si="24"/>
        <v/>
      </c>
      <c r="I77" s="53"/>
      <c r="J77" s="52" t="str">
        <f t="shared" si="25"/>
        <v/>
      </c>
      <c r="K77" s="51"/>
      <c r="L77" s="52" t="str">
        <f t="shared" si="26"/>
        <v/>
      </c>
      <c r="M77" s="51"/>
      <c r="N77" s="52" t="str">
        <f t="shared" si="27"/>
        <v/>
      </c>
      <c r="O77" s="51"/>
      <c r="P77" s="52" t="str">
        <f t="shared" si="28"/>
        <v/>
      </c>
      <c r="Q77" s="53"/>
      <c r="R77" s="52" t="str">
        <f t="shared" si="29"/>
        <v/>
      </c>
      <c r="S77" s="51"/>
      <c r="T77" s="52" t="str">
        <f t="shared" si="30"/>
        <v/>
      </c>
      <c r="U77" s="51"/>
      <c r="V77" s="52" t="str">
        <f t="shared" si="31"/>
        <v/>
      </c>
      <c r="W77" s="51"/>
      <c r="X77" s="52" t="str">
        <f t="shared" si="32"/>
        <v/>
      </c>
    </row>
    <row r="78" spans="1:24" x14ac:dyDescent="0.35">
      <c r="A78" s="27">
        <v>68</v>
      </c>
      <c r="B78" s="54">
        <v>46657</v>
      </c>
      <c r="C78" s="55">
        <f t="shared" si="22"/>
        <v>0</v>
      </c>
      <c r="D78" s="48"/>
      <c r="E78" s="27"/>
      <c r="F78" s="27"/>
      <c r="G78" s="66" t="str">
        <f t="shared" si="23"/>
        <v/>
      </c>
      <c r="H78" s="57" t="str">
        <f t="shared" si="24"/>
        <v/>
      </c>
      <c r="I78" s="53"/>
      <c r="J78" s="58" t="str">
        <f t="shared" si="25"/>
        <v/>
      </c>
      <c r="K78" s="51"/>
      <c r="L78" s="58" t="str">
        <f t="shared" si="26"/>
        <v/>
      </c>
      <c r="M78" s="51"/>
      <c r="N78" s="58" t="str">
        <f t="shared" si="27"/>
        <v/>
      </c>
      <c r="O78" s="51"/>
      <c r="P78" s="58" t="str">
        <f t="shared" si="28"/>
        <v/>
      </c>
      <c r="Q78" s="53"/>
      <c r="R78" s="58" t="str">
        <f t="shared" si="29"/>
        <v/>
      </c>
      <c r="S78" s="51"/>
      <c r="T78" s="58" t="str">
        <f t="shared" si="30"/>
        <v/>
      </c>
      <c r="U78" s="51"/>
      <c r="V78" s="58" t="str">
        <f t="shared" si="31"/>
        <v/>
      </c>
      <c r="W78" s="51"/>
      <c r="X78" s="58" t="str">
        <f t="shared" si="32"/>
        <v/>
      </c>
    </row>
    <row r="79" spans="1:24" x14ac:dyDescent="0.35">
      <c r="A79" s="20">
        <v>69</v>
      </c>
      <c r="B79" s="46">
        <v>46664</v>
      </c>
      <c r="C79" s="47">
        <f t="shared" si="22"/>
        <v>0</v>
      </c>
      <c r="D79" s="48"/>
      <c r="E79" s="20"/>
      <c r="F79" s="20"/>
      <c r="G79" s="65" t="str">
        <f t="shared" si="23"/>
        <v/>
      </c>
      <c r="H79" s="50" t="str">
        <f t="shared" si="24"/>
        <v/>
      </c>
      <c r="I79" s="53"/>
      <c r="J79" s="52" t="str">
        <f t="shared" si="25"/>
        <v/>
      </c>
      <c r="K79" s="51"/>
      <c r="L79" s="52" t="str">
        <f t="shared" si="26"/>
        <v/>
      </c>
      <c r="M79" s="51"/>
      <c r="N79" s="52" t="str">
        <f t="shared" si="27"/>
        <v/>
      </c>
      <c r="O79" s="51"/>
      <c r="P79" s="52" t="str">
        <f t="shared" si="28"/>
        <v/>
      </c>
      <c r="Q79" s="53"/>
      <c r="R79" s="52" t="str">
        <f t="shared" si="29"/>
        <v/>
      </c>
      <c r="S79" s="51"/>
      <c r="T79" s="52" t="str">
        <f t="shared" si="30"/>
        <v/>
      </c>
      <c r="U79" s="51"/>
      <c r="V79" s="52" t="str">
        <f t="shared" si="31"/>
        <v/>
      </c>
      <c r="W79" s="51"/>
      <c r="X79" s="52" t="str">
        <f t="shared" si="32"/>
        <v/>
      </c>
    </row>
    <row r="80" spans="1:24" x14ac:dyDescent="0.35">
      <c r="A80" s="27">
        <v>70</v>
      </c>
      <c r="B80" s="54">
        <v>46671</v>
      </c>
      <c r="C80" s="55">
        <f t="shared" si="22"/>
        <v>0</v>
      </c>
      <c r="D80" s="48"/>
      <c r="E80" s="27"/>
      <c r="F80" s="27"/>
      <c r="G80" s="66" t="str">
        <f t="shared" si="23"/>
        <v/>
      </c>
      <c r="H80" s="57" t="str">
        <f t="shared" si="24"/>
        <v/>
      </c>
      <c r="I80" s="53"/>
      <c r="J80" s="58" t="str">
        <f t="shared" si="25"/>
        <v/>
      </c>
      <c r="K80" s="51"/>
      <c r="L80" s="58" t="str">
        <f t="shared" si="26"/>
        <v/>
      </c>
      <c r="M80" s="51"/>
      <c r="N80" s="58" t="str">
        <f t="shared" si="27"/>
        <v/>
      </c>
      <c r="O80" s="51"/>
      <c r="P80" s="58" t="str">
        <f t="shared" si="28"/>
        <v/>
      </c>
      <c r="Q80" s="53"/>
      <c r="R80" s="58" t="str">
        <f t="shared" si="29"/>
        <v/>
      </c>
      <c r="S80" s="51"/>
      <c r="T80" s="58" t="str">
        <f t="shared" si="30"/>
        <v/>
      </c>
      <c r="U80" s="51"/>
      <c r="V80" s="58" t="str">
        <f t="shared" si="31"/>
        <v/>
      </c>
      <c r="W80" s="51"/>
      <c r="X80" s="58" t="str">
        <f t="shared" si="32"/>
        <v/>
      </c>
    </row>
    <row r="81" spans="1:24" x14ac:dyDescent="0.35">
      <c r="A81" s="20">
        <v>71</v>
      </c>
      <c r="B81" s="46">
        <v>46678</v>
      </c>
      <c r="C81" s="47">
        <f t="shared" si="22"/>
        <v>0</v>
      </c>
      <c r="D81" s="48"/>
      <c r="E81" s="20"/>
      <c r="F81" s="20"/>
      <c r="G81" s="65" t="str">
        <f t="shared" si="23"/>
        <v/>
      </c>
      <c r="H81" s="50" t="str">
        <f t="shared" si="24"/>
        <v/>
      </c>
      <c r="I81" s="53"/>
      <c r="J81" s="52" t="str">
        <f t="shared" si="25"/>
        <v/>
      </c>
      <c r="K81" s="51"/>
      <c r="L81" s="52" t="str">
        <f t="shared" si="26"/>
        <v/>
      </c>
      <c r="M81" s="51"/>
      <c r="N81" s="52" t="str">
        <f t="shared" si="27"/>
        <v/>
      </c>
      <c r="O81" s="51"/>
      <c r="P81" s="52" t="str">
        <f t="shared" si="28"/>
        <v/>
      </c>
      <c r="Q81" s="53"/>
      <c r="R81" s="52" t="str">
        <f t="shared" si="29"/>
        <v/>
      </c>
      <c r="S81" s="51"/>
      <c r="T81" s="52" t="str">
        <f t="shared" si="30"/>
        <v/>
      </c>
      <c r="U81" s="51"/>
      <c r="V81" s="52" t="str">
        <f t="shared" si="31"/>
        <v/>
      </c>
      <c r="W81" s="51"/>
      <c r="X81" s="52" t="str">
        <f t="shared" si="32"/>
        <v/>
      </c>
    </row>
    <row r="82" spans="1:24" x14ac:dyDescent="0.35">
      <c r="A82" s="27">
        <v>72</v>
      </c>
      <c r="B82" s="54">
        <v>46685</v>
      </c>
      <c r="C82" s="55">
        <f t="shared" si="22"/>
        <v>0</v>
      </c>
      <c r="D82" s="48"/>
      <c r="E82" s="27"/>
      <c r="F82" s="27"/>
      <c r="G82" s="66" t="str">
        <f t="shared" si="23"/>
        <v/>
      </c>
      <c r="H82" s="57" t="str">
        <f t="shared" si="24"/>
        <v/>
      </c>
      <c r="I82" s="53"/>
      <c r="J82" s="58" t="str">
        <f t="shared" si="25"/>
        <v/>
      </c>
      <c r="K82" s="51"/>
      <c r="L82" s="58" t="str">
        <f t="shared" si="26"/>
        <v/>
      </c>
      <c r="M82" s="51"/>
      <c r="N82" s="58" t="str">
        <f t="shared" si="27"/>
        <v/>
      </c>
      <c r="O82" s="51"/>
      <c r="P82" s="58" t="str">
        <f t="shared" si="28"/>
        <v/>
      </c>
      <c r="Q82" s="53"/>
      <c r="R82" s="58" t="str">
        <f t="shared" si="29"/>
        <v/>
      </c>
      <c r="S82" s="51"/>
      <c r="T82" s="58" t="str">
        <f t="shared" si="30"/>
        <v/>
      </c>
      <c r="U82" s="51"/>
      <c r="V82" s="58" t="str">
        <f t="shared" si="31"/>
        <v/>
      </c>
      <c r="W82" s="51"/>
      <c r="X82" s="58" t="str">
        <f t="shared" si="32"/>
        <v/>
      </c>
    </row>
    <row r="83" spans="1:24" x14ac:dyDescent="0.35">
      <c r="A83" s="20">
        <v>73</v>
      </c>
      <c r="B83" s="46">
        <v>46692</v>
      </c>
      <c r="C83" s="47">
        <f t="shared" si="22"/>
        <v>0</v>
      </c>
      <c r="D83" s="48"/>
      <c r="E83" s="20"/>
      <c r="F83" s="20"/>
      <c r="G83" s="65" t="str">
        <f t="shared" si="23"/>
        <v/>
      </c>
      <c r="H83" s="50" t="str">
        <f t="shared" si="24"/>
        <v/>
      </c>
      <c r="I83" s="53"/>
      <c r="J83" s="52" t="str">
        <f t="shared" si="25"/>
        <v/>
      </c>
      <c r="K83" s="51"/>
      <c r="L83" s="52" t="str">
        <f t="shared" si="26"/>
        <v/>
      </c>
      <c r="M83" s="51"/>
      <c r="N83" s="52" t="str">
        <f t="shared" si="27"/>
        <v/>
      </c>
      <c r="O83" s="51"/>
      <c r="P83" s="52" t="str">
        <f t="shared" si="28"/>
        <v/>
      </c>
      <c r="Q83" s="53"/>
      <c r="R83" s="52" t="str">
        <f t="shared" si="29"/>
        <v/>
      </c>
      <c r="S83" s="51"/>
      <c r="T83" s="52" t="str">
        <f t="shared" si="30"/>
        <v/>
      </c>
      <c r="U83" s="51"/>
      <c r="V83" s="52" t="str">
        <f t="shared" si="31"/>
        <v/>
      </c>
      <c r="W83" s="51"/>
      <c r="X83" s="52" t="str">
        <f t="shared" si="32"/>
        <v/>
      </c>
    </row>
    <row r="84" spans="1:24" x14ac:dyDescent="0.35">
      <c r="A84" s="27">
        <v>74</v>
      </c>
      <c r="B84" s="54">
        <v>46699</v>
      </c>
      <c r="C84" s="55">
        <f t="shared" si="22"/>
        <v>0</v>
      </c>
      <c r="D84" s="48"/>
      <c r="E84" s="27"/>
      <c r="F84" s="27"/>
      <c r="G84" s="66" t="str">
        <f t="shared" si="23"/>
        <v/>
      </c>
      <c r="H84" s="57" t="str">
        <f t="shared" si="24"/>
        <v/>
      </c>
      <c r="I84" s="53"/>
      <c r="J84" s="58" t="str">
        <f t="shared" si="25"/>
        <v/>
      </c>
      <c r="K84" s="51"/>
      <c r="L84" s="58" t="str">
        <f t="shared" si="26"/>
        <v/>
      </c>
      <c r="M84" s="51"/>
      <c r="N84" s="58" t="str">
        <f t="shared" si="27"/>
        <v/>
      </c>
      <c r="O84" s="51"/>
      <c r="P84" s="58" t="str">
        <f t="shared" si="28"/>
        <v/>
      </c>
      <c r="Q84" s="53"/>
      <c r="R84" s="58" t="str">
        <f t="shared" si="29"/>
        <v/>
      </c>
      <c r="S84" s="51"/>
      <c r="T84" s="58" t="str">
        <f t="shared" si="30"/>
        <v/>
      </c>
      <c r="U84" s="51"/>
      <c r="V84" s="58" t="str">
        <f t="shared" si="31"/>
        <v/>
      </c>
      <c r="W84" s="51"/>
      <c r="X84" s="58" t="str">
        <f t="shared" si="32"/>
        <v/>
      </c>
    </row>
    <row r="85" spans="1:24" x14ac:dyDescent="0.35">
      <c r="A85" s="20">
        <v>75</v>
      </c>
      <c r="B85" s="46">
        <v>46706</v>
      </c>
      <c r="C85" s="47">
        <f t="shared" si="22"/>
        <v>0</v>
      </c>
      <c r="D85" s="48"/>
      <c r="E85" s="20"/>
      <c r="F85" s="20"/>
      <c r="G85" s="65" t="str">
        <f t="shared" si="23"/>
        <v/>
      </c>
      <c r="H85" s="50" t="str">
        <f t="shared" si="24"/>
        <v/>
      </c>
      <c r="I85" s="53"/>
      <c r="J85" s="52" t="str">
        <f t="shared" si="25"/>
        <v/>
      </c>
      <c r="K85" s="51"/>
      <c r="L85" s="52" t="str">
        <f t="shared" si="26"/>
        <v/>
      </c>
      <c r="M85" s="51"/>
      <c r="N85" s="52" t="str">
        <f t="shared" si="27"/>
        <v/>
      </c>
      <c r="O85" s="51"/>
      <c r="P85" s="52" t="str">
        <f t="shared" si="28"/>
        <v/>
      </c>
      <c r="Q85" s="53"/>
      <c r="R85" s="52" t="str">
        <f t="shared" si="29"/>
        <v/>
      </c>
      <c r="S85" s="51"/>
      <c r="T85" s="52" t="str">
        <f t="shared" si="30"/>
        <v/>
      </c>
      <c r="U85" s="51"/>
      <c r="V85" s="52" t="str">
        <f t="shared" si="31"/>
        <v/>
      </c>
      <c r="W85" s="51"/>
      <c r="X85" s="52" t="str">
        <f t="shared" si="32"/>
        <v/>
      </c>
    </row>
    <row r="86" spans="1:24" x14ac:dyDescent="0.35">
      <c r="A86" s="27">
        <v>76</v>
      </c>
      <c r="B86" s="54">
        <v>46713</v>
      </c>
      <c r="C86" s="55">
        <f t="shared" si="22"/>
        <v>0</v>
      </c>
      <c r="D86" s="48"/>
      <c r="E86" s="27"/>
      <c r="F86" s="27"/>
      <c r="G86" s="66" t="str">
        <f t="shared" si="23"/>
        <v/>
      </c>
      <c r="H86" s="57" t="str">
        <f t="shared" si="24"/>
        <v/>
      </c>
      <c r="I86" s="53"/>
      <c r="J86" s="58" t="str">
        <f t="shared" si="25"/>
        <v/>
      </c>
      <c r="K86" s="51"/>
      <c r="L86" s="58" t="str">
        <f t="shared" si="26"/>
        <v/>
      </c>
      <c r="M86" s="51"/>
      <c r="N86" s="58" t="str">
        <f t="shared" si="27"/>
        <v/>
      </c>
      <c r="O86" s="51"/>
      <c r="P86" s="58" t="str">
        <f t="shared" si="28"/>
        <v/>
      </c>
      <c r="Q86" s="53"/>
      <c r="R86" s="58" t="str">
        <f t="shared" si="29"/>
        <v/>
      </c>
      <c r="S86" s="51"/>
      <c r="T86" s="58" t="str">
        <f t="shared" si="30"/>
        <v/>
      </c>
      <c r="U86" s="51"/>
      <c r="V86" s="58" t="str">
        <f t="shared" si="31"/>
        <v/>
      </c>
      <c r="W86" s="51"/>
      <c r="X86" s="58" t="str">
        <f t="shared" si="32"/>
        <v/>
      </c>
    </row>
    <row r="87" spans="1:24" x14ac:dyDescent="0.35">
      <c r="A87" s="20">
        <v>77</v>
      </c>
      <c r="B87" s="46">
        <v>46720</v>
      </c>
      <c r="C87" s="47">
        <f t="shared" si="22"/>
        <v>0</v>
      </c>
      <c r="D87" s="48"/>
      <c r="E87" s="20"/>
      <c r="F87" s="20"/>
      <c r="G87" s="65" t="str">
        <f t="shared" si="23"/>
        <v/>
      </c>
      <c r="H87" s="50" t="str">
        <f t="shared" si="24"/>
        <v/>
      </c>
      <c r="I87" s="53"/>
      <c r="J87" s="52" t="str">
        <f t="shared" si="25"/>
        <v/>
      </c>
      <c r="K87" s="51"/>
      <c r="L87" s="52" t="str">
        <f t="shared" si="26"/>
        <v/>
      </c>
      <c r="M87" s="51"/>
      <c r="N87" s="52" t="str">
        <f t="shared" si="27"/>
        <v/>
      </c>
      <c r="O87" s="51"/>
      <c r="P87" s="52" t="str">
        <f t="shared" si="28"/>
        <v/>
      </c>
      <c r="Q87" s="53"/>
      <c r="R87" s="52" t="str">
        <f t="shared" si="29"/>
        <v/>
      </c>
      <c r="S87" s="51"/>
      <c r="T87" s="52" t="str">
        <f t="shared" si="30"/>
        <v/>
      </c>
      <c r="U87" s="51"/>
      <c r="V87" s="52" t="str">
        <f t="shared" si="31"/>
        <v/>
      </c>
      <c r="W87" s="51"/>
      <c r="X87" s="52" t="str">
        <f t="shared" si="32"/>
        <v/>
      </c>
    </row>
    <row r="88" spans="1:24" x14ac:dyDescent="0.35">
      <c r="A88" s="27">
        <v>78</v>
      </c>
      <c r="B88" s="54">
        <v>46727</v>
      </c>
      <c r="C88" s="55">
        <f t="shared" si="22"/>
        <v>0</v>
      </c>
      <c r="D88" s="48"/>
      <c r="E88" s="27"/>
      <c r="F88" s="27"/>
      <c r="G88" s="66" t="str">
        <f t="shared" si="23"/>
        <v/>
      </c>
      <c r="H88" s="57" t="str">
        <f t="shared" si="24"/>
        <v/>
      </c>
      <c r="I88" s="53"/>
      <c r="J88" s="58" t="str">
        <f t="shared" si="25"/>
        <v/>
      </c>
      <c r="K88" s="51"/>
      <c r="L88" s="58" t="str">
        <f t="shared" si="26"/>
        <v/>
      </c>
      <c r="M88" s="51"/>
      <c r="N88" s="58" t="str">
        <f t="shared" si="27"/>
        <v/>
      </c>
      <c r="O88" s="51"/>
      <c r="P88" s="58" t="str">
        <f t="shared" si="28"/>
        <v/>
      </c>
      <c r="Q88" s="53"/>
      <c r="R88" s="58" t="str">
        <f t="shared" si="29"/>
        <v/>
      </c>
      <c r="S88" s="51"/>
      <c r="T88" s="58" t="str">
        <f t="shared" si="30"/>
        <v/>
      </c>
      <c r="U88" s="51"/>
      <c r="V88" s="58" t="str">
        <f t="shared" si="31"/>
        <v/>
      </c>
      <c r="W88" s="51"/>
      <c r="X88" s="58" t="str">
        <f t="shared" si="32"/>
        <v/>
      </c>
    </row>
    <row r="89" spans="1:24" x14ac:dyDescent="0.35">
      <c r="A89" s="20">
        <v>79</v>
      </c>
      <c r="B89" s="46">
        <v>46734</v>
      </c>
      <c r="C89" s="47">
        <f t="shared" si="22"/>
        <v>0</v>
      </c>
      <c r="D89" s="48"/>
      <c r="E89" s="20"/>
      <c r="F89" s="20"/>
      <c r="G89" s="65" t="str">
        <f t="shared" si="23"/>
        <v/>
      </c>
      <c r="H89" s="50" t="str">
        <f t="shared" si="24"/>
        <v/>
      </c>
      <c r="I89" s="53"/>
      <c r="J89" s="52" t="str">
        <f t="shared" si="25"/>
        <v/>
      </c>
      <c r="K89" s="51"/>
      <c r="L89" s="52" t="str">
        <f t="shared" si="26"/>
        <v/>
      </c>
      <c r="M89" s="51"/>
      <c r="N89" s="52" t="str">
        <f t="shared" si="27"/>
        <v/>
      </c>
      <c r="O89" s="51"/>
      <c r="P89" s="52" t="str">
        <f t="shared" si="28"/>
        <v/>
      </c>
      <c r="Q89" s="53"/>
      <c r="R89" s="52" t="str">
        <f t="shared" si="29"/>
        <v/>
      </c>
      <c r="S89" s="51"/>
      <c r="T89" s="52" t="str">
        <f t="shared" si="30"/>
        <v/>
      </c>
      <c r="U89" s="51"/>
      <c r="V89" s="52" t="str">
        <f t="shared" si="31"/>
        <v/>
      </c>
      <c r="W89" s="51"/>
      <c r="X89" s="52" t="str">
        <f t="shared" si="32"/>
        <v/>
      </c>
    </row>
    <row r="90" spans="1:24" x14ac:dyDescent="0.35">
      <c r="A90" s="27">
        <v>80</v>
      </c>
      <c r="B90" s="54">
        <v>46741</v>
      </c>
      <c r="C90" s="55">
        <f t="shared" si="22"/>
        <v>0</v>
      </c>
      <c r="D90" s="48"/>
      <c r="E90" s="27"/>
      <c r="F90" s="27"/>
      <c r="G90" s="66" t="str">
        <f t="shared" si="23"/>
        <v/>
      </c>
      <c r="H90" s="57" t="str">
        <f t="shared" si="24"/>
        <v/>
      </c>
      <c r="I90" s="53"/>
      <c r="J90" s="58" t="str">
        <f t="shared" si="25"/>
        <v/>
      </c>
      <c r="K90" s="51"/>
      <c r="L90" s="58" t="str">
        <f t="shared" si="26"/>
        <v/>
      </c>
      <c r="M90" s="51"/>
      <c r="N90" s="58" t="str">
        <f t="shared" si="27"/>
        <v/>
      </c>
      <c r="O90" s="51"/>
      <c r="P90" s="58" t="str">
        <f t="shared" si="28"/>
        <v/>
      </c>
      <c r="Q90" s="53"/>
      <c r="R90" s="58" t="str">
        <f t="shared" si="29"/>
        <v/>
      </c>
      <c r="S90" s="51"/>
      <c r="T90" s="58" t="str">
        <f t="shared" si="30"/>
        <v/>
      </c>
      <c r="U90" s="51"/>
      <c r="V90" s="58" t="str">
        <f t="shared" si="31"/>
        <v/>
      </c>
      <c r="W90" s="51"/>
      <c r="X90" s="58" t="str">
        <f t="shared" si="32"/>
        <v/>
      </c>
    </row>
    <row r="91" spans="1:24" x14ac:dyDescent="0.35">
      <c r="A91" s="20">
        <v>81</v>
      </c>
      <c r="B91" s="46">
        <v>46748</v>
      </c>
      <c r="C91" s="47">
        <f t="shared" si="22"/>
        <v>0</v>
      </c>
      <c r="D91" s="48"/>
      <c r="E91" s="20"/>
      <c r="F91" s="20"/>
      <c r="G91" s="65" t="str">
        <f t="shared" si="23"/>
        <v/>
      </c>
      <c r="H91" s="50" t="str">
        <f t="shared" si="24"/>
        <v/>
      </c>
      <c r="I91" s="53"/>
      <c r="J91" s="52" t="str">
        <f t="shared" si="25"/>
        <v/>
      </c>
      <c r="K91" s="51"/>
      <c r="L91" s="52" t="str">
        <f t="shared" si="26"/>
        <v/>
      </c>
      <c r="M91" s="51"/>
      <c r="N91" s="52" t="str">
        <f t="shared" si="27"/>
        <v/>
      </c>
      <c r="O91" s="51"/>
      <c r="P91" s="52" t="str">
        <f t="shared" si="28"/>
        <v/>
      </c>
      <c r="Q91" s="53"/>
      <c r="R91" s="52" t="str">
        <f t="shared" si="29"/>
        <v/>
      </c>
      <c r="S91" s="51"/>
      <c r="T91" s="52" t="str">
        <f t="shared" si="30"/>
        <v/>
      </c>
      <c r="U91" s="51"/>
      <c r="V91" s="52" t="str">
        <f t="shared" si="31"/>
        <v/>
      </c>
      <c r="W91" s="51"/>
      <c r="X91" s="52" t="str">
        <f t="shared" si="32"/>
        <v/>
      </c>
    </row>
  </sheetData>
  <mergeCells count="17">
    <mergeCell ref="S9:T9"/>
    <mergeCell ref="U9:V9"/>
    <mergeCell ref="W9:X9"/>
    <mergeCell ref="I9:J9"/>
    <mergeCell ref="K9:L9"/>
    <mergeCell ref="M9:N9"/>
    <mergeCell ref="O9:P9"/>
    <mergeCell ref="Q9:R9"/>
    <mergeCell ref="A1:X1"/>
    <mergeCell ref="I8:J8"/>
    <mergeCell ref="K8:L8"/>
    <mergeCell ref="M8:N8"/>
    <mergeCell ref="O8:P8"/>
    <mergeCell ref="Q8:R8"/>
    <mergeCell ref="S8:T8"/>
    <mergeCell ref="U8:V8"/>
    <mergeCell ref="W8:X8"/>
  </mergeCells>
  <conditionalFormatting sqref="H11:H91">
    <cfRule type="containsText" dxfId="11" priority="2" operator="containsText" text="En meta">
      <formula>NOT(ISERROR(SEARCH("En meta",H11)))</formula>
    </cfRule>
    <cfRule type="containsText" dxfId="10" priority="3" operator="containsText" text="Riesgo">
      <formula>NOT(ISERROR(SEARCH("Riesgo",H11)))</formula>
    </cfRule>
    <cfRule type="containsText" dxfId="9" priority="4" operator="containsText" text="Atrasado">
      <formula>NOT(ISERROR(SEARCH("Atrasado",H11)))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6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ColWidth="8.6328125" defaultRowHeight="14.5" x14ac:dyDescent="0.35"/>
  <cols>
    <col min="1" max="1" width="5" customWidth="1"/>
    <col min="2" max="2" width="11" customWidth="1"/>
    <col min="3" max="3" width="12" customWidth="1"/>
    <col min="4" max="4" width="11" customWidth="1"/>
    <col min="5" max="6" width="12" customWidth="1"/>
    <col min="7" max="7" width="13" customWidth="1"/>
    <col min="8" max="9" width="11" customWidth="1"/>
    <col min="10" max="10" width="7" customWidth="1"/>
    <col min="11" max="11" width="11" customWidth="1"/>
    <col min="12" max="12" width="7" customWidth="1"/>
    <col min="13" max="13" width="11" customWidth="1"/>
    <col min="14" max="14" width="7" customWidth="1"/>
    <col min="15" max="15" width="11" customWidth="1"/>
    <col min="16" max="16" width="7" customWidth="1"/>
    <col min="17" max="17" width="11" customWidth="1"/>
    <col min="18" max="18" width="7" customWidth="1"/>
    <col min="19" max="19" width="11" customWidth="1"/>
    <col min="20" max="20" width="7" customWidth="1"/>
    <col min="21" max="21" width="11" customWidth="1"/>
    <col min="22" max="22" width="7" customWidth="1"/>
    <col min="23" max="23" width="11" customWidth="1"/>
    <col min="24" max="24" width="7" customWidth="1"/>
  </cols>
  <sheetData>
    <row r="1" spans="1:24" ht="18" x14ac:dyDescent="0.4">
      <c r="A1" s="4" t="s">
        <v>122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7" t="s">
        <v>46</v>
      </c>
      <c r="B2" s="38" t="s">
        <v>123</v>
      </c>
    </row>
    <row r="3" spans="1:24" x14ac:dyDescent="0.35">
      <c r="A3" s="7" t="s">
        <v>48</v>
      </c>
      <c r="B3" s="38" t="s">
        <v>124</v>
      </c>
    </row>
    <row r="4" spans="1:24" x14ac:dyDescent="0.35">
      <c r="A4" s="7" t="s">
        <v>50</v>
      </c>
      <c r="B4" s="39" t="s">
        <v>51</v>
      </c>
      <c r="D4" s="7" t="s">
        <v>52</v>
      </c>
      <c r="E4" s="38" t="s">
        <v>37</v>
      </c>
    </row>
    <row r="5" spans="1:24" x14ac:dyDescent="0.35">
      <c r="A5" s="7" t="s">
        <v>53</v>
      </c>
      <c r="B5" s="64">
        <v>30000</v>
      </c>
      <c r="D5" s="7" t="s">
        <v>54</v>
      </c>
      <c r="E5" s="41">
        <v>46188</v>
      </c>
      <c r="G5" s="7" t="s">
        <v>55</v>
      </c>
      <c r="H5" s="41">
        <v>46503</v>
      </c>
    </row>
    <row r="6" spans="1:24" x14ac:dyDescent="0.35">
      <c r="A6" s="7" t="s">
        <v>56</v>
      </c>
      <c r="B6" s="38" t="s">
        <v>57</v>
      </c>
    </row>
    <row r="8" spans="1:24" ht="42" customHeight="1" x14ac:dyDescent="0.35">
      <c r="A8" s="7" t="s">
        <v>58</v>
      </c>
      <c r="B8" s="42">
        <f>COUNT(A11:A56)</f>
        <v>46</v>
      </c>
      <c r="H8" s="43" t="s">
        <v>59</v>
      </c>
      <c r="I8" s="3" t="s">
        <v>125</v>
      </c>
      <c r="J8" s="3"/>
      <c r="K8" s="3" t="s">
        <v>126</v>
      </c>
      <c r="L8" s="3"/>
      <c r="M8" s="3" t="s">
        <v>127</v>
      </c>
      <c r="N8" s="3"/>
      <c r="O8" s="3" t="s">
        <v>128</v>
      </c>
      <c r="P8" s="3"/>
      <c r="Q8" s="3" t="s">
        <v>129</v>
      </c>
      <c r="R8" s="3"/>
      <c r="S8" s="3" t="s">
        <v>130</v>
      </c>
      <c r="T8" s="3"/>
      <c r="U8" s="3" t="s">
        <v>67</v>
      </c>
      <c r="V8" s="3"/>
      <c r="W8" s="3" t="s">
        <v>67</v>
      </c>
      <c r="X8" s="3"/>
    </row>
    <row r="9" spans="1:24" x14ac:dyDescent="0.35">
      <c r="A9" s="44" t="s">
        <v>68</v>
      </c>
      <c r="H9" s="43" t="s">
        <v>69</v>
      </c>
      <c r="I9" s="2">
        <v>4</v>
      </c>
      <c r="J9" s="2"/>
      <c r="K9" s="2">
        <v>2</v>
      </c>
      <c r="L9" s="2"/>
      <c r="M9" s="2">
        <v>1</v>
      </c>
      <c r="N9" s="2"/>
      <c r="O9" s="2">
        <v>1</v>
      </c>
      <c r="P9" s="2"/>
      <c r="Q9" s="2">
        <v>1</v>
      </c>
      <c r="R9" s="2"/>
      <c r="S9" s="2">
        <v>2</v>
      </c>
      <c r="T9" s="2"/>
      <c r="U9" s="2"/>
      <c r="V9" s="2"/>
      <c r="W9" s="2"/>
      <c r="X9" s="2"/>
    </row>
    <row r="10" spans="1:24" x14ac:dyDescent="0.35">
      <c r="A10" s="9" t="s">
        <v>11</v>
      </c>
      <c r="B10" s="9" t="s">
        <v>70</v>
      </c>
      <c r="C10" s="9" t="s">
        <v>71</v>
      </c>
      <c r="D10" s="9" t="s">
        <v>72</v>
      </c>
      <c r="E10" s="9" t="s">
        <v>6</v>
      </c>
      <c r="F10" s="9" t="s">
        <v>7</v>
      </c>
      <c r="G10" s="9" t="s">
        <v>8</v>
      </c>
      <c r="H10" s="9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spans="1:24" x14ac:dyDescent="0.35">
      <c r="A11" s="20">
        <v>1</v>
      </c>
      <c r="B11" s="46">
        <v>46188</v>
      </c>
      <c r="C11" s="59">
        <f t="shared" ref="C11:C56" si="0">$B$5/$B$8</f>
        <v>652.17391304347825</v>
      </c>
      <c r="D11" s="48"/>
      <c r="E11" s="59">
        <f>SUM($C$11:C11)</f>
        <v>652.17391304347825</v>
      </c>
      <c r="F11" s="59">
        <f>SUM($D$11:D11)</f>
        <v>0</v>
      </c>
      <c r="G11" s="49" t="str">
        <f>IF(COUNT($D$11:D11)=0,"",F11/E11)</f>
        <v/>
      </c>
      <c r="H11" s="50" t="str">
        <f t="shared" ref="H11:H56" si="1">IF(G11="","",IF(G11&gt;=0.95,"En meta",IF(G11&gt;=0.8,"Riesgo","Atrasado")))</f>
        <v/>
      </c>
      <c r="I11" s="51"/>
      <c r="J11" s="52" t="str">
        <f t="shared" ref="J11:J56" si="2">IF(I11="","",IF($I$9="","",IF($I$9=0,"",I11/$I$9)))</f>
        <v/>
      </c>
      <c r="K11" s="51"/>
      <c r="L11" s="52" t="str">
        <f t="shared" ref="L11:L56" si="3">IF(K11="","",IF($K$9="","",IF($K$9=0,"",K11/$K$9)))</f>
        <v/>
      </c>
      <c r="M11" s="51"/>
      <c r="N11" s="52" t="str">
        <f t="shared" ref="N11:N56" si="4">IF(M11="","",IF($M$9="","",IF($M$9=0,"",M11/$M$9)))</f>
        <v/>
      </c>
      <c r="O11" s="51"/>
      <c r="P11" s="52" t="str">
        <f t="shared" ref="P11:P56" si="5">IF(O11="","",IF($O$9="","",IF($O$9=0,"",O11/$O$9)))</f>
        <v/>
      </c>
      <c r="Q11" s="51"/>
      <c r="R11" s="52" t="str">
        <f t="shared" ref="R11:R56" si="6">IF(Q11="","",IF($Q$9="","",IF($Q$9=0,"",Q11/$Q$9)))</f>
        <v/>
      </c>
      <c r="S11" s="51"/>
      <c r="T11" s="52" t="str">
        <f t="shared" ref="T11:T56" si="7">IF(S11="","",IF($S$9="","",IF($S$9=0,"",S11/$S$9)))</f>
        <v/>
      </c>
      <c r="U11" s="51"/>
      <c r="V11" s="52" t="str">
        <f t="shared" ref="V11:V56" si="8">IF(U11="","",IF($U$9="","",IF($U$9=0,"",U11/$U$9)))</f>
        <v/>
      </c>
      <c r="W11" s="51"/>
      <c r="X11" s="52" t="str">
        <f t="shared" ref="X11:X56" si="9">IF(W11="","",IF($W$9="","",IF($W$9=0,"",W11/$W$9)))</f>
        <v/>
      </c>
    </row>
    <row r="12" spans="1:24" x14ac:dyDescent="0.35">
      <c r="A12" s="27">
        <v>2</v>
      </c>
      <c r="B12" s="54">
        <v>46195</v>
      </c>
      <c r="C12" s="60">
        <f t="shared" si="0"/>
        <v>652.17391304347825</v>
      </c>
      <c r="D12" s="48"/>
      <c r="E12" s="60">
        <f>SUM($C$11:C12)</f>
        <v>1304.3478260869565</v>
      </c>
      <c r="F12" s="60">
        <f>SUM($D$11:D12)</f>
        <v>0</v>
      </c>
      <c r="G12" s="56" t="str">
        <f>IF(COUNT($D$11:D12)=0,"",F12/E12)</f>
        <v/>
      </c>
      <c r="H12" s="57" t="str">
        <f t="shared" si="1"/>
        <v/>
      </c>
      <c r="I12" s="51"/>
      <c r="J12" s="58" t="str">
        <f t="shared" si="2"/>
        <v/>
      </c>
      <c r="K12" s="51"/>
      <c r="L12" s="58" t="str">
        <f t="shared" si="3"/>
        <v/>
      </c>
      <c r="M12" s="51"/>
      <c r="N12" s="58" t="str">
        <f t="shared" si="4"/>
        <v/>
      </c>
      <c r="O12" s="51"/>
      <c r="P12" s="58" t="str">
        <f t="shared" si="5"/>
        <v/>
      </c>
      <c r="Q12" s="51"/>
      <c r="R12" s="58" t="str">
        <f t="shared" si="6"/>
        <v/>
      </c>
      <c r="S12" s="51"/>
      <c r="T12" s="58" t="str">
        <f t="shared" si="7"/>
        <v/>
      </c>
      <c r="U12" s="51"/>
      <c r="V12" s="58" t="str">
        <f t="shared" si="8"/>
        <v/>
      </c>
      <c r="W12" s="51"/>
      <c r="X12" s="58" t="str">
        <f t="shared" si="9"/>
        <v/>
      </c>
    </row>
    <row r="13" spans="1:24" x14ac:dyDescent="0.35">
      <c r="A13" s="20">
        <v>3</v>
      </c>
      <c r="B13" s="46">
        <v>46202</v>
      </c>
      <c r="C13" s="59">
        <f t="shared" si="0"/>
        <v>652.17391304347825</v>
      </c>
      <c r="D13" s="48"/>
      <c r="E13" s="59">
        <f>SUM($C$11:C13)</f>
        <v>1956.5217391304348</v>
      </c>
      <c r="F13" s="59">
        <f>SUM($D$11:D13)</f>
        <v>0</v>
      </c>
      <c r="G13" s="49" t="str">
        <f>IF(COUNT($D$11:D13)=0,"",F13/E13)</f>
        <v/>
      </c>
      <c r="H13" s="50" t="str">
        <f t="shared" si="1"/>
        <v/>
      </c>
      <c r="I13" s="51"/>
      <c r="J13" s="52" t="str">
        <f t="shared" si="2"/>
        <v/>
      </c>
      <c r="K13" s="51"/>
      <c r="L13" s="52" t="str">
        <f t="shared" si="3"/>
        <v/>
      </c>
      <c r="M13" s="51"/>
      <c r="N13" s="52" t="str">
        <f t="shared" si="4"/>
        <v/>
      </c>
      <c r="O13" s="51"/>
      <c r="P13" s="52" t="str">
        <f t="shared" si="5"/>
        <v/>
      </c>
      <c r="Q13" s="51"/>
      <c r="R13" s="52" t="str">
        <f t="shared" si="6"/>
        <v/>
      </c>
      <c r="S13" s="51"/>
      <c r="T13" s="52" t="str">
        <f t="shared" si="7"/>
        <v/>
      </c>
      <c r="U13" s="51"/>
      <c r="V13" s="52" t="str">
        <f t="shared" si="8"/>
        <v/>
      </c>
      <c r="W13" s="51"/>
      <c r="X13" s="52" t="str">
        <f t="shared" si="9"/>
        <v/>
      </c>
    </row>
    <row r="14" spans="1:24" x14ac:dyDescent="0.35">
      <c r="A14" s="27">
        <v>4</v>
      </c>
      <c r="B14" s="54">
        <v>46209</v>
      </c>
      <c r="C14" s="60">
        <f t="shared" si="0"/>
        <v>652.17391304347825</v>
      </c>
      <c r="D14" s="48"/>
      <c r="E14" s="60">
        <f>SUM($C$11:C14)</f>
        <v>2608.695652173913</v>
      </c>
      <c r="F14" s="60">
        <f>SUM($D$11:D14)</f>
        <v>0</v>
      </c>
      <c r="G14" s="56" t="str">
        <f>IF(COUNT($D$11:D14)=0,"",F14/E14)</f>
        <v/>
      </c>
      <c r="H14" s="57" t="str">
        <f t="shared" si="1"/>
        <v/>
      </c>
      <c r="I14" s="51"/>
      <c r="J14" s="58" t="str">
        <f t="shared" si="2"/>
        <v/>
      </c>
      <c r="K14" s="51"/>
      <c r="L14" s="58" t="str">
        <f t="shared" si="3"/>
        <v/>
      </c>
      <c r="M14" s="51"/>
      <c r="N14" s="58" t="str">
        <f t="shared" si="4"/>
        <v/>
      </c>
      <c r="O14" s="51"/>
      <c r="P14" s="58" t="str">
        <f t="shared" si="5"/>
        <v/>
      </c>
      <c r="Q14" s="51"/>
      <c r="R14" s="58" t="str">
        <f t="shared" si="6"/>
        <v/>
      </c>
      <c r="S14" s="51"/>
      <c r="T14" s="58" t="str">
        <f t="shared" si="7"/>
        <v/>
      </c>
      <c r="U14" s="51"/>
      <c r="V14" s="58" t="str">
        <f t="shared" si="8"/>
        <v/>
      </c>
      <c r="W14" s="51"/>
      <c r="X14" s="58" t="str">
        <f t="shared" si="9"/>
        <v/>
      </c>
    </row>
    <row r="15" spans="1:24" x14ac:dyDescent="0.35">
      <c r="A15" s="20">
        <v>5</v>
      </c>
      <c r="B15" s="46">
        <v>46216</v>
      </c>
      <c r="C15" s="59">
        <f t="shared" si="0"/>
        <v>652.17391304347825</v>
      </c>
      <c r="D15" s="48"/>
      <c r="E15" s="59">
        <f>SUM($C$11:C15)</f>
        <v>3260.869565217391</v>
      </c>
      <c r="F15" s="59">
        <f>SUM($D$11:D15)</f>
        <v>0</v>
      </c>
      <c r="G15" s="49" t="str">
        <f>IF(COUNT($D$11:D15)=0,"",F15/E15)</f>
        <v/>
      </c>
      <c r="H15" s="50" t="str">
        <f t="shared" si="1"/>
        <v/>
      </c>
      <c r="I15" s="51"/>
      <c r="J15" s="52" t="str">
        <f t="shared" si="2"/>
        <v/>
      </c>
      <c r="K15" s="51"/>
      <c r="L15" s="52" t="str">
        <f t="shared" si="3"/>
        <v/>
      </c>
      <c r="M15" s="51"/>
      <c r="N15" s="52" t="str">
        <f t="shared" si="4"/>
        <v/>
      </c>
      <c r="O15" s="51"/>
      <c r="P15" s="52" t="str">
        <f t="shared" si="5"/>
        <v/>
      </c>
      <c r="Q15" s="51"/>
      <c r="R15" s="52" t="str">
        <f t="shared" si="6"/>
        <v/>
      </c>
      <c r="S15" s="51"/>
      <c r="T15" s="52" t="str">
        <f t="shared" si="7"/>
        <v/>
      </c>
      <c r="U15" s="51"/>
      <c r="V15" s="52" t="str">
        <f t="shared" si="8"/>
        <v/>
      </c>
      <c r="W15" s="51"/>
      <c r="X15" s="52" t="str">
        <f t="shared" si="9"/>
        <v/>
      </c>
    </row>
    <row r="16" spans="1:24" x14ac:dyDescent="0.35">
      <c r="A16" s="27">
        <v>6</v>
      </c>
      <c r="B16" s="54">
        <v>46223</v>
      </c>
      <c r="C16" s="60">
        <f t="shared" si="0"/>
        <v>652.17391304347825</v>
      </c>
      <c r="D16" s="48"/>
      <c r="E16" s="60">
        <f>SUM($C$11:C16)</f>
        <v>3913.0434782608691</v>
      </c>
      <c r="F16" s="60">
        <f>SUM($D$11:D16)</f>
        <v>0</v>
      </c>
      <c r="G16" s="56" t="str">
        <f>IF(COUNT($D$11:D16)=0,"",F16/E16)</f>
        <v/>
      </c>
      <c r="H16" s="57" t="str">
        <f t="shared" si="1"/>
        <v/>
      </c>
      <c r="I16" s="51"/>
      <c r="J16" s="58" t="str">
        <f t="shared" si="2"/>
        <v/>
      </c>
      <c r="K16" s="51"/>
      <c r="L16" s="58" t="str">
        <f t="shared" si="3"/>
        <v/>
      </c>
      <c r="M16" s="51"/>
      <c r="N16" s="58" t="str">
        <f t="shared" si="4"/>
        <v/>
      </c>
      <c r="O16" s="51"/>
      <c r="P16" s="58" t="str">
        <f t="shared" si="5"/>
        <v/>
      </c>
      <c r="Q16" s="51"/>
      <c r="R16" s="58" t="str">
        <f t="shared" si="6"/>
        <v/>
      </c>
      <c r="S16" s="51"/>
      <c r="T16" s="58" t="str">
        <f t="shared" si="7"/>
        <v/>
      </c>
      <c r="U16" s="51"/>
      <c r="V16" s="58" t="str">
        <f t="shared" si="8"/>
        <v/>
      </c>
      <c r="W16" s="51"/>
      <c r="X16" s="58" t="str">
        <f t="shared" si="9"/>
        <v/>
      </c>
    </row>
    <row r="17" spans="1:24" x14ac:dyDescent="0.35">
      <c r="A17" s="20">
        <v>7</v>
      </c>
      <c r="B17" s="46">
        <v>46230</v>
      </c>
      <c r="C17" s="59">
        <f t="shared" si="0"/>
        <v>652.17391304347825</v>
      </c>
      <c r="D17" s="48"/>
      <c r="E17" s="59">
        <f>SUM($C$11:C17)</f>
        <v>4565.2173913043471</v>
      </c>
      <c r="F17" s="59">
        <f>SUM($D$11:D17)</f>
        <v>0</v>
      </c>
      <c r="G17" s="49" t="str">
        <f>IF(COUNT($D$11:D17)=0,"",F17/E17)</f>
        <v/>
      </c>
      <c r="H17" s="50" t="str">
        <f t="shared" si="1"/>
        <v/>
      </c>
      <c r="I17" s="51"/>
      <c r="J17" s="52" t="str">
        <f t="shared" si="2"/>
        <v/>
      </c>
      <c r="K17" s="51"/>
      <c r="L17" s="52" t="str">
        <f t="shared" si="3"/>
        <v/>
      </c>
      <c r="M17" s="51"/>
      <c r="N17" s="52" t="str">
        <f t="shared" si="4"/>
        <v/>
      </c>
      <c r="O17" s="51"/>
      <c r="P17" s="52" t="str">
        <f t="shared" si="5"/>
        <v/>
      </c>
      <c r="Q17" s="51"/>
      <c r="R17" s="52" t="str">
        <f t="shared" si="6"/>
        <v/>
      </c>
      <c r="S17" s="51"/>
      <c r="T17" s="52" t="str">
        <f t="shared" si="7"/>
        <v/>
      </c>
      <c r="U17" s="51"/>
      <c r="V17" s="52" t="str">
        <f t="shared" si="8"/>
        <v/>
      </c>
      <c r="W17" s="51"/>
      <c r="X17" s="52" t="str">
        <f t="shared" si="9"/>
        <v/>
      </c>
    </row>
    <row r="18" spans="1:24" x14ac:dyDescent="0.35">
      <c r="A18" s="27">
        <v>8</v>
      </c>
      <c r="B18" s="54">
        <v>46237</v>
      </c>
      <c r="C18" s="60">
        <f t="shared" si="0"/>
        <v>652.17391304347825</v>
      </c>
      <c r="D18" s="48"/>
      <c r="E18" s="60">
        <f>SUM($C$11:C18)</f>
        <v>5217.3913043478251</v>
      </c>
      <c r="F18" s="60">
        <f>SUM($D$11:D18)</f>
        <v>0</v>
      </c>
      <c r="G18" s="56" t="str">
        <f>IF(COUNT($D$11:D18)=0,"",F18/E18)</f>
        <v/>
      </c>
      <c r="H18" s="57" t="str">
        <f t="shared" si="1"/>
        <v/>
      </c>
      <c r="I18" s="51"/>
      <c r="J18" s="58" t="str">
        <f t="shared" si="2"/>
        <v/>
      </c>
      <c r="K18" s="51"/>
      <c r="L18" s="58" t="str">
        <f t="shared" si="3"/>
        <v/>
      </c>
      <c r="M18" s="51"/>
      <c r="N18" s="58" t="str">
        <f t="shared" si="4"/>
        <v/>
      </c>
      <c r="O18" s="51"/>
      <c r="P18" s="58" t="str">
        <f t="shared" si="5"/>
        <v/>
      </c>
      <c r="Q18" s="51"/>
      <c r="R18" s="58" t="str">
        <f t="shared" si="6"/>
        <v/>
      </c>
      <c r="S18" s="51"/>
      <c r="T18" s="58" t="str">
        <f t="shared" si="7"/>
        <v/>
      </c>
      <c r="U18" s="51"/>
      <c r="V18" s="58" t="str">
        <f t="shared" si="8"/>
        <v/>
      </c>
      <c r="W18" s="51"/>
      <c r="X18" s="58" t="str">
        <f t="shared" si="9"/>
        <v/>
      </c>
    </row>
    <row r="19" spans="1:24" x14ac:dyDescent="0.35">
      <c r="A19" s="20">
        <v>9</v>
      </c>
      <c r="B19" s="46">
        <v>46244</v>
      </c>
      <c r="C19" s="59">
        <f t="shared" si="0"/>
        <v>652.17391304347825</v>
      </c>
      <c r="D19" s="48"/>
      <c r="E19" s="59">
        <f>SUM($C$11:C19)</f>
        <v>5869.5652173913031</v>
      </c>
      <c r="F19" s="59">
        <f>SUM($D$11:D19)</f>
        <v>0</v>
      </c>
      <c r="G19" s="49" t="str">
        <f>IF(COUNT($D$11:D19)=0,"",F19/E19)</f>
        <v/>
      </c>
      <c r="H19" s="50" t="str">
        <f t="shared" si="1"/>
        <v/>
      </c>
      <c r="I19" s="51"/>
      <c r="J19" s="52" t="str">
        <f t="shared" si="2"/>
        <v/>
      </c>
      <c r="K19" s="51"/>
      <c r="L19" s="52" t="str">
        <f t="shared" si="3"/>
        <v/>
      </c>
      <c r="M19" s="51"/>
      <c r="N19" s="52" t="str">
        <f t="shared" si="4"/>
        <v/>
      </c>
      <c r="O19" s="51"/>
      <c r="P19" s="52" t="str">
        <f t="shared" si="5"/>
        <v/>
      </c>
      <c r="Q19" s="51"/>
      <c r="R19" s="52" t="str">
        <f t="shared" si="6"/>
        <v/>
      </c>
      <c r="S19" s="51"/>
      <c r="T19" s="52" t="str">
        <f t="shared" si="7"/>
        <v/>
      </c>
      <c r="U19" s="51"/>
      <c r="V19" s="52" t="str">
        <f t="shared" si="8"/>
        <v/>
      </c>
      <c r="W19" s="51"/>
      <c r="X19" s="52" t="str">
        <f t="shared" si="9"/>
        <v/>
      </c>
    </row>
    <row r="20" spans="1:24" x14ac:dyDescent="0.35">
      <c r="A20" s="27">
        <v>10</v>
      </c>
      <c r="B20" s="54">
        <v>46251</v>
      </c>
      <c r="C20" s="60">
        <f t="shared" si="0"/>
        <v>652.17391304347825</v>
      </c>
      <c r="D20" s="48"/>
      <c r="E20" s="60">
        <f>SUM($C$11:C20)</f>
        <v>6521.7391304347811</v>
      </c>
      <c r="F20" s="60">
        <f>SUM($D$11:D20)</f>
        <v>0</v>
      </c>
      <c r="G20" s="56" t="str">
        <f>IF(COUNT($D$11:D20)=0,"",F20/E20)</f>
        <v/>
      </c>
      <c r="H20" s="57" t="str">
        <f t="shared" si="1"/>
        <v/>
      </c>
      <c r="I20" s="51"/>
      <c r="J20" s="58" t="str">
        <f t="shared" si="2"/>
        <v/>
      </c>
      <c r="K20" s="51"/>
      <c r="L20" s="58" t="str">
        <f t="shared" si="3"/>
        <v/>
      </c>
      <c r="M20" s="51"/>
      <c r="N20" s="58" t="str">
        <f t="shared" si="4"/>
        <v/>
      </c>
      <c r="O20" s="51"/>
      <c r="P20" s="58" t="str">
        <f t="shared" si="5"/>
        <v/>
      </c>
      <c r="Q20" s="51"/>
      <c r="R20" s="58" t="str">
        <f t="shared" si="6"/>
        <v/>
      </c>
      <c r="S20" s="51"/>
      <c r="T20" s="58" t="str">
        <f t="shared" si="7"/>
        <v/>
      </c>
      <c r="U20" s="51"/>
      <c r="V20" s="58" t="str">
        <f t="shared" si="8"/>
        <v/>
      </c>
      <c r="W20" s="51"/>
      <c r="X20" s="58" t="str">
        <f t="shared" si="9"/>
        <v/>
      </c>
    </row>
    <row r="21" spans="1:24" x14ac:dyDescent="0.35">
      <c r="A21" s="20">
        <v>11</v>
      </c>
      <c r="B21" s="46">
        <v>46258</v>
      </c>
      <c r="C21" s="59">
        <f t="shared" si="0"/>
        <v>652.17391304347825</v>
      </c>
      <c r="D21" s="48"/>
      <c r="E21" s="59">
        <f>SUM($C$11:C21)</f>
        <v>7173.9130434782592</v>
      </c>
      <c r="F21" s="59">
        <f>SUM($D$11:D21)</f>
        <v>0</v>
      </c>
      <c r="G21" s="49" t="str">
        <f>IF(COUNT($D$11:D21)=0,"",F21/E21)</f>
        <v/>
      </c>
      <c r="H21" s="50" t="str">
        <f t="shared" si="1"/>
        <v/>
      </c>
      <c r="I21" s="51"/>
      <c r="J21" s="52" t="str">
        <f t="shared" si="2"/>
        <v/>
      </c>
      <c r="K21" s="51"/>
      <c r="L21" s="52" t="str">
        <f t="shared" si="3"/>
        <v/>
      </c>
      <c r="M21" s="51"/>
      <c r="N21" s="52" t="str">
        <f t="shared" si="4"/>
        <v/>
      </c>
      <c r="O21" s="51"/>
      <c r="P21" s="52" t="str">
        <f t="shared" si="5"/>
        <v/>
      </c>
      <c r="Q21" s="51"/>
      <c r="R21" s="52" t="str">
        <f t="shared" si="6"/>
        <v/>
      </c>
      <c r="S21" s="51"/>
      <c r="T21" s="52" t="str">
        <f t="shared" si="7"/>
        <v/>
      </c>
      <c r="U21" s="51"/>
      <c r="V21" s="52" t="str">
        <f t="shared" si="8"/>
        <v/>
      </c>
      <c r="W21" s="51"/>
      <c r="X21" s="52" t="str">
        <f t="shared" si="9"/>
        <v/>
      </c>
    </row>
    <row r="22" spans="1:24" x14ac:dyDescent="0.35">
      <c r="A22" s="27">
        <v>12</v>
      </c>
      <c r="B22" s="54">
        <v>46265</v>
      </c>
      <c r="C22" s="60">
        <f t="shared" si="0"/>
        <v>652.17391304347825</v>
      </c>
      <c r="D22" s="48"/>
      <c r="E22" s="60">
        <f>SUM($C$11:C22)</f>
        <v>7826.0869565217372</v>
      </c>
      <c r="F22" s="60">
        <f>SUM($D$11:D22)</f>
        <v>0</v>
      </c>
      <c r="G22" s="56" t="str">
        <f>IF(COUNT($D$11:D22)=0,"",F22/E22)</f>
        <v/>
      </c>
      <c r="H22" s="57" t="str">
        <f t="shared" si="1"/>
        <v/>
      </c>
      <c r="I22" s="51"/>
      <c r="J22" s="58" t="str">
        <f t="shared" si="2"/>
        <v/>
      </c>
      <c r="K22" s="51"/>
      <c r="L22" s="58" t="str">
        <f t="shared" si="3"/>
        <v/>
      </c>
      <c r="M22" s="51"/>
      <c r="N22" s="58" t="str">
        <f t="shared" si="4"/>
        <v/>
      </c>
      <c r="O22" s="51"/>
      <c r="P22" s="58" t="str">
        <f t="shared" si="5"/>
        <v/>
      </c>
      <c r="Q22" s="51"/>
      <c r="R22" s="58" t="str">
        <f t="shared" si="6"/>
        <v/>
      </c>
      <c r="S22" s="51"/>
      <c r="T22" s="58" t="str">
        <f t="shared" si="7"/>
        <v/>
      </c>
      <c r="U22" s="51"/>
      <c r="V22" s="58" t="str">
        <f t="shared" si="8"/>
        <v/>
      </c>
      <c r="W22" s="51"/>
      <c r="X22" s="58" t="str">
        <f t="shared" si="9"/>
        <v/>
      </c>
    </row>
    <row r="23" spans="1:24" x14ac:dyDescent="0.35">
      <c r="A23" s="20">
        <v>13</v>
      </c>
      <c r="B23" s="46">
        <v>46272</v>
      </c>
      <c r="C23" s="59">
        <f t="shared" si="0"/>
        <v>652.17391304347825</v>
      </c>
      <c r="D23" s="48"/>
      <c r="E23" s="59">
        <f>SUM($C$11:C23)</f>
        <v>8478.2608695652161</v>
      </c>
      <c r="F23" s="59">
        <f>SUM($D$11:D23)</f>
        <v>0</v>
      </c>
      <c r="G23" s="49" t="str">
        <f>IF(COUNT($D$11:D23)=0,"",F23/E23)</f>
        <v/>
      </c>
      <c r="H23" s="50" t="str">
        <f t="shared" si="1"/>
        <v/>
      </c>
      <c r="I23" s="51"/>
      <c r="J23" s="52" t="str">
        <f t="shared" si="2"/>
        <v/>
      </c>
      <c r="K23" s="51"/>
      <c r="L23" s="52" t="str">
        <f t="shared" si="3"/>
        <v/>
      </c>
      <c r="M23" s="51"/>
      <c r="N23" s="52" t="str">
        <f t="shared" si="4"/>
        <v/>
      </c>
      <c r="O23" s="51"/>
      <c r="P23" s="52" t="str">
        <f t="shared" si="5"/>
        <v/>
      </c>
      <c r="Q23" s="51"/>
      <c r="R23" s="52" t="str">
        <f t="shared" si="6"/>
        <v/>
      </c>
      <c r="S23" s="51"/>
      <c r="T23" s="52" t="str">
        <f t="shared" si="7"/>
        <v/>
      </c>
      <c r="U23" s="51"/>
      <c r="V23" s="52" t="str">
        <f t="shared" si="8"/>
        <v/>
      </c>
      <c r="W23" s="51"/>
      <c r="X23" s="52" t="str">
        <f t="shared" si="9"/>
        <v/>
      </c>
    </row>
    <row r="24" spans="1:24" x14ac:dyDescent="0.35">
      <c r="A24" s="27">
        <v>14</v>
      </c>
      <c r="B24" s="54">
        <v>46279</v>
      </c>
      <c r="C24" s="60">
        <f t="shared" si="0"/>
        <v>652.17391304347825</v>
      </c>
      <c r="D24" s="48"/>
      <c r="E24" s="60">
        <f>SUM($C$11:C24)</f>
        <v>9130.4347826086941</v>
      </c>
      <c r="F24" s="60">
        <f>SUM($D$11:D24)</f>
        <v>0</v>
      </c>
      <c r="G24" s="56" t="str">
        <f>IF(COUNT($D$11:D24)=0,"",F24/E24)</f>
        <v/>
      </c>
      <c r="H24" s="57" t="str">
        <f t="shared" si="1"/>
        <v/>
      </c>
      <c r="I24" s="51"/>
      <c r="J24" s="58" t="str">
        <f t="shared" si="2"/>
        <v/>
      </c>
      <c r="K24" s="51"/>
      <c r="L24" s="58" t="str">
        <f t="shared" si="3"/>
        <v/>
      </c>
      <c r="M24" s="51"/>
      <c r="N24" s="58" t="str">
        <f t="shared" si="4"/>
        <v/>
      </c>
      <c r="O24" s="51"/>
      <c r="P24" s="58" t="str">
        <f t="shared" si="5"/>
        <v/>
      </c>
      <c r="Q24" s="51"/>
      <c r="R24" s="58" t="str">
        <f t="shared" si="6"/>
        <v/>
      </c>
      <c r="S24" s="51"/>
      <c r="T24" s="58" t="str">
        <f t="shared" si="7"/>
        <v/>
      </c>
      <c r="U24" s="51"/>
      <c r="V24" s="58" t="str">
        <f t="shared" si="8"/>
        <v/>
      </c>
      <c r="W24" s="51"/>
      <c r="X24" s="58" t="str">
        <f t="shared" si="9"/>
        <v/>
      </c>
    </row>
    <row r="25" spans="1:24" x14ac:dyDescent="0.35">
      <c r="A25" s="20">
        <v>15</v>
      </c>
      <c r="B25" s="46">
        <v>46286</v>
      </c>
      <c r="C25" s="59">
        <f t="shared" si="0"/>
        <v>652.17391304347825</v>
      </c>
      <c r="D25" s="48"/>
      <c r="E25" s="59">
        <f>SUM($C$11:C25)</f>
        <v>9782.6086956521722</v>
      </c>
      <c r="F25" s="59">
        <f>SUM($D$11:D25)</f>
        <v>0</v>
      </c>
      <c r="G25" s="49" t="str">
        <f>IF(COUNT($D$11:D25)=0,"",F25/E25)</f>
        <v/>
      </c>
      <c r="H25" s="50" t="str">
        <f t="shared" si="1"/>
        <v/>
      </c>
      <c r="I25" s="51"/>
      <c r="J25" s="52" t="str">
        <f t="shared" si="2"/>
        <v/>
      </c>
      <c r="K25" s="51"/>
      <c r="L25" s="52" t="str">
        <f t="shared" si="3"/>
        <v/>
      </c>
      <c r="M25" s="51"/>
      <c r="N25" s="52" t="str">
        <f t="shared" si="4"/>
        <v/>
      </c>
      <c r="O25" s="51"/>
      <c r="P25" s="52" t="str">
        <f t="shared" si="5"/>
        <v/>
      </c>
      <c r="Q25" s="51"/>
      <c r="R25" s="52" t="str">
        <f t="shared" si="6"/>
        <v/>
      </c>
      <c r="S25" s="51"/>
      <c r="T25" s="52" t="str">
        <f t="shared" si="7"/>
        <v/>
      </c>
      <c r="U25" s="51"/>
      <c r="V25" s="52" t="str">
        <f t="shared" si="8"/>
        <v/>
      </c>
      <c r="W25" s="51"/>
      <c r="X25" s="52" t="str">
        <f t="shared" si="9"/>
        <v/>
      </c>
    </row>
    <row r="26" spans="1:24" x14ac:dyDescent="0.35">
      <c r="A26" s="27">
        <v>16</v>
      </c>
      <c r="B26" s="54">
        <v>46293</v>
      </c>
      <c r="C26" s="60">
        <f t="shared" si="0"/>
        <v>652.17391304347825</v>
      </c>
      <c r="D26" s="48"/>
      <c r="E26" s="60">
        <f>SUM($C$11:C26)</f>
        <v>10434.78260869565</v>
      </c>
      <c r="F26" s="60">
        <f>SUM($D$11:D26)</f>
        <v>0</v>
      </c>
      <c r="G26" s="56" t="str">
        <f>IF(COUNT($D$11:D26)=0,"",F26/E26)</f>
        <v/>
      </c>
      <c r="H26" s="57" t="str">
        <f t="shared" si="1"/>
        <v/>
      </c>
      <c r="I26" s="51"/>
      <c r="J26" s="58" t="str">
        <f t="shared" si="2"/>
        <v/>
      </c>
      <c r="K26" s="51"/>
      <c r="L26" s="58" t="str">
        <f t="shared" si="3"/>
        <v/>
      </c>
      <c r="M26" s="51"/>
      <c r="N26" s="58" t="str">
        <f t="shared" si="4"/>
        <v/>
      </c>
      <c r="O26" s="51"/>
      <c r="P26" s="58" t="str">
        <f t="shared" si="5"/>
        <v/>
      </c>
      <c r="Q26" s="51"/>
      <c r="R26" s="58" t="str">
        <f t="shared" si="6"/>
        <v/>
      </c>
      <c r="S26" s="51"/>
      <c r="T26" s="58" t="str">
        <f t="shared" si="7"/>
        <v/>
      </c>
      <c r="U26" s="51"/>
      <c r="V26" s="58" t="str">
        <f t="shared" si="8"/>
        <v/>
      </c>
      <c r="W26" s="51"/>
      <c r="X26" s="58" t="str">
        <f t="shared" si="9"/>
        <v/>
      </c>
    </row>
    <row r="27" spans="1:24" x14ac:dyDescent="0.35">
      <c r="A27" s="20">
        <v>17</v>
      </c>
      <c r="B27" s="46">
        <v>46300</v>
      </c>
      <c r="C27" s="59">
        <f t="shared" si="0"/>
        <v>652.17391304347825</v>
      </c>
      <c r="D27" s="48"/>
      <c r="E27" s="59">
        <f>SUM($C$11:C27)</f>
        <v>11086.956521739128</v>
      </c>
      <c r="F27" s="59">
        <f>SUM($D$11:D27)</f>
        <v>0</v>
      </c>
      <c r="G27" s="49" t="str">
        <f>IF(COUNT($D$11:D27)=0,"",F27/E27)</f>
        <v/>
      </c>
      <c r="H27" s="50" t="str">
        <f t="shared" si="1"/>
        <v/>
      </c>
      <c r="I27" s="51"/>
      <c r="J27" s="52" t="str">
        <f t="shared" si="2"/>
        <v/>
      </c>
      <c r="K27" s="51"/>
      <c r="L27" s="52" t="str">
        <f t="shared" si="3"/>
        <v/>
      </c>
      <c r="M27" s="51"/>
      <c r="N27" s="52" t="str">
        <f t="shared" si="4"/>
        <v/>
      </c>
      <c r="O27" s="51"/>
      <c r="P27" s="52" t="str">
        <f t="shared" si="5"/>
        <v/>
      </c>
      <c r="Q27" s="51"/>
      <c r="R27" s="52" t="str">
        <f t="shared" si="6"/>
        <v/>
      </c>
      <c r="S27" s="51"/>
      <c r="T27" s="52" t="str">
        <f t="shared" si="7"/>
        <v/>
      </c>
      <c r="U27" s="51"/>
      <c r="V27" s="52" t="str">
        <f t="shared" si="8"/>
        <v/>
      </c>
      <c r="W27" s="51"/>
      <c r="X27" s="52" t="str">
        <f t="shared" si="9"/>
        <v/>
      </c>
    </row>
    <row r="28" spans="1:24" x14ac:dyDescent="0.35">
      <c r="A28" s="27">
        <v>18</v>
      </c>
      <c r="B28" s="54">
        <v>46307</v>
      </c>
      <c r="C28" s="60">
        <f t="shared" si="0"/>
        <v>652.17391304347825</v>
      </c>
      <c r="D28" s="48"/>
      <c r="E28" s="60">
        <f>SUM($C$11:C28)</f>
        <v>11739.130434782606</v>
      </c>
      <c r="F28" s="60">
        <f>SUM($D$11:D28)</f>
        <v>0</v>
      </c>
      <c r="G28" s="56" t="str">
        <f>IF(COUNT($D$11:D28)=0,"",F28/E28)</f>
        <v/>
      </c>
      <c r="H28" s="57" t="str">
        <f t="shared" si="1"/>
        <v/>
      </c>
      <c r="I28" s="51"/>
      <c r="J28" s="58" t="str">
        <f t="shared" si="2"/>
        <v/>
      </c>
      <c r="K28" s="51"/>
      <c r="L28" s="58" t="str">
        <f t="shared" si="3"/>
        <v/>
      </c>
      <c r="M28" s="51"/>
      <c r="N28" s="58" t="str">
        <f t="shared" si="4"/>
        <v/>
      </c>
      <c r="O28" s="51"/>
      <c r="P28" s="58" t="str">
        <f t="shared" si="5"/>
        <v/>
      </c>
      <c r="Q28" s="51"/>
      <c r="R28" s="58" t="str">
        <f t="shared" si="6"/>
        <v/>
      </c>
      <c r="S28" s="51"/>
      <c r="T28" s="58" t="str">
        <f t="shared" si="7"/>
        <v/>
      </c>
      <c r="U28" s="51"/>
      <c r="V28" s="58" t="str">
        <f t="shared" si="8"/>
        <v/>
      </c>
      <c r="W28" s="51"/>
      <c r="X28" s="58" t="str">
        <f t="shared" si="9"/>
        <v/>
      </c>
    </row>
    <row r="29" spans="1:24" x14ac:dyDescent="0.35">
      <c r="A29" s="20">
        <v>19</v>
      </c>
      <c r="B29" s="46">
        <v>46314</v>
      </c>
      <c r="C29" s="59">
        <f t="shared" si="0"/>
        <v>652.17391304347825</v>
      </c>
      <c r="D29" s="48"/>
      <c r="E29" s="59">
        <f>SUM($C$11:C29)</f>
        <v>12391.304347826084</v>
      </c>
      <c r="F29" s="59">
        <f>SUM($D$11:D29)</f>
        <v>0</v>
      </c>
      <c r="G29" s="49" t="str">
        <f>IF(COUNT($D$11:D29)=0,"",F29/E29)</f>
        <v/>
      </c>
      <c r="H29" s="50" t="str">
        <f t="shared" si="1"/>
        <v/>
      </c>
      <c r="I29" s="51"/>
      <c r="J29" s="52" t="str">
        <f t="shared" si="2"/>
        <v/>
      </c>
      <c r="K29" s="51"/>
      <c r="L29" s="52" t="str">
        <f t="shared" si="3"/>
        <v/>
      </c>
      <c r="M29" s="51"/>
      <c r="N29" s="52" t="str">
        <f t="shared" si="4"/>
        <v/>
      </c>
      <c r="O29" s="51"/>
      <c r="P29" s="52" t="str">
        <f t="shared" si="5"/>
        <v/>
      </c>
      <c r="Q29" s="51"/>
      <c r="R29" s="52" t="str">
        <f t="shared" si="6"/>
        <v/>
      </c>
      <c r="S29" s="51"/>
      <c r="T29" s="52" t="str">
        <f t="shared" si="7"/>
        <v/>
      </c>
      <c r="U29" s="51"/>
      <c r="V29" s="52" t="str">
        <f t="shared" si="8"/>
        <v/>
      </c>
      <c r="W29" s="51"/>
      <c r="X29" s="52" t="str">
        <f t="shared" si="9"/>
        <v/>
      </c>
    </row>
    <row r="30" spans="1:24" x14ac:dyDescent="0.35">
      <c r="A30" s="27">
        <v>20</v>
      </c>
      <c r="B30" s="54">
        <v>46321</v>
      </c>
      <c r="C30" s="60">
        <f t="shared" si="0"/>
        <v>652.17391304347825</v>
      </c>
      <c r="D30" s="48"/>
      <c r="E30" s="60">
        <f>SUM($C$11:C30)</f>
        <v>13043.478260869562</v>
      </c>
      <c r="F30" s="60">
        <f>SUM($D$11:D30)</f>
        <v>0</v>
      </c>
      <c r="G30" s="56" t="str">
        <f>IF(COUNT($D$11:D30)=0,"",F30/E30)</f>
        <v/>
      </c>
      <c r="H30" s="57" t="str">
        <f t="shared" si="1"/>
        <v/>
      </c>
      <c r="I30" s="51"/>
      <c r="J30" s="58" t="str">
        <f t="shared" si="2"/>
        <v/>
      </c>
      <c r="K30" s="51"/>
      <c r="L30" s="58" t="str">
        <f t="shared" si="3"/>
        <v/>
      </c>
      <c r="M30" s="51"/>
      <c r="N30" s="58" t="str">
        <f t="shared" si="4"/>
        <v/>
      </c>
      <c r="O30" s="51"/>
      <c r="P30" s="58" t="str">
        <f t="shared" si="5"/>
        <v/>
      </c>
      <c r="Q30" s="51"/>
      <c r="R30" s="58" t="str">
        <f t="shared" si="6"/>
        <v/>
      </c>
      <c r="S30" s="51"/>
      <c r="T30" s="58" t="str">
        <f t="shared" si="7"/>
        <v/>
      </c>
      <c r="U30" s="51"/>
      <c r="V30" s="58" t="str">
        <f t="shared" si="8"/>
        <v/>
      </c>
      <c r="W30" s="51"/>
      <c r="X30" s="58" t="str">
        <f t="shared" si="9"/>
        <v/>
      </c>
    </row>
    <row r="31" spans="1:24" x14ac:dyDescent="0.35">
      <c r="A31" s="20">
        <v>21</v>
      </c>
      <c r="B31" s="46">
        <v>46328</v>
      </c>
      <c r="C31" s="59">
        <f t="shared" si="0"/>
        <v>652.17391304347825</v>
      </c>
      <c r="D31" s="48"/>
      <c r="E31" s="59">
        <f>SUM($C$11:C31)</f>
        <v>13695.65217391304</v>
      </c>
      <c r="F31" s="59">
        <f>SUM($D$11:D31)</f>
        <v>0</v>
      </c>
      <c r="G31" s="49" t="str">
        <f>IF(COUNT($D$11:D31)=0,"",F31/E31)</f>
        <v/>
      </c>
      <c r="H31" s="50" t="str">
        <f t="shared" si="1"/>
        <v/>
      </c>
      <c r="I31" s="51"/>
      <c r="J31" s="52" t="str">
        <f t="shared" si="2"/>
        <v/>
      </c>
      <c r="K31" s="51"/>
      <c r="L31" s="52" t="str">
        <f t="shared" si="3"/>
        <v/>
      </c>
      <c r="M31" s="51"/>
      <c r="N31" s="52" t="str">
        <f t="shared" si="4"/>
        <v/>
      </c>
      <c r="O31" s="51"/>
      <c r="P31" s="52" t="str">
        <f t="shared" si="5"/>
        <v/>
      </c>
      <c r="Q31" s="51"/>
      <c r="R31" s="52" t="str">
        <f t="shared" si="6"/>
        <v/>
      </c>
      <c r="S31" s="51"/>
      <c r="T31" s="52" t="str">
        <f t="shared" si="7"/>
        <v/>
      </c>
      <c r="U31" s="51"/>
      <c r="V31" s="52" t="str">
        <f t="shared" si="8"/>
        <v/>
      </c>
      <c r="W31" s="51"/>
      <c r="X31" s="52" t="str">
        <f t="shared" si="9"/>
        <v/>
      </c>
    </row>
    <row r="32" spans="1:24" x14ac:dyDescent="0.35">
      <c r="A32" s="27">
        <v>22</v>
      </c>
      <c r="B32" s="54">
        <v>46335</v>
      </c>
      <c r="C32" s="60">
        <f t="shared" si="0"/>
        <v>652.17391304347825</v>
      </c>
      <c r="D32" s="48"/>
      <c r="E32" s="60">
        <f>SUM($C$11:C32)</f>
        <v>14347.826086956518</v>
      </c>
      <c r="F32" s="60">
        <f>SUM($D$11:D32)</f>
        <v>0</v>
      </c>
      <c r="G32" s="56" t="str">
        <f>IF(COUNT($D$11:D32)=0,"",F32/E32)</f>
        <v/>
      </c>
      <c r="H32" s="57" t="str">
        <f t="shared" si="1"/>
        <v/>
      </c>
      <c r="I32" s="51"/>
      <c r="J32" s="58" t="str">
        <f t="shared" si="2"/>
        <v/>
      </c>
      <c r="K32" s="51"/>
      <c r="L32" s="58" t="str">
        <f t="shared" si="3"/>
        <v/>
      </c>
      <c r="M32" s="51"/>
      <c r="N32" s="58" t="str">
        <f t="shared" si="4"/>
        <v/>
      </c>
      <c r="O32" s="51"/>
      <c r="P32" s="58" t="str">
        <f t="shared" si="5"/>
        <v/>
      </c>
      <c r="Q32" s="51"/>
      <c r="R32" s="58" t="str">
        <f t="shared" si="6"/>
        <v/>
      </c>
      <c r="S32" s="51"/>
      <c r="T32" s="58" t="str">
        <f t="shared" si="7"/>
        <v/>
      </c>
      <c r="U32" s="51"/>
      <c r="V32" s="58" t="str">
        <f t="shared" si="8"/>
        <v/>
      </c>
      <c r="W32" s="51"/>
      <c r="X32" s="58" t="str">
        <f t="shared" si="9"/>
        <v/>
      </c>
    </row>
    <row r="33" spans="1:24" x14ac:dyDescent="0.35">
      <c r="A33" s="20">
        <v>23</v>
      </c>
      <c r="B33" s="46">
        <v>46342</v>
      </c>
      <c r="C33" s="59">
        <f t="shared" si="0"/>
        <v>652.17391304347825</v>
      </c>
      <c r="D33" s="48"/>
      <c r="E33" s="59">
        <f>SUM($C$11:C33)</f>
        <v>14999.999999999996</v>
      </c>
      <c r="F33" s="59">
        <f>SUM($D$11:D33)</f>
        <v>0</v>
      </c>
      <c r="G33" s="49" t="str">
        <f>IF(COUNT($D$11:D33)=0,"",F33/E33)</f>
        <v/>
      </c>
      <c r="H33" s="50" t="str">
        <f t="shared" si="1"/>
        <v/>
      </c>
      <c r="I33" s="51"/>
      <c r="J33" s="52" t="str">
        <f t="shared" si="2"/>
        <v/>
      </c>
      <c r="K33" s="51"/>
      <c r="L33" s="52" t="str">
        <f t="shared" si="3"/>
        <v/>
      </c>
      <c r="M33" s="51"/>
      <c r="N33" s="52" t="str">
        <f t="shared" si="4"/>
        <v/>
      </c>
      <c r="O33" s="51"/>
      <c r="P33" s="52" t="str">
        <f t="shared" si="5"/>
        <v/>
      </c>
      <c r="Q33" s="51"/>
      <c r="R33" s="52" t="str">
        <f t="shared" si="6"/>
        <v/>
      </c>
      <c r="S33" s="51"/>
      <c r="T33" s="52" t="str">
        <f t="shared" si="7"/>
        <v/>
      </c>
      <c r="U33" s="51"/>
      <c r="V33" s="52" t="str">
        <f t="shared" si="8"/>
        <v/>
      </c>
      <c r="W33" s="51"/>
      <c r="X33" s="52" t="str">
        <f t="shared" si="9"/>
        <v/>
      </c>
    </row>
    <row r="34" spans="1:24" x14ac:dyDescent="0.35">
      <c r="A34" s="27">
        <v>24</v>
      </c>
      <c r="B34" s="54">
        <v>46349</v>
      </c>
      <c r="C34" s="60">
        <f t="shared" si="0"/>
        <v>652.17391304347825</v>
      </c>
      <c r="D34" s="48"/>
      <c r="E34" s="60">
        <f>SUM($C$11:C34)</f>
        <v>15652.173913043474</v>
      </c>
      <c r="F34" s="60">
        <f>SUM($D$11:D34)</f>
        <v>0</v>
      </c>
      <c r="G34" s="56" t="str">
        <f>IF(COUNT($D$11:D34)=0,"",F34/E34)</f>
        <v/>
      </c>
      <c r="H34" s="57" t="str">
        <f t="shared" si="1"/>
        <v/>
      </c>
      <c r="I34" s="51"/>
      <c r="J34" s="58" t="str">
        <f t="shared" si="2"/>
        <v/>
      </c>
      <c r="K34" s="51"/>
      <c r="L34" s="58" t="str">
        <f t="shared" si="3"/>
        <v/>
      </c>
      <c r="M34" s="51"/>
      <c r="N34" s="58" t="str">
        <f t="shared" si="4"/>
        <v/>
      </c>
      <c r="O34" s="51"/>
      <c r="P34" s="58" t="str">
        <f t="shared" si="5"/>
        <v/>
      </c>
      <c r="Q34" s="51"/>
      <c r="R34" s="58" t="str">
        <f t="shared" si="6"/>
        <v/>
      </c>
      <c r="S34" s="51"/>
      <c r="T34" s="58" t="str">
        <f t="shared" si="7"/>
        <v/>
      </c>
      <c r="U34" s="51"/>
      <c r="V34" s="58" t="str">
        <f t="shared" si="8"/>
        <v/>
      </c>
      <c r="W34" s="51"/>
      <c r="X34" s="58" t="str">
        <f t="shared" si="9"/>
        <v/>
      </c>
    </row>
    <row r="35" spans="1:24" x14ac:dyDescent="0.35">
      <c r="A35" s="20">
        <v>25</v>
      </c>
      <c r="B35" s="46">
        <v>46356</v>
      </c>
      <c r="C35" s="59">
        <f t="shared" si="0"/>
        <v>652.17391304347825</v>
      </c>
      <c r="D35" s="48"/>
      <c r="E35" s="59">
        <f>SUM($C$11:C35)</f>
        <v>16304.347826086952</v>
      </c>
      <c r="F35" s="59">
        <f>SUM($D$11:D35)</f>
        <v>0</v>
      </c>
      <c r="G35" s="49" t="str">
        <f>IF(COUNT($D$11:D35)=0,"",F35/E35)</f>
        <v/>
      </c>
      <c r="H35" s="50" t="str">
        <f t="shared" si="1"/>
        <v/>
      </c>
      <c r="I35" s="51"/>
      <c r="J35" s="52" t="str">
        <f t="shared" si="2"/>
        <v/>
      </c>
      <c r="K35" s="51"/>
      <c r="L35" s="52" t="str">
        <f t="shared" si="3"/>
        <v/>
      </c>
      <c r="M35" s="51"/>
      <c r="N35" s="52" t="str">
        <f t="shared" si="4"/>
        <v/>
      </c>
      <c r="O35" s="51"/>
      <c r="P35" s="52" t="str">
        <f t="shared" si="5"/>
        <v/>
      </c>
      <c r="Q35" s="51"/>
      <c r="R35" s="52" t="str">
        <f t="shared" si="6"/>
        <v/>
      </c>
      <c r="S35" s="51"/>
      <c r="T35" s="52" t="str">
        <f t="shared" si="7"/>
        <v/>
      </c>
      <c r="U35" s="51"/>
      <c r="V35" s="52" t="str">
        <f t="shared" si="8"/>
        <v/>
      </c>
      <c r="W35" s="51"/>
      <c r="X35" s="52" t="str">
        <f t="shared" si="9"/>
        <v/>
      </c>
    </row>
    <row r="36" spans="1:24" x14ac:dyDescent="0.35">
      <c r="A36" s="27">
        <v>26</v>
      </c>
      <c r="B36" s="54">
        <v>46363</v>
      </c>
      <c r="C36" s="60">
        <f t="shared" si="0"/>
        <v>652.17391304347825</v>
      </c>
      <c r="D36" s="48"/>
      <c r="E36" s="60">
        <f>SUM($C$11:C36)</f>
        <v>16956.521739130432</v>
      </c>
      <c r="F36" s="60">
        <f>SUM($D$11:D36)</f>
        <v>0</v>
      </c>
      <c r="G36" s="56" t="str">
        <f>IF(COUNT($D$11:D36)=0,"",F36/E36)</f>
        <v/>
      </c>
      <c r="H36" s="57" t="str">
        <f t="shared" si="1"/>
        <v/>
      </c>
      <c r="I36" s="51"/>
      <c r="J36" s="58" t="str">
        <f t="shared" si="2"/>
        <v/>
      </c>
      <c r="K36" s="51"/>
      <c r="L36" s="58" t="str">
        <f t="shared" si="3"/>
        <v/>
      </c>
      <c r="M36" s="51"/>
      <c r="N36" s="58" t="str">
        <f t="shared" si="4"/>
        <v/>
      </c>
      <c r="O36" s="51"/>
      <c r="P36" s="58" t="str">
        <f t="shared" si="5"/>
        <v/>
      </c>
      <c r="Q36" s="51"/>
      <c r="R36" s="58" t="str">
        <f t="shared" si="6"/>
        <v/>
      </c>
      <c r="S36" s="51"/>
      <c r="T36" s="58" t="str">
        <f t="shared" si="7"/>
        <v/>
      </c>
      <c r="U36" s="51"/>
      <c r="V36" s="58" t="str">
        <f t="shared" si="8"/>
        <v/>
      </c>
      <c r="W36" s="51"/>
      <c r="X36" s="58" t="str">
        <f t="shared" si="9"/>
        <v/>
      </c>
    </row>
    <row r="37" spans="1:24" x14ac:dyDescent="0.35">
      <c r="A37" s="20">
        <v>27</v>
      </c>
      <c r="B37" s="46">
        <v>46370</v>
      </c>
      <c r="C37" s="59">
        <f t="shared" si="0"/>
        <v>652.17391304347825</v>
      </c>
      <c r="D37" s="48"/>
      <c r="E37" s="59">
        <f>SUM($C$11:C37)</f>
        <v>17608.695652173912</v>
      </c>
      <c r="F37" s="59">
        <f>SUM($D$11:D37)</f>
        <v>0</v>
      </c>
      <c r="G37" s="49" t="str">
        <f>IF(COUNT($D$11:D37)=0,"",F37/E37)</f>
        <v/>
      </c>
      <c r="H37" s="50" t="str">
        <f t="shared" si="1"/>
        <v/>
      </c>
      <c r="I37" s="51"/>
      <c r="J37" s="52" t="str">
        <f t="shared" si="2"/>
        <v/>
      </c>
      <c r="K37" s="51"/>
      <c r="L37" s="52" t="str">
        <f t="shared" si="3"/>
        <v/>
      </c>
      <c r="M37" s="51"/>
      <c r="N37" s="52" t="str">
        <f t="shared" si="4"/>
        <v/>
      </c>
      <c r="O37" s="51"/>
      <c r="P37" s="52" t="str">
        <f t="shared" si="5"/>
        <v/>
      </c>
      <c r="Q37" s="51"/>
      <c r="R37" s="52" t="str">
        <f t="shared" si="6"/>
        <v/>
      </c>
      <c r="S37" s="51"/>
      <c r="T37" s="52" t="str">
        <f t="shared" si="7"/>
        <v/>
      </c>
      <c r="U37" s="51"/>
      <c r="V37" s="52" t="str">
        <f t="shared" si="8"/>
        <v/>
      </c>
      <c r="W37" s="51"/>
      <c r="X37" s="52" t="str">
        <f t="shared" si="9"/>
        <v/>
      </c>
    </row>
    <row r="38" spans="1:24" x14ac:dyDescent="0.35">
      <c r="A38" s="27">
        <v>28</v>
      </c>
      <c r="B38" s="54">
        <v>46377</v>
      </c>
      <c r="C38" s="60">
        <f t="shared" si="0"/>
        <v>652.17391304347825</v>
      </c>
      <c r="D38" s="48"/>
      <c r="E38" s="60">
        <f>SUM($C$11:C38)</f>
        <v>18260.869565217392</v>
      </c>
      <c r="F38" s="60">
        <f>SUM($D$11:D38)</f>
        <v>0</v>
      </c>
      <c r="G38" s="56" t="str">
        <f>IF(COUNT($D$11:D38)=0,"",F38/E38)</f>
        <v/>
      </c>
      <c r="H38" s="57" t="str">
        <f t="shared" si="1"/>
        <v/>
      </c>
      <c r="I38" s="51"/>
      <c r="J38" s="58" t="str">
        <f t="shared" si="2"/>
        <v/>
      </c>
      <c r="K38" s="51"/>
      <c r="L38" s="58" t="str">
        <f t="shared" si="3"/>
        <v/>
      </c>
      <c r="M38" s="51"/>
      <c r="N38" s="58" t="str">
        <f t="shared" si="4"/>
        <v/>
      </c>
      <c r="O38" s="51"/>
      <c r="P38" s="58" t="str">
        <f t="shared" si="5"/>
        <v/>
      </c>
      <c r="Q38" s="51"/>
      <c r="R38" s="58" t="str">
        <f t="shared" si="6"/>
        <v/>
      </c>
      <c r="S38" s="51"/>
      <c r="T38" s="58" t="str">
        <f t="shared" si="7"/>
        <v/>
      </c>
      <c r="U38" s="51"/>
      <c r="V38" s="58" t="str">
        <f t="shared" si="8"/>
        <v/>
      </c>
      <c r="W38" s="51"/>
      <c r="X38" s="58" t="str">
        <f t="shared" si="9"/>
        <v/>
      </c>
    </row>
    <row r="39" spans="1:24" x14ac:dyDescent="0.35">
      <c r="A39" s="20">
        <v>29</v>
      </c>
      <c r="B39" s="46">
        <v>46384</v>
      </c>
      <c r="C39" s="59">
        <f t="shared" si="0"/>
        <v>652.17391304347825</v>
      </c>
      <c r="D39" s="48"/>
      <c r="E39" s="59">
        <f>SUM($C$11:C39)</f>
        <v>18913.043478260872</v>
      </c>
      <c r="F39" s="59">
        <f>SUM($D$11:D39)</f>
        <v>0</v>
      </c>
      <c r="G39" s="49" t="str">
        <f>IF(COUNT($D$11:D39)=0,"",F39/E39)</f>
        <v/>
      </c>
      <c r="H39" s="50" t="str">
        <f t="shared" si="1"/>
        <v/>
      </c>
      <c r="I39" s="51"/>
      <c r="J39" s="52" t="str">
        <f t="shared" si="2"/>
        <v/>
      </c>
      <c r="K39" s="51"/>
      <c r="L39" s="52" t="str">
        <f t="shared" si="3"/>
        <v/>
      </c>
      <c r="M39" s="51"/>
      <c r="N39" s="52" t="str">
        <f t="shared" si="4"/>
        <v/>
      </c>
      <c r="O39" s="51"/>
      <c r="P39" s="52" t="str">
        <f t="shared" si="5"/>
        <v/>
      </c>
      <c r="Q39" s="51"/>
      <c r="R39" s="52" t="str">
        <f t="shared" si="6"/>
        <v/>
      </c>
      <c r="S39" s="51"/>
      <c r="T39" s="52" t="str">
        <f t="shared" si="7"/>
        <v/>
      </c>
      <c r="U39" s="51"/>
      <c r="V39" s="52" t="str">
        <f t="shared" si="8"/>
        <v/>
      </c>
      <c r="W39" s="51"/>
      <c r="X39" s="52" t="str">
        <f t="shared" si="9"/>
        <v/>
      </c>
    </row>
    <row r="40" spans="1:24" x14ac:dyDescent="0.35">
      <c r="A40" s="27">
        <v>30</v>
      </c>
      <c r="B40" s="54">
        <v>46391</v>
      </c>
      <c r="C40" s="60">
        <f t="shared" si="0"/>
        <v>652.17391304347825</v>
      </c>
      <c r="D40" s="48"/>
      <c r="E40" s="60">
        <f>SUM($C$11:C40)</f>
        <v>19565.217391304352</v>
      </c>
      <c r="F40" s="60">
        <f>SUM($D$11:D40)</f>
        <v>0</v>
      </c>
      <c r="G40" s="56" t="str">
        <f>IF(COUNT($D$11:D40)=0,"",F40/E40)</f>
        <v/>
      </c>
      <c r="H40" s="57" t="str">
        <f t="shared" si="1"/>
        <v/>
      </c>
      <c r="I40" s="51"/>
      <c r="J40" s="58" t="str">
        <f t="shared" si="2"/>
        <v/>
      </c>
      <c r="K40" s="51"/>
      <c r="L40" s="58" t="str">
        <f t="shared" si="3"/>
        <v/>
      </c>
      <c r="M40" s="51"/>
      <c r="N40" s="58" t="str">
        <f t="shared" si="4"/>
        <v/>
      </c>
      <c r="O40" s="51"/>
      <c r="P40" s="58" t="str">
        <f t="shared" si="5"/>
        <v/>
      </c>
      <c r="Q40" s="51"/>
      <c r="R40" s="58" t="str">
        <f t="shared" si="6"/>
        <v/>
      </c>
      <c r="S40" s="51"/>
      <c r="T40" s="58" t="str">
        <f t="shared" si="7"/>
        <v/>
      </c>
      <c r="U40" s="51"/>
      <c r="V40" s="58" t="str">
        <f t="shared" si="8"/>
        <v/>
      </c>
      <c r="W40" s="51"/>
      <c r="X40" s="58" t="str">
        <f t="shared" si="9"/>
        <v/>
      </c>
    </row>
    <row r="41" spans="1:24" x14ac:dyDescent="0.35">
      <c r="A41" s="20">
        <v>31</v>
      </c>
      <c r="B41" s="46">
        <v>46398</v>
      </c>
      <c r="C41" s="59">
        <f t="shared" si="0"/>
        <v>652.17391304347825</v>
      </c>
      <c r="D41" s="48"/>
      <c r="E41" s="59">
        <f>SUM($C$11:C41)</f>
        <v>20217.391304347831</v>
      </c>
      <c r="F41" s="59">
        <f>SUM($D$11:D41)</f>
        <v>0</v>
      </c>
      <c r="G41" s="49" t="str">
        <f>IF(COUNT($D$11:D41)=0,"",F41/E41)</f>
        <v/>
      </c>
      <c r="H41" s="50" t="str">
        <f t="shared" si="1"/>
        <v/>
      </c>
      <c r="I41" s="51"/>
      <c r="J41" s="52" t="str">
        <f t="shared" si="2"/>
        <v/>
      </c>
      <c r="K41" s="51"/>
      <c r="L41" s="52" t="str">
        <f t="shared" si="3"/>
        <v/>
      </c>
      <c r="M41" s="51"/>
      <c r="N41" s="52" t="str">
        <f t="shared" si="4"/>
        <v/>
      </c>
      <c r="O41" s="51"/>
      <c r="P41" s="52" t="str">
        <f t="shared" si="5"/>
        <v/>
      </c>
      <c r="Q41" s="51"/>
      <c r="R41" s="52" t="str">
        <f t="shared" si="6"/>
        <v/>
      </c>
      <c r="S41" s="51"/>
      <c r="T41" s="52" t="str">
        <f t="shared" si="7"/>
        <v/>
      </c>
      <c r="U41" s="51"/>
      <c r="V41" s="52" t="str">
        <f t="shared" si="8"/>
        <v/>
      </c>
      <c r="W41" s="51"/>
      <c r="X41" s="52" t="str">
        <f t="shared" si="9"/>
        <v/>
      </c>
    </row>
    <row r="42" spans="1:24" x14ac:dyDescent="0.35">
      <c r="A42" s="27">
        <v>32</v>
      </c>
      <c r="B42" s="54">
        <v>46405</v>
      </c>
      <c r="C42" s="60">
        <f t="shared" si="0"/>
        <v>652.17391304347825</v>
      </c>
      <c r="D42" s="48"/>
      <c r="E42" s="60">
        <f>SUM($C$11:C42)</f>
        <v>20869.565217391311</v>
      </c>
      <c r="F42" s="60">
        <f>SUM($D$11:D42)</f>
        <v>0</v>
      </c>
      <c r="G42" s="56" t="str">
        <f>IF(COUNT($D$11:D42)=0,"",F42/E42)</f>
        <v/>
      </c>
      <c r="H42" s="57" t="str">
        <f t="shared" si="1"/>
        <v/>
      </c>
      <c r="I42" s="51"/>
      <c r="J42" s="58" t="str">
        <f t="shared" si="2"/>
        <v/>
      </c>
      <c r="K42" s="51"/>
      <c r="L42" s="58" t="str">
        <f t="shared" si="3"/>
        <v/>
      </c>
      <c r="M42" s="51"/>
      <c r="N42" s="58" t="str">
        <f t="shared" si="4"/>
        <v/>
      </c>
      <c r="O42" s="51"/>
      <c r="P42" s="58" t="str">
        <f t="shared" si="5"/>
        <v/>
      </c>
      <c r="Q42" s="51"/>
      <c r="R42" s="58" t="str">
        <f t="shared" si="6"/>
        <v/>
      </c>
      <c r="S42" s="51"/>
      <c r="T42" s="58" t="str">
        <f t="shared" si="7"/>
        <v/>
      </c>
      <c r="U42" s="51"/>
      <c r="V42" s="58" t="str">
        <f t="shared" si="8"/>
        <v/>
      </c>
      <c r="W42" s="51"/>
      <c r="X42" s="58" t="str">
        <f t="shared" si="9"/>
        <v/>
      </c>
    </row>
    <row r="43" spans="1:24" x14ac:dyDescent="0.35">
      <c r="A43" s="20">
        <v>33</v>
      </c>
      <c r="B43" s="46">
        <v>46412</v>
      </c>
      <c r="C43" s="59">
        <f t="shared" si="0"/>
        <v>652.17391304347825</v>
      </c>
      <c r="D43" s="48"/>
      <c r="E43" s="59">
        <f>SUM($C$11:C43)</f>
        <v>21521.739130434791</v>
      </c>
      <c r="F43" s="59">
        <f>SUM($D$11:D43)</f>
        <v>0</v>
      </c>
      <c r="G43" s="49" t="str">
        <f>IF(COUNT($D$11:D43)=0,"",F43/E43)</f>
        <v/>
      </c>
      <c r="H43" s="50" t="str">
        <f t="shared" si="1"/>
        <v/>
      </c>
      <c r="I43" s="51"/>
      <c r="J43" s="52" t="str">
        <f t="shared" si="2"/>
        <v/>
      </c>
      <c r="K43" s="51"/>
      <c r="L43" s="52" t="str">
        <f t="shared" si="3"/>
        <v/>
      </c>
      <c r="M43" s="51"/>
      <c r="N43" s="52" t="str">
        <f t="shared" si="4"/>
        <v/>
      </c>
      <c r="O43" s="51"/>
      <c r="P43" s="52" t="str">
        <f t="shared" si="5"/>
        <v/>
      </c>
      <c r="Q43" s="51"/>
      <c r="R43" s="52" t="str">
        <f t="shared" si="6"/>
        <v/>
      </c>
      <c r="S43" s="51"/>
      <c r="T43" s="52" t="str">
        <f t="shared" si="7"/>
        <v/>
      </c>
      <c r="U43" s="51"/>
      <c r="V43" s="52" t="str">
        <f t="shared" si="8"/>
        <v/>
      </c>
      <c r="W43" s="51"/>
      <c r="X43" s="52" t="str">
        <f t="shared" si="9"/>
        <v/>
      </c>
    </row>
    <row r="44" spans="1:24" x14ac:dyDescent="0.35">
      <c r="A44" s="27">
        <v>34</v>
      </c>
      <c r="B44" s="54">
        <v>46419</v>
      </c>
      <c r="C44" s="60">
        <f t="shared" si="0"/>
        <v>652.17391304347825</v>
      </c>
      <c r="D44" s="48"/>
      <c r="E44" s="60">
        <f>SUM($C$11:C44)</f>
        <v>22173.913043478271</v>
      </c>
      <c r="F44" s="60">
        <f>SUM($D$11:D44)</f>
        <v>0</v>
      </c>
      <c r="G44" s="56" t="str">
        <f>IF(COUNT($D$11:D44)=0,"",F44/E44)</f>
        <v/>
      </c>
      <c r="H44" s="57" t="str">
        <f t="shared" si="1"/>
        <v/>
      </c>
      <c r="I44" s="51"/>
      <c r="J44" s="58" t="str">
        <f t="shared" si="2"/>
        <v/>
      </c>
      <c r="K44" s="51"/>
      <c r="L44" s="58" t="str">
        <f t="shared" si="3"/>
        <v/>
      </c>
      <c r="M44" s="51"/>
      <c r="N44" s="58" t="str">
        <f t="shared" si="4"/>
        <v/>
      </c>
      <c r="O44" s="51"/>
      <c r="P44" s="58" t="str">
        <f t="shared" si="5"/>
        <v/>
      </c>
      <c r="Q44" s="51"/>
      <c r="R44" s="58" t="str">
        <f t="shared" si="6"/>
        <v/>
      </c>
      <c r="S44" s="51"/>
      <c r="T44" s="58" t="str">
        <f t="shared" si="7"/>
        <v/>
      </c>
      <c r="U44" s="51"/>
      <c r="V44" s="58" t="str">
        <f t="shared" si="8"/>
        <v/>
      </c>
      <c r="W44" s="51"/>
      <c r="X44" s="58" t="str">
        <f t="shared" si="9"/>
        <v/>
      </c>
    </row>
    <row r="45" spans="1:24" x14ac:dyDescent="0.35">
      <c r="A45" s="20">
        <v>35</v>
      </c>
      <c r="B45" s="46">
        <v>46426</v>
      </c>
      <c r="C45" s="59">
        <f t="shared" si="0"/>
        <v>652.17391304347825</v>
      </c>
      <c r="D45" s="48"/>
      <c r="E45" s="59">
        <f>SUM($C$11:C45)</f>
        <v>22826.086956521751</v>
      </c>
      <c r="F45" s="59">
        <f>SUM($D$11:D45)</f>
        <v>0</v>
      </c>
      <c r="G45" s="49" t="str">
        <f>IF(COUNT($D$11:D45)=0,"",F45/E45)</f>
        <v/>
      </c>
      <c r="H45" s="50" t="str">
        <f t="shared" si="1"/>
        <v/>
      </c>
      <c r="I45" s="51"/>
      <c r="J45" s="52" t="str">
        <f t="shared" si="2"/>
        <v/>
      </c>
      <c r="K45" s="51"/>
      <c r="L45" s="52" t="str">
        <f t="shared" si="3"/>
        <v/>
      </c>
      <c r="M45" s="51"/>
      <c r="N45" s="52" t="str">
        <f t="shared" si="4"/>
        <v/>
      </c>
      <c r="O45" s="51"/>
      <c r="P45" s="52" t="str">
        <f t="shared" si="5"/>
        <v/>
      </c>
      <c r="Q45" s="51"/>
      <c r="R45" s="52" t="str">
        <f t="shared" si="6"/>
        <v/>
      </c>
      <c r="S45" s="51"/>
      <c r="T45" s="52" t="str">
        <f t="shared" si="7"/>
        <v/>
      </c>
      <c r="U45" s="51"/>
      <c r="V45" s="52" t="str">
        <f t="shared" si="8"/>
        <v/>
      </c>
      <c r="W45" s="51"/>
      <c r="X45" s="52" t="str">
        <f t="shared" si="9"/>
        <v/>
      </c>
    </row>
    <row r="46" spans="1:24" x14ac:dyDescent="0.35">
      <c r="A46" s="27">
        <v>36</v>
      </c>
      <c r="B46" s="54">
        <v>46433</v>
      </c>
      <c r="C46" s="60">
        <f t="shared" si="0"/>
        <v>652.17391304347825</v>
      </c>
      <c r="D46" s="48"/>
      <c r="E46" s="60">
        <f>SUM($C$11:C46)</f>
        <v>23478.260869565231</v>
      </c>
      <c r="F46" s="60">
        <f>SUM($D$11:D46)</f>
        <v>0</v>
      </c>
      <c r="G46" s="56" t="str">
        <f>IF(COUNT($D$11:D46)=0,"",F46/E46)</f>
        <v/>
      </c>
      <c r="H46" s="57" t="str">
        <f t="shared" si="1"/>
        <v/>
      </c>
      <c r="I46" s="51"/>
      <c r="J46" s="58" t="str">
        <f t="shared" si="2"/>
        <v/>
      </c>
      <c r="K46" s="51"/>
      <c r="L46" s="58" t="str">
        <f t="shared" si="3"/>
        <v/>
      </c>
      <c r="M46" s="51"/>
      <c r="N46" s="58" t="str">
        <f t="shared" si="4"/>
        <v/>
      </c>
      <c r="O46" s="51"/>
      <c r="P46" s="58" t="str">
        <f t="shared" si="5"/>
        <v/>
      </c>
      <c r="Q46" s="51"/>
      <c r="R46" s="58" t="str">
        <f t="shared" si="6"/>
        <v/>
      </c>
      <c r="S46" s="51"/>
      <c r="T46" s="58" t="str">
        <f t="shared" si="7"/>
        <v/>
      </c>
      <c r="U46" s="51"/>
      <c r="V46" s="58" t="str">
        <f t="shared" si="8"/>
        <v/>
      </c>
      <c r="W46" s="51"/>
      <c r="X46" s="58" t="str">
        <f t="shared" si="9"/>
        <v/>
      </c>
    </row>
    <row r="47" spans="1:24" x14ac:dyDescent="0.35">
      <c r="A47" s="20">
        <v>37</v>
      </c>
      <c r="B47" s="46">
        <v>46440</v>
      </c>
      <c r="C47" s="59">
        <f t="shared" si="0"/>
        <v>652.17391304347825</v>
      </c>
      <c r="D47" s="48"/>
      <c r="E47" s="59">
        <f>SUM($C$11:C47)</f>
        <v>24130.434782608711</v>
      </c>
      <c r="F47" s="59">
        <f>SUM($D$11:D47)</f>
        <v>0</v>
      </c>
      <c r="G47" s="49" t="str">
        <f>IF(COUNT($D$11:D47)=0,"",F47/E47)</f>
        <v/>
      </c>
      <c r="H47" s="50" t="str">
        <f t="shared" si="1"/>
        <v/>
      </c>
      <c r="I47" s="51"/>
      <c r="J47" s="52" t="str">
        <f t="shared" si="2"/>
        <v/>
      </c>
      <c r="K47" s="51"/>
      <c r="L47" s="52" t="str">
        <f t="shared" si="3"/>
        <v/>
      </c>
      <c r="M47" s="51"/>
      <c r="N47" s="52" t="str">
        <f t="shared" si="4"/>
        <v/>
      </c>
      <c r="O47" s="51"/>
      <c r="P47" s="52" t="str">
        <f t="shared" si="5"/>
        <v/>
      </c>
      <c r="Q47" s="51"/>
      <c r="R47" s="52" t="str">
        <f t="shared" si="6"/>
        <v/>
      </c>
      <c r="S47" s="51"/>
      <c r="T47" s="52" t="str">
        <f t="shared" si="7"/>
        <v/>
      </c>
      <c r="U47" s="51"/>
      <c r="V47" s="52" t="str">
        <f t="shared" si="8"/>
        <v/>
      </c>
      <c r="W47" s="51"/>
      <c r="X47" s="52" t="str">
        <f t="shared" si="9"/>
        <v/>
      </c>
    </row>
    <row r="48" spans="1:24" x14ac:dyDescent="0.35">
      <c r="A48" s="27">
        <v>38</v>
      </c>
      <c r="B48" s="54">
        <v>46447</v>
      </c>
      <c r="C48" s="60">
        <f t="shared" si="0"/>
        <v>652.17391304347825</v>
      </c>
      <c r="D48" s="48"/>
      <c r="E48" s="60">
        <f>SUM($C$11:C48)</f>
        <v>24782.60869565219</v>
      </c>
      <c r="F48" s="60">
        <f>SUM($D$11:D48)</f>
        <v>0</v>
      </c>
      <c r="G48" s="56" t="str">
        <f>IF(COUNT($D$11:D48)=0,"",F48/E48)</f>
        <v/>
      </c>
      <c r="H48" s="57" t="str">
        <f t="shared" si="1"/>
        <v/>
      </c>
      <c r="I48" s="51"/>
      <c r="J48" s="58" t="str">
        <f t="shared" si="2"/>
        <v/>
      </c>
      <c r="K48" s="51"/>
      <c r="L48" s="58" t="str">
        <f t="shared" si="3"/>
        <v/>
      </c>
      <c r="M48" s="51"/>
      <c r="N48" s="58" t="str">
        <f t="shared" si="4"/>
        <v/>
      </c>
      <c r="O48" s="51"/>
      <c r="P48" s="58" t="str">
        <f t="shared" si="5"/>
        <v/>
      </c>
      <c r="Q48" s="51"/>
      <c r="R48" s="58" t="str">
        <f t="shared" si="6"/>
        <v/>
      </c>
      <c r="S48" s="51"/>
      <c r="T48" s="58" t="str">
        <f t="shared" si="7"/>
        <v/>
      </c>
      <c r="U48" s="51"/>
      <c r="V48" s="58" t="str">
        <f t="shared" si="8"/>
        <v/>
      </c>
      <c r="W48" s="51"/>
      <c r="X48" s="58" t="str">
        <f t="shared" si="9"/>
        <v/>
      </c>
    </row>
    <row r="49" spans="1:24" x14ac:dyDescent="0.35">
      <c r="A49" s="20">
        <v>39</v>
      </c>
      <c r="B49" s="46">
        <v>46454</v>
      </c>
      <c r="C49" s="59">
        <f t="shared" si="0"/>
        <v>652.17391304347825</v>
      </c>
      <c r="D49" s="48"/>
      <c r="E49" s="59">
        <f>SUM($C$11:C49)</f>
        <v>25434.78260869567</v>
      </c>
      <c r="F49" s="59">
        <f>SUM($D$11:D49)</f>
        <v>0</v>
      </c>
      <c r="G49" s="49" t="str">
        <f>IF(COUNT($D$11:D49)=0,"",F49/E49)</f>
        <v/>
      </c>
      <c r="H49" s="50" t="str">
        <f t="shared" si="1"/>
        <v/>
      </c>
      <c r="I49" s="51"/>
      <c r="J49" s="52" t="str">
        <f t="shared" si="2"/>
        <v/>
      </c>
      <c r="K49" s="51"/>
      <c r="L49" s="52" t="str">
        <f t="shared" si="3"/>
        <v/>
      </c>
      <c r="M49" s="51"/>
      <c r="N49" s="52" t="str">
        <f t="shared" si="4"/>
        <v/>
      </c>
      <c r="O49" s="51"/>
      <c r="P49" s="52" t="str">
        <f t="shared" si="5"/>
        <v/>
      </c>
      <c r="Q49" s="51"/>
      <c r="R49" s="52" t="str">
        <f t="shared" si="6"/>
        <v/>
      </c>
      <c r="S49" s="51"/>
      <c r="T49" s="52" t="str">
        <f t="shared" si="7"/>
        <v/>
      </c>
      <c r="U49" s="51"/>
      <c r="V49" s="52" t="str">
        <f t="shared" si="8"/>
        <v/>
      </c>
      <c r="W49" s="51"/>
      <c r="X49" s="52" t="str">
        <f t="shared" si="9"/>
        <v/>
      </c>
    </row>
    <row r="50" spans="1:24" x14ac:dyDescent="0.35">
      <c r="A50" s="27">
        <v>40</v>
      </c>
      <c r="B50" s="54">
        <v>46461</v>
      </c>
      <c r="C50" s="60">
        <f t="shared" si="0"/>
        <v>652.17391304347825</v>
      </c>
      <c r="D50" s="48"/>
      <c r="E50" s="60">
        <f>SUM($C$11:C50)</f>
        <v>26086.95652173915</v>
      </c>
      <c r="F50" s="60">
        <f>SUM($D$11:D50)</f>
        <v>0</v>
      </c>
      <c r="G50" s="56" t="str">
        <f>IF(COUNT($D$11:D50)=0,"",F50/E50)</f>
        <v/>
      </c>
      <c r="H50" s="57" t="str">
        <f t="shared" si="1"/>
        <v/>
      </c>
      <c r="I50" s="51"/>
      <c r="J50" s="58" t="str">
        <f t="shared" si="2"/>
        <v/>
      </c>
      <c r="K50" s="51"/>
      <c r="L50" s="58" t="str">
        <f t="shared" si="3"/>
        <v/>
      </c>
      <c r="M50" s="51"/>
      <c r="N50" s="58" t="str">
        <f t="shared" si="4"/>
        <v/>
      </c>
      <c r="O50" s="51"/>
      <c r="P50" s="58" t="str">
        <f t="shared" si="5"/>
        <v/>
      </c>
      <c r="Q50" s="51"/>
      <c r="R50" s="58" t="str">
        <f t="shared" si="6"/>
        <v/>
      </c>
      <c r="S50" s="51"/>
      <c r="T50" s="58" t="str">
        <f t="shared" si="7"/>
        <v/>
      </c>
      <c r="U50" s="51"/>
      <c r="V50" s="58" t="str">
        <f t="shared" si="8"/>
        <v/>
      </c>
      <c r="W50" s="51"/>
      <c r="X50" s="58" t="str">
        <f t="shared" si="9"/>
        <v/>
      </c>
    </row>
    <row r="51" spans="1:24" x14ac:dyDescent="0.35">
      <c r="A51" s="20">
        <v>41</v>
      </c>
      <c r="B51" s="46">
        <v>46468</v>
      </c>
      <c r="C51" s="59">
        <f t="shared" si="0"/>
        <v>652.17391304347825</v>
      </c>
      <c r="D51" s="48"/>
      <c r="E51" s="59">
        <f>SUM($C$11:C51)</f>
        <v>26739.13043478263</v>
      </c>
      <c r="F51" s="59">
        <f>SUM($D$11:D51)</f>
        <v>0</v>
      </c>
      <c r="G51" s="49" t="str">
        <f>IF(COUNT($D$11:D51)=0,"",F51/E51)</f>
        <v/>
      </c>
      <c r="H51" s="50" t="str">
        <f t="shared" si="1"/>
        <v/>
      </c>
      <c r="I51" s="51"/>
      <c r="J51" s="52" t="str">
        <f t="shared" si="2"/>
        <v/>
      </c>
      <c r="K51" s="51"/>
      <c r="L51" s="52" t="str">
        <f t="shared" si="3"/>
        <v/>
      </c>
      <c r="M51" s="51"/>
      <c r="N51" s="52" t="str">
        <f t="shared" si="4"/>
        <v/>
      </c>
      <c r="O51" s="51"/>
      <c r="P51" s="52" t="str">
        <f t="shared" si="5"/>
        <v/>
      </c>
      <c r="Q51" s="51"/>
      <c r="R51" s="52" t="str">
        <f t="shared" si="6"/>
        <v/>
      </c>
      <c r="S51" s="51"/>
      <c r="T51" s="52" t="str">
        <f t="shared" si="7"/>
        <v/>
      </c>
      <c r="U51" s="51"/>
      <c r="V51" s="52" t="str">
        <f t="shared" si="8"/>
        <v/>
      </c>
      <c r="W51" s="51"/>
      <c r="X51" s="52" t="str">
        <f t="shared" si="9"/>
        <v/>
      </c>
    </row>
    <row r="52" spans="1:24" x14ac:dyDescent="0.35">
      <c r="A52" s="27">
        <v>42</v>
      </c>
      <c r="B52" s="54">
        <v>46475</v>
      </c>
      <c r="C52" s="60">
        <f t="shared" si="0"/>
        <v>652.17391304347825</v>
      </c>
      <c r="D52" s="48"/>
      <c r="E52" s="60">
        <f>SUM($C$11:C52)</f>
        <v>27391.30434782611</v>
      </c>
      <c r="F52" s="60">
        <f>SUM($D$11:D52)</f>
        <v>0</v>
      </c>
      <c r="G52" s="56" t="str">
        <f>IF(COUNT($D$11:D52)=0,"",F52/E52)</f>
        <v/>
      </c>
      <c r="H52" s="57" t="str">
        <f t="shared" si="1"/>
        <v/>
      </c>
      <c r="I52" s="51"/>
      <c r="J52" s="58" t="str">
        <f t="shared" si="2"/>
        <v/>
      </c>
      <c r="K52" s="51"/>
      <c r="L52" s="58" t="str">
        <f t="shared" si="3"/>
        <v/>
      </c>
      <c r="M52" s="51"/>
      <c r="N52" s="58" t="str">
        <f t="shared" si="4"/>
        <v/>
      </c>
      <c r="O52" s="51"/>
      <c r="P52" s="58" t="str">
        <f t="shared" si="5"/>
        <v/>
      </c>
      <c r="Q52" s="51"/>
      <c r="R52" s="58" t="str">
        <f t="shared" si="6"/>
        <v/>
      </c>
      <c r="S52" s="51"/>
      <c r="T52" s="58" t="str">
        <f t="shared" si="7"/>
        <v/>
      </c>
      <c r="U52" s="51"/>
      <c r="V52" s="58" t="str">
        <f t="shared" si="8"/>
        <v/>
      </c>
      <c r="W52" s="51"/>
      <c r="X52" s="58" t="str">
        <f t="shared" si="9"/>
        <v/>
      </c>
    </row>
    <row r="53" spans="1:24" x14ac:dyDescent="0.35">
      <c r="A53" s="20">
        <v>43</v>
      </c>
      <c r="B53" s="46">
        <v>46482</v>
      </c>
      <c r="C53" s="59">
        <f t="shared" si="0"/>
        <v>652.17391304347825</v>
      </c>
      <c r="D53" s="48"/>
      <c r="E53" s="59">
        <f>SUM($C$11:C53)</f>
        <v>28043.47826086959</v>
      </c>
      <c r="F53" s="59">
        <f>SUM($D$11:D53)</f>
        <v>0</v>
      </c>
      <c r="G53" s="49" t="str">
        <f>IF(COUNT($D$11:D53)=0,"",F53/E53)</f>
        <v/>
      </c>
      <c r="H53" s="50" t="str">
        <f t="shared" si="1"/>
        <v/>
      </c>
      <c r="I53" s="51"/>
      <c r="J53" s="52" t="str">
        <f t="shared" si="2"/>
        <v/>
      </c>
      <c r="K53" s="51"/>
      <c r="L53" s="52" t="str">
        <f t="shared" si="3"/>
        <v/>
      </c>
      <c r="M53" s="51"/>
      <c r="N53" s="52" t="str">
        <f t="shared" si="4"/>
        <v/>
      </c>
      <c r="O53" s="51"/>
      <c r="P53" s="52" t="str">
        <f t="shared" si="5"/>
        <v/>
      </c>
      <c r="Q53" s="51"/>
      <c r="R53" s="52" t="str">
        <f t="shared" si="6"/>
        <v/>
      </c>
      <c r="S53" s="51"/>
      <c r="T53" s="52" t="str">
        <f t="shared" si="7"/>
        <v/>
      </c>
      <c r="U53" s="51"/>
      <c r="V53" s="52" t="str">
        <f t="shared" si="8"/>
        <v/>
      </c>
      <c r="W53" s="51"/>
      <c r="X53" s="52" t="str">
        <f t="shared" si="9"/>
        <v/>
      </c>
    </row>
    <row r="54" spans="1:24" x14ac:dyDescent="0.35">
      <c r="A54" s="27">
        <v>44</v>
      </c>
      <c r="B54" s="54">
        <v>46489</v>
      </c>
      <c r="C54" s="60">
        <f t="shared" si="0"/>
        <v>652.17391304347825</v>
      </c>
      <c r="D54" s="48"/>
      <c r="E54" s="60">
        <f>SUM($C$11:C54)</f>
        <v>28695.652173913069</v>
      </c>
      <c r="F54" s="60">
        <f>SUM($D$11:D54)</f>
        <v>0</v>
      </c>
      <c r="G54" s="56" t="str">
        <f>IF(COUNT($D$11:D54)=0,"",F54/E54)</f>
        <v/>
      </c>
      <c r="H54" s="57" t="str">
        <f t="shared" si="1"/>
        <v/>
      </c>
      <c r="I54" s="51"/>
      <c r="J54" s="58" t="str">
        <f t="shared" si="2"/>
        <v/>
      </c>
      <c r="K54" s="51"/>
      <c r="L54" s="58" t="str">
        <f t="shared" si="3"/>
        <v/>
      </c>
      <c r="M54" s="51"/>
      <c r="N54" s="58" t="str">
        <f t="shared" si="4"/>
        <v/>
      </c>
      <c r="O54" s="51"/>
      <c r="P54" s="58" t="str">
        <f t="shared" si="5"/>
        <v/>
      </c>
      <c r="Q54" s="51"/>
      <c r="R54" s="58" t="str">
        <f t="shared" si="6"/>
        <v/>
      </c>
      <c r="S54" s="51"/>
      <c r="T54" s="58" t="str">
        <f t="shared" si="7"/>
        <v/>
      </c>
      <c r="U54" s="51"/>
      <c r="V54" s="58" t="str">
        <f t="shared" si="8"/>
        <v/>
      </c>
      <c r="W54" s="51"/>
      <c r="X54" s="58" t="str">
        <f t="shared" si="9"/>
        <v/>
      </c>
    </row>
    <row r="55" spans="1:24" x14ac:dyDescent="0.35">
      <c r="A55" s="20">
        <v>45</v>
      </c>
      <c r="B55" s="46">
        <v>46496</v>
      </c>
      <c r="C55" s="59">
        <f t="shared" si="0"/>
        <v>652.17391304347825</v>
      </c>
      <c r="D55" s="48"/>
      <c r="E55" s="59">
        <f>SUM($C$11:C55)</f>
        <v>29347.826086956549</v>
      </c>
      <c r="F55" s="59">
        <f>SUM($D$11:D55)</f>
        <v>0</v>
      </c>
      <c r="G55" s="49" t="str">
        <f>IF(COUNT($D$11:D55)=0,"",F55/E55)</f>
        <v/>
      </c>
      <c r="H55" s="50" t="str">
        <f t="shared" si="1"/>
        <v/>
      </c>
      <c r="I55" s="51"/>
      <c r="J55" s="52" t="str">
        <f t="shared" si="2"/>
        <v/>
      </c>
      <c r="K55" s="51"/>
      <c r="L55" s="52" t="str">
        <f t="shared" si="3"/>
        <v/>
      </c>
      <c r="M55" s="51"/>
      <c r="N55" s="52" t="str">
        <f t="shared" si="4"/>
        <v/>
      </c>
      <c r="O55" s="51"/>
      <c r="P55" s="52" t="str">
        <f t="shared" si="5"/>
        <v/>
      </c>
      <c r="Q55" s="51"/>
      <c r="R55" s="52" t="str">
        <f t="shared" si="6"/>
        <v/>
      </c>
      <c r="S55" s="51"/>
      <c r="T55" s="52" t="str">
        <f t="shared" si="7"/>
        <v/>
      </c>
      <c r="U55" s="51"/>
      <c r="V55" s="52" t="str">
        <f t="shared" si="8"/>
        <v/>
      </c>
      <c r="W55" s="51"/>
      <c r="X55" s="52" t="str">
        <f t="shared" si="9"/>
        <v/>
      </c>
    </row>
    <row r="56" spans="1:24" x14ac:dyDescent="0.35">
      <c r="A56" s="27">
        <v>46</v>
      </c>
      <c r="B56" s="54">
        <v>46503</v>
      </c>
      <c r="C56" s="60">
        <f t="shared" si="0"/>
        <v>652.17391304347825</v>
      </c>
      <c r="D56" s="48"/>
      <c r="E56" s="60">
        <f>SUM($C$11:C56)</f>
        <v>30000.000000000029</v>
      </c>
      <c r="F56" s="60">
        <f>SUM($D$11:D56)</f>
        <v>0</v>
      </c>
      <c r="G56" s="56" t="str">
        <f>IF(COUNT($D$11:D56)=0,"",F56/E56)</f>
        <v/>
      </c>
      <c r="H56" s="57" t="str">
        <f t="shared" si="1"/>
        <v/>
      </c>
      <c r="I56" s="51"/>
      <c r="J56" s="58" t="str">
        <f t="shared" si="2"/>
        <v/>
      </c>
      <c r="K56" s="51"/>
      <c r="L56" s="58" t="str">
        <f t="shared" si="3"/>
        <v/>
      </c>
      <c r="M56" s="51"/>
      <c r="N56" s="58" t="str">
        <f t="shared" si="4"/>
        <v/>
      </c>
      <c r="O56" s="51"/>
      <c r="P56" s="58" t="str">
        <f t="shared" si="5"/>
        <v/>
      </c>
      <c r="Q56" s="51"/>
      <c r="R56" s="58" t="str">
        <f t="shared" si="6"/>
        <v/>
      </c>
      <c r="S56" s="51"/>
      <c r="T56" s="58" t="str">
        <f t="shared" si="7"/>
        <v/>
      </c>
      <c r="U56" s="51"/>
      <c r="V56" s="58" t="str">
        <f t="shared" si="8"/>
        <v/>
      </c>
      <c r="W56" s="51"/>
      <c r="X56" s="58" t="str">
        <f t="shared" si="9"/>
        <v/>
      </c>
    </row>
  </sheetData>
  <mergeCells count="17">
    <mergeCell ref="S9:T9"/>
    <mergeCell ref="U9:V9"/>
    <mergeCell ref="W9:X9"/>
    <mergeCell ref="I9:J9"/>
    <mergeCell ref="K9:L9"/>
    <mergeCell ref="M9:N9"/>
    <mergeCell ref="O9:P9"/>
    <mergeCell ref="Q9:R9"/>
    <mergeCell ref="A1:X1"/>
    <mergeCell ref="I8:J8"/>
    <mergeCell ref="K8:L8"/>
    <mergeCell ref="M8:N8"/>
    <mergeCell ref="O8:P8"/>
    <mergeCell ref="Q8:R8"/>
    <mergeCell ref="S8:T8"/>
    <mergeCell ref="U8:V8"/>
    <mergeCell ref="W8:X8"/>
  </mergeCells>
  <conditionalFormatting sqref="H11:H56">
    <cfRule type="containsText" dxfId="8" priority="2" operator="containsText" text="En meta">
      <formula>NOT(ISERROR(SEARCH("En meta",H11)))</formula>
    </cfRule>
    <cfRule type="containsText" dxfId="7" priority="3" operator="containsText" text="Riesgo">
      <formula>NOT(ISERROR(SEARCH("Riesgo",H11)))</formula>
    </cfRule>
    <cfRule type="containsText" dxfId="6" priority="4" operator="containsText" text="Atrasado">
      <formula>NOT(ISERROR(SEARCH("Atrasado",H11)))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8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ColWidth="8.6328125" defaultRowHeight="14.5" x14ac:dyDescent="0.35"/>
  <cols>
    <col min="1" max="1" width="5" customWidth="1"/>
    <col min="2" max="2" width="11" customWidth="1"/>
    <col min="3" max="3" width="12" customWidth="1"/>
    <col min="4" max="4" width="11" customWidth="1"/>
    <col min="5" max="6" width="12" customWidth="1"/>
    <col min="7" max="7" width="13" customWidth="1"/>
    <col min="8" max="9" width="11" customWidth="1"/>
    <col min="10" max="10" width="7" customWidth="1"/>
    <col min="11" max="11" width="11" customWidth="1"/>
    <col min="12" max="12" width="7" customWidth="1"/>
    <col min="13" max="13" width="11" customWidth="1"/>
    <col min="14" max="14" width="7" customWidth="1"/>
    <col min="15" max="15" width="11" customWidth="1"/>
    <col min="16" max="16" width="7" customWidth="1"/>
    <col min="17" max="17" width="11" customWidth="1"/>
    <col min="18" max="18" width="7" customWidth="1"/>
    <col min="19" max="19" width="11" customWidth="1"/>
    <col min="20" max="20" width="7" customWidth="1"/>
    <col min="21" max="21" width="11" customWidth="1"/>
    <col min="22" max="22" width="7" customWidth="1"/>
    <col min="23" max="23" width="11" customWidth="1"/>
    <col min="24" max="24" width="7" customWidth="1"/>
  </cols>
  <sheetData>
    <row r="1" spans="1:24" ht="18" x14ac:dyDescent="0.4">
      <c r="A1" s="4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7" t="s">
        <v>46</v>
      </c>
      <c r="B2" s="38" t="s">
        <v>132</v>
      </c>
    </row>
    <row r="3" spans="1:24" x14ac:dyDescent="0.35">
      <c r="A3" s="7" t="s">
        <v>48</v>
      </c>
      <c r="B3" s="38" t="s">
        <v>133</v>
      </c>
    </row>
    <row r="4" spans="1:24" x14ac:dyDescent="0.35">
      <c r="A4" s="7" t="s">
        <v>50</v>
      </c>
      <c r="B4" s="39" t="s">
        <v>51</v>
      </c>
      <c r="D4" s="7" t="s">
        <v>52</v>
      </c>
      <c r="E4" s="38" t="s">
        <v>40</v>
      </c>
    </row>
    <row r="5" spans="1:24" x14ac:dyDescent="0.35">
      <c r="A5" s="7" t="s">
        <v>53</v>
      </c>
      <c r="B5" s="61">
        <v>0.16</v>
      </c>
      <c r="D5" s="7" t="s">
        <v>54</v>
      </c>
      <c r="E5" s="41">
        <v>46204</v>
      </c>
      <c r="G5" s="7" t="s">
        <v>55</v>
      </c>
      <c r="H5" s="41">
        <v>46722</v>
      </c>
    </row>
    <row r="6" spans="1:24" x14ac:dyDescent="0.35">
      <c r="A6" s="7" t="s">
        <v>56</v>
      </c>
      <c r="B6" s="38" t="s">
        <v>134</v>
      </c>
    </row>
    <row r="8" spans="1:24" ht="42" customHeight="1" x14ac:dyDescent="0.35">
      <c r="A8" s="7" t="s">
        <v>58</v>
      </c>
      <c r="B8" s="42">
        <f>COUNT(A11:A28)</f>
        <v>18</v>
      </c>
      <c r="H8" s="43" t="s">
        <v>59</v>
      </c>
      <c r="I8" s="3" t="s">
        <v>135</v>
      </c>
      <c r="J8" s="3"/>
      <c r="K8" s="3" t="s">
        <v>136</v>
      </c>
      <c r="L8" s="3"/>
      <c r="M8" s="3" t="s">
        <v>137</v>
      </c>
      <c r="N8" s="3"/>
      <c r="O8" s="3" t="s">
        <v>138</v>
      </c>
      <c r="P8" s="3"/>
      <c r="Q8" s="3" t="s">
        <v>139</v>
      </c>
      <c r="R8" s="3"/>
      <c r="S8" s="3" t="s">
        <v>140</v>
      </c>
      <c r="T8" s="3"/>
      <c r="U8" s="3" t="s">
        <v>67</v>
      </c>
      <c r="V8" s="3"/>
      <c r="W8" s="3" t="s">
        <v>67</v>
      </c>
      <c r="X8" s="3"/>
    </row>
    <row r="9" spans="1:24" x14ac:dyDescent="0.35">
      <c r="A9" s="44" t="s">
        <v>68</v>
      </c>
      <c r="H9" s="43" t="s">
        <v>69</v>
      </c>
      <c r="I9" s="1">
        <v>1</v>
      </c>
      <c r="J9" s="1"/>
      <c r="K9" s="1">
        <v>1</v>
      </c>
      <c r="L9" s="1"/>
      <c r="M9" s="1">
        <v>1</v>
      </c>
      <c r="N9" s="1"/>
      <c r="O9" s="2">
        <v>2</v>
      </c>
      <c r="P9" s="2"/>
      <c r="Q9" s="2">
        <v>4</v>
      </c>
      <c r="R9" s="2"/>
      <c r="S9" s="1">
        <v>1</v>
      </c>
      <c r="T9" s="1"/>
      <c r="U9" s="2"/>
      <c r="V9" s="2"/>
      <c r="W9" s="2"/>
      <c r="X9" s="2"/>
    </row>
    <row r="10" spans="1:24" x14ac:dyDescent="0.35">
      <c r="A10" s="9" t="s">
        <v>11</v>
      </c>
      <c r="B10" s="9" t="s">
        <v>3</v>
      </c>
      <c r="C10" s="9" t="s">
        <v>15</v>
      </c>
      <c r="D10" s="9" t="s">
        <v>72</v>
      </c>
      <c r="E10" s="9"/>
      <c r="F10" s="9"/>
      <c r="G10" s="9" t="s">
        <v>103</v>
      </c>
      <c r="H10" s="9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spans="1:24" x14ac:dyDescent="0.35">
      <c r="A11" s="20">
        <v>1</v>
      </c>
      <c r="B11" s="10">
        <v>46204</v>
      </c>
      <c r="C11" s="62">
        <f t="shared" ref="C11:C28" si="0">$B$5</f>
        <v>0.16</v>
      </c>
      <c r="D11" s="48"/>
      <c r="E11" s="20"/>
      <c r="F11" s="20"/>
      <c r="G11" s="49" t="str">
        <f t="shared" ref="G11:G28" si="1">IF(D11="","",D11-C11)</f>
        <v/>
      </c>
      <c r="H11" s="50" t="str">
        <f t="shared" ref="H11:H28" si="2">IF(D11="","",IF(D11&gt;=C11,"En meta",IF(D11&gt;=C11-0.01,"Riesgo","Atrasado")))</f>
        <v/>
      </c>
      <c r="I11" s="53"/>
      <c r="J11" s="52" t="str">
        <f t="shared" ref="J11:J28" si="3">IF(I11="","",IF($I$9="","",IF($I$9=0,"",I11/$I$9)))</f>
        <v/>
      </c>
      <c r="K11" s="53"/>
      <c r="L11" s="52" t="str">
        <f t="shared" ref="L11:L28" si="4">IF(K11="","",IF($K$9="","",IF($K$9=0,"",K11/$K$9)))</f>
        <v/>
      </c>
      <c r="M11" s="53"/>
      <c r="N11" s="52" t="str">
        <f t="shared" ref="N11:N28" si="5">IF(M11="","",IF($M$9="","",IF($M$9=0,"",M11/$M$9)))</f>
        <v/>
      </c>
      <c r="O11" s="51"/>
      <c r="P11" s="52" t="str">
        <f t="shared" ref="P11:P28" si="6">IF(O11="","",IF($O$9="","",IF($O$9=0,"",O11/$O$9)))</f>
        <v/>
      </c>
      <c r="Q11" s="51"/>
      <c r="R11" s="52" t="str">
        <f t="shared" ref="R11:R28" si="7">IF(Q11="","",IF($Q$9="","",IF($Q$9=0,"",Q11/$Q$9)))</f>
        <v/>
      </c>
      <c r="S11" s="53"/>
      <c r="T11" s="52" t="str">
        <f t="shared" ref="T11:T28" si="8">IF(S11="","",IF($S$9="","",IF($S$9=0,"",S11/$S$9)))</f>
        <v/>
      </c>
      <c r="U11" s="51"/>
      <c r="V11" s="52" t="str">
        <f t="shared" ref="V11:V28" si="9">IF(U11="","",IF($U$9="","",IF($U$9=0,"",U11/$U$9)))</f>
        <v/>
      </c>
      <c r="W11" s="51"/>
      <c r="X11" s="52" t="str">
        <f t="shared" ref="X11:X28" si="10">IF(W11="","",IF($W$9="","",IF($W$9=0,"",W11/$W$9)))</f>
        <v/>
      </c>
    </row>
    <row r="12" spans="1:24" x14ac:dyDescent="0.35">
      <c r="A12" s="27">
        <v>2</v>
      </c>
      <c r="B12" s="15">
        <v>46235</v>
      </c>
      <c r="C12" s="63">
        <f t="shared" si="0"/>
        <v>0.16</v>
      </c>
      <c r="D12" s="48"/>
      <c r="E12" s="27"/>
      <c r="F12" s="27"/>
      <c r="G12" s="56" t="str">
        <f t="shared" si="1"/>
        <v/>
      </c>
      <c r="H12" s="57" t="str">
        <f t="shared" si="2"/>
        <v/>
      </c>
      <c r="I12" s="53"/>
      <c r="J12" s="58" t="str">
        <f t="shared" si="3"/>
        <v/>
      </c>
      <c r="K12" s="53"/>
      <c r="L12" s="58" t="str">
        <f t="shared" si="4"/>
        <v/>
      </c>
      <c r="M12" s="53"/>
      <c r="N12" s="58" t="str">
        <f t="shared" si="5"/>
        <v/>
      </c>
      <c r="O12" s="51"/>
      <c r="P12" s="58" t="str">
        <f t="shared" si="6"/>
        <v/>
      </c>
      <c r="Q12" s="51"/>
      <c r="R12" s="58" t="str">
        <f t="shared" si="7"/>
        <v/>
      </c>
      <c r="S12" s="53"/>
      <c r="T12" s="58" t="str">
        <f t="shared" si="8"/>
        <v/>
      </c>
      <c r="U12" s="51"/>
      <c r="V12" s="58" t="str">
        <f t="shared" si="9"/>
        <v/>
      </c>
      <c r="W12" s="51"/>
      <c r="X12" s="58" t="str">
        <f t="shared" si="10"/>
        <v/>
      </c>
    </row>
    <row r="13" spans="1:24" x14ac:dyDescent="0.35">
      <c r="A13" s="20">
        <v>3</v>
      </c>
      <c r="B13" s="10">
        <v>46266</v>
      </c>
      <c r="C13" s="62">
        <f t="shared" si="0"/>
        <v>0.16</v>
      </c>
      <c r="D13" s="48"/>
      <c r="E13" s="20"/>
      <c r="F13" s="20"/>
      <c r="G13" s="49" t="str">
        <f t="shared" si="1"/>
        <v/>
      </c>
      <c r="H13" s="50" t="str">
        <f t="shared" si="2"/>
        <v/>
      </c>
      <c r="I13" s="53"/>
      <c r="J13" s="52" t="str">
        <f t="shared" si="3"/>
        <v/>
      </c>
      <c r="K13" s="53"/>
      <c r="L13" s="52" t="str">
        <f t="shared" si="4"/>
        <v/>
      </c>
      <c r="M13" s="53"/>
      <c r="N13" s="52" t="str">
        <f t="shared" si="5"/>
        <v/>
      </c>
      <c r="O13" s="51"/>
      <c r="P13" s="52" t="str">
        <f t="shared" si="6"/>
        <v/>
      </c>
      <c r="Q13" s="51"/>
      <c r="R13" s="52" t="str">
        <f t="shared" si="7"/>
        <v/>
      </c>
      <c r="S13" s="53"/>
      <c r="T13" s="52" t="str">
        <f t="shared" si="8"/>
        <v/>
      </c>
      <c r="U13" s="51"/>
      <c r="V13" s="52" t="str">
        <f t="shared" si="9"/>
        <v/>
      </c>
      <c r="W13" s="51"/>
      <c r="X13" s="52" t="str">
        <f t="shared" si="10"/>
        <v/>
      </c>
    </row>
    <row r="14" spans="1:24" x14ac:dyDescent="0.35">
      <c r="A14" s="27">
        <v>4</v>
      </c>
      <c r="B14" s="15">
        <v>46296</v>
      </c>
      <c r="C14" s="63">
        <f t="shared" si="0"/>
        <v>0.16</v>
      </c>
      <c r="D14" s="48"/>
      <c r="E14" s="27"/>
      <c r="F14" s="27"/>
      <c r="G14" s="56" t="str">
        <f t="shared" si="1"/>
        <v/>
      </c>
      <c r="H14" s="57" t="str">
        <f t="shared" si="2"/>
        <v/>
      </c>
      <c r="I14" s="53"/>
      <c r="J14" s="58" t="str">
        <f t="shared" si="3"/>
        <v/>
      </c>
      <c r="K14" s="53"/>
      <c r="L14" s="58" t="str">
        <f t="shared" si="4"/>
        <v/>
      </c>
      <c r="M14" s="53"/>
      <c r="N14" s="58" t="str">
        <f t="shared" si="5"/>
        <v/>
      </c>
      <c r="O14" s="51"/>
      <c r="P14" s="58" t="str">
        <f t="shared" si="6"/>
        <v/>
      </c>
      <c r="Q14" s="51"/>
      <c r="R14" s="58" t="str">
        <f t="shared" si="7"/>
        <v/>
      </c>
      <c r="S14" s="53"/>
      <c r="T14" s="58" t="str">
        <f t="shared" si="8"/>
        <v/>
      </c>
      <c r="U14" s="51"/>
      <c r="V14" s="58" t="str">
        <f t="shared" si="9"/>
        <v/>
      </c>
      <c r="W14" s="51"/>
      <c r="X14" s="58" t="str">
        <f t="shared" si="10"/>
        <v/>
      </c>
    </row>
    <row r="15" spans="1:24" x14ac:dyDescent="0.35">
      <c r="A15" s="20">
        <v>5</v>
      </c>
      <c r="B15" s="10">
        <v>46327</v>
      </c>
      <c r="C15" s="62">
        <f t="shared" si="0"/>
        <v>0.16</v>
      </c>
      <c r="D15" s="48"/>
      <c r="E15" s="20"/>
      <c r="F15" s="20"/>
      <c r="G15" s="49" t="str">
        <f t="shared" si="1"/>
        <v/>
      </c>
      <c r="H15" s="50" t="str">
        <f t="shared" si="2"/>
        <v/>
      </c>
      <c r="I15" s="53"/>
      <c r="J15" s="52" t="str">
        <f t="shared" si="3"/>
        <v/>
      </c>
      <c r="K15" s="53"/>
      <c r="L15" s="52" t="str">
        <f t="shared" si="4"/>
        <v/>
      </c>
      <c r="M15" s="53"/>
      <c r="N15" s="52" t="str">
        <f t="shared" si="5"/>
        <v/>
      </c>
      <c r="O15" s="51"/>
      <c r="P15" s="52" t="str">
        <f t="shared" si="6"/>
        <v/>
      </c>
      <c r="Q15" s="51"/>
      <c r="R15" s="52" t="str">
        <f t="shared" si="7"/>
        <v/>
      </c>
      <c r="S15" s="53"/>
      <c r="T15" s="52" t="str">
        <f t="shared" si="8"/>
        <v/>
      </c>
      <c r="U15" s="51"/>
      <c r="V15" s="52" t="str">
        <f t="shared" si="9"/>
        <v/>
      </c>
      <c r="W15" s="51"/>
      <c r="X15" s="52" t="str">
        <f t="shared" si="10"/>
        <v/>
      </c>
    </row>
    <row r="16" spans="1:24" x14ac:dyDescent="0.35">
      <c r="A16" s="27">
        <v>6</v>
      </c>
      <c r="B16" s="15">
        <v>46357</v>
      </c>
      <c r="C16" s="63">
        <f t="shared" si="0"/>
        <v>0.16</v>
      </c>
      <c r="D16" s="48"/>
      <c r="E16" s="27"/>
      <c r="F16" s="27"/>
      <c r="G16" s="56" t="str">
        <f t="shared" si="1"/>
        <v/>
      </c>
      <c r="H16" s="57" t="str">
        <f t="shared" si="2"/>
        <v/>
      </c>
      <c r="I16" s="53"/>
      <c r="J16" s="58" t="str">
        <f t="shared" si="3"/>
        <v/>
      </c>
      <c r="K16" s="53"/>
      <c r="L16" s="58" t="str">
        <f t="shared" si="4"/>
        <v/>
      </c>
      <c r="M16" s="53"/>
      <c r="N16" s="58" t="str">
        <f t="shared" si="5"/>
        <v/>
      </c>
      <c r="O16" s="51"/>
      <c r="P16" s="58" t="str">
        <f t="shared" si="6"/>
        <v/>
      </c>
      <c r="Q16" s="51"/>
      <c r="R16" s="58" t="str">
        <f t="shared" si="7"/>
        <v/>
      </c>
      <c r="S16" s="53"/>
      <c r="T16" s="58" t="str">
        <f t="shared" si="8"/>
        <v/>
      </c>
      <c r="U16" s="51"/>
      <c r="V16" s="58" t="str">
        <f t="shared" si="9"/>
        <v/>
      </c>
      <c r="W16" s="51"/>
      <c r="X16" s="58" t="str">
        <f t="shared" si="10"/>
        <v/>
      </c>
    </row>
    <row r="17" spans="1:24" x14ac:dyDescent="0.35">
      <c r="A17" s="20">
        <v>7</v>
      </c>
      <c r="B17" s="10">
        <v>46388</v>
      </c>
      <c r="C17" s="62">
        <f t="shared" si="0"/>
        <v>0.16</v>
      </c>
      <c r="D17" s="48"/>
      <c r="E17" s="20"/>
      <c r="F17" s="20"/>
      <c r="G17" s="49" t="str">
        <f t="shared" si="1"/>
        <v/>
      </c>
      <c r="H17" s="50" t="str">
        <f t="shared" si="2"/>
        <v/>
      </c>
      <c r="I17" s="53"/>
      <c r="J17" s="52" t="str">
        <f t="shared" si="3"/>
        <v/>
      </c>
      <c r="K17" s="53"/>
      <c r="L17" s="52" t="str">
        <f t="shared" si="4"/>
        <v/>
      </c>
      <c r="M17" s="53"/>
      <c r="N17" s="52" t="str">
        <f t="shared" si="5"/>
        <v/>
      </c>
      <c r="O17" s="51"/>
      <c r="P17" s="52" t="str">
        <f t="shared" si="6"/>
        <v/>
      </c>
      <c r="Q17" s="51"/>
      <c r="R17" s="52" t="str">
        <f t="shared" si="7"/>
        <v/>
      </c>
      <c r="S17" s="53"/>
      <c r="T17" s="52" t="str">
        <f t="shared" si="8"/>
        <v/>
      </c>
      <c r="U17" s="51"/>
      <c r="V17" s="52" t="str">
        <f t="shared" si="9"/>
        <v/>
      </c>
      <c r="W17" s="51"/>
      <c r="X17" s="52" t="str">
        <f t="shared" si="10"/>
        <v/>
      </c>
    </row>
    <row r="18" spans="1:24" x14ac:dyDescent="0.35">
      <c r="A18" s="27">
        <v>8</v>
      </c>
      <c r="B18" s="15">
        <v>46419</v>
      </c>
      <c r="C18" s="63">
        <f t="shared" si="0"/>
        <v>0.16</v>
      </c>
      <c r="D18" s="48"/>
      <c r="E18" s="27"/>
      <c r="F18" s="27"/>
      <c r="G18" s="56" t="str">
        <f t="shared" si="1"/>
        <v/>
      </c>
      <c r="H18" s="57" t="str">
        <f t="shared" si="2"/>
        <v/>
      </c>
      <c r="I18" s="53"/>
      <c r="J18" s="58" t="str">
        <f t="shared" si="3"/>
        <v/>
      </c>
      <c r="K18" s="53"/>
      <c r="L18" s="58" t="str">
        <f t="shared" si="4"/>
        <v/>
      </c>
      <c r="M18" s="53"/>
      <c r="N18" s="58" t="str">
        <f t="shared" si="5"/>
        <v/>
      </c>
      <c r="O18" s="51"/>
      <c r="P18" s="58" t="str">
        <f t="shared" si="6"/>
        <v/>
      </c>
      <c r="Q18" s="51"/>
      <c r="R18" s="58" t="str">
        <f t="shared" si="7"/>
        <v/>
      </c>
      <c r="S18" s="53"/>
      <c r="T18" s="58" t="str">
        <f t="shared" si="8"/>
        <v/>
      </c>
      <c r="U18" s="51"/>
      <c r="V18" s="58" t="str">
        <f t="shared" si="9"/>
        <v/>
      </c>
      <c r="W18" s="51"/>
      <c r="X18" s="58" t="str">
        <f t="shared" si="10"/>
        <v/>
      </c>
    </row>
    <row r="19" spans="1:24" x14ac:dyDescent="0.35">
      <c r="A19" s="20">
        <v>9</v>
      </c>
      <c r="B19" s="10">
        <v>46447</v>
      </c>
      <c r="C19" s="62">
        <f t="shared" si="0"/>
        <v>0.16</v>
      </c>
      <c r="D19" s="48"/>
      <c r="E19" s="20"/>
      <c r="F19" s="20"/>
      <c r="G19" s="49" t="str">
        <f t="shared" si="1"/>
        <v/>
      </c>
      <c r="H19" s="50" t="str">
        <f t="shared" si="2"/>
        <v/>
      </c>
      <c r="I19" s="53"/>
      <c r="J19" s="52" t="str">
        <f t="shared" si="3"/>
        <v/>
      </c>
      <c r="K19" s="53"/>
      <c r="L19" s="52" t="str">
        <f t="shared" si="4"/>
        <v/>
      </c>
      <c r="M19" s="53"/>
      <c r="N19" s="52" t="str">
        <f t="shared" si="5"/>
        <v/>
      </c>
      <c r="O19" s="51"/>
      <c r="P19" s="52" t="str">
        <f t="shared" si="6"/>
        <v/>
      </c>
      <c r="Q19" s="51"/>
      <c r="R19" s="52" t="str">
        <f t="shared" si="7"/>
        <v/>
      </c>
      <c r="S19" s="53"/>
      <c r="T19" s="52" t="str">
        <f t="shared" si="8"/>
        <v/>
      </c>
      <c r="U19" s="51"/>
      <c r="V19" s="52" t="str">
        <f t="shared" si="9"/>
        <v/>
      </c>
      <c r="W19" s="51"/>
      <c r="X19" s="52" t="str">
        <f t="shared" si="10"/>
        <v/>
      </c>
    </row>
    <row r="20" spans="1:24" x14ac:dyDescent="0.35">
      <c r="A20" s="27">
        <v>10</v>
      </c>
      <c r="B20" s="15">
        <v>46478</v>
      </c>
      <c r="C20" s="63">
        <f t="shared" si="0"/>
        <v>0.16</v>
      </c>
      <c r="D20" s="48"/>
      <c r="E20" s="27"/>
      <c r="F20" s="27"/>
      <c r="G20" s="56" t="str">
        <f t="shared" si="1"/>
        <v/>
      </c>
      <c r="H20" s="57" t="str">
        <f t="shared" si="2"/>
        <v/>
      </c>
      <c r="I20" s="53"/>
      <c r="J20" s="58" t="str">
        <f t="shared" si="3"/>
        <v/>
      </c>
      <c r="K20" s="53"/>
      <c r="L20" s="58" t="str">
        <f t="shared" si="4"/>
        <v/>
      </c>
      <c r="M20" s="53"/>
      <c r="N20" s="58" t="str">
        <f t="shared" si="5"/>
        <v/>
      </c>
      <c r="O20" s="51"/>
      <c r="P20" s="58" t="str">
        <f t="shared" si="6"/>
        <v/>
      </c>
      <c r="Q20" s="51"/>
      <c r="R20" s="58" t="str">
        <f t="shared" si="7"/>
        <v/>
      </c>
      <c r="S20" s="53"/>
      <c r="T20" s="58" t="str">
        <f t="shared" si="8"/>
        <v/>
      </c>
      <c r="U20" s="51"/>
      <c r="V20" s="58" t="str">
        <f t="shared" si="9"/>
        <v/>
      </c>
      <c r="W20" s="51"/>
      <c r="X20" s="58" t="str">
        <f t="shared" si="10"/>
        <v/>
      </c>
    </row>
    <row r="21" spans="1:24" x14ac:dyDescent="0.35">
      <c r="A21" s="20">
        <v>11</v>
      </c>
      <c r="B21" s="10">
        <v>46508</v>
      </c>
      <c r="C21" s="62">
        <f t="shared" si="0"/>
        <v>0.16</v>
      </c>
      <c r="D21" s="48"/>
      <c r="E21" s="20"/>
      <c r="F21" s="20"/>
      <c r="G21" s="49" t="str">
        <f t="shared" si="1"/>
        <v/>
      </c>
      <c r="H21" s="50" t="str">
        <f t="shared" si="2"/>
        <v/>
      </c>
      <c r="I21" s="53"/>
      <c r="J21" s="52" t="str">
        <f t="shared" si="3"/>
        <v/>
      </c>
      <c r="K21" s="53"/>
      <c r="L21" s="52" t="str">
        <f t="shared" si="4"/>
        <v/>
      </c>
      <c r="M21" s="53"/>
      <c r="N21" s="52" t="str">
        <f t="shared" si="5"/>
        <v/>
      </c>
      <c r="O21" s="51"/>
      <c r="P21" s="52" t="str">
        <f t="shared" si="6"/>
        <v/>
      </c>
      <c r="Q21" s="51"/>
      <c r="R21" s="52" t="str">
        <f t="shared" si="7"/>
        <v/>
      </c>
      <c r="S21" s="53"/>
      <c r="T21" s="52" t="str">
        <f t="shared" si="8"/>
        <v/>
      </c>
      <c r="U21" s="51"/>
      <c r="V21" s="52" t="str">
        <f t="shared" si="9"/>
        <v/>
      </c>
      <c r="W21" s="51"/>
      <c r="X21" s="52" t="str">
        <f t="shared" si="10"/>
        <v/>
      </c>
    </row>
    <row r="22" spans="1:24" x14ac:dyDescent="0.35">
      <c r="A22" s="27">
        <v>12</v>
      </c>
      <c r="B22" s="15">
        <v>46539</v>
      </c>
      <c r="C22" s="63">
        <f t="shared" si="0"/>
        <v>0.16</v>
      </c>
      <c r="D22" s="48"/>
      <c r="E22" s="27"/>
      <c r="F22" s="27"/>
      <c r="G22" s="56" t="str">
        <f t="shared" si="1"/>
        <v/>
      </c>
      <c r="H22" s="57" t="str">
        <f t="shared" si="2"/>
        <v/>
      </c>
      <c r="I22" s="53"/>
      <c r="J22" s="58" t="str">
        <f t="shared" si="3"/>
        <v/>
      </c>
      <c r="K22" s="53"/>
      <c r="L22" s="58" t="str">
        <f t="shared" si="4"/>
        <v/>
      </c>
      <c r="M22" s="53"/>
      <c r="N22" s="58" t="str">
        <f t="shared" si="5"/>
        <v/>
      </c>
      <c r="O22" s="51"/>
      <c r="P22" s="58" t="str">
        <f t="shared" si="6"/>
        <v/>
      </c>
      <c r="Q22" s="51"/>
      <c r="R22" s="58" t="str">
        <f t="shared" si="7"/>
        <v/>
      </c>
      <c r="S22" s="53"/>
      <c r="T22" s="58" t="str">
        <f t="shared" si="8"/>
        <v/>
      </c>
      <c r="U22" s="51"/>
      <c r="V22" s="58" t="str">
        <f t="shared" si="9"/>
        <v/>
      </c>
      <c r="W22" s="51"/>
      <c r="X22" s="58" t="str">
        <f t="shared" si="10"/>
        <v/>
      </c>
    </row>
    <row r="23" spans="1:24" x14ac:dyDescent="0.35">
      <c r="A23" s="20">
        <v>13</v>
      </c>
      <c r="B23" s="10">
        <v>46569</v>
      </c>
      <c r="C23" s="62">
        <f t="shared" si="0"/>
        <v>0.16</v>
      </c>
      <c r="D23" s="48"/>
      <c r="E23" s="20"/>
      <c r="F23" s="20"/>
      <c r="G23" s="49" t="str">
        <f t="shared" si="1"/>
        <v/>
      </c>
      <c r="H23" s="50" t="str">
        <f t="shared" si="2"/>
        <v/>
      </c>
      <c r="I23" s="53"/>
      <c r="J23" s="52" t="str">
        <f t="shared" si="3"/>
        <v/>
      </c>
      <c r="K23" s="53"/>
      <c r="L23" s="52" t="str">
        <f t="shared" si="4"/>
        <v/>
      </c>
      <c r="M23" s="53"/>
      <c r="N23" s="52" t="str">
        <f t="shared" si="5"/>
        <v/>
      </c>
      <c r="O23" s="51"/>
      <c r="P23" s="52" t="str">
        <f t="shared" si="6"/>
        <v/>
      </c>
      <c r="Q23" s="51"/>
      <c r="R23" s="52" t="str">
        <f t="shared" si="7"/>
        <v/>
      </c>
      <c r="S23" s="53"/>
      <c r="T23" s="52" t="str">
        <f t="shared" si="8"/>
        <v/>
      </c>
      <c r="U23" s="51"/>
      <c r="V23" s="52" t="str">
        <f t="shared" si="9"/>
        <v/>
      </c>
      <c r="W23" s="51"/>
      <c r="X23" s="52" t="str">
        <f t="shared" si="10"/>
        <v/>
      </c>
    </row>
    <row r="24" spans="1:24" x14ac:dyDescent="0.35">
      <c r="A24" s="27">
        <v>14</v>
      </c>
      <c r="B24" s="15">
        <v>46600</v>
      </c>
      <c r="C24" s="63">
        <f t="shared" si="0"/>
        <v>0.16</v>
      </c>
      <c r="D24" s="48"/>
      <c r="E24" s="27"/>
      <c r="F24" s="27"/>
      <c r="G24" s="56" t="str">
        <f t="shared" si="1"/>
        <v/>
      </c>
      <c r="H24" s="57" t="str">
        <f t="shared" si="2"/>
        <v/>
      </c>
      <c r="I24" s="53"/>
      <c r="J24" s="58" t="str">
        <f t="shared" si="3"/>
        <v/>
      </c>
      <c r="K24" s="53"/>
      <c r="L24" s="58" t="str">
        <f t="shared" si="4"/>
        <v/>
      </c>
      <c r="M24" s="53"/>
      <c r="N24" s="58" t="str">
        <f t="shared" si="5"/>
        <v/>
      </c>
      <c r="O24" s="51"/>
      <c r="P24" s="58" t="str">
        <f t="shared" si="6"/>
        <v/>
      </c>
      <c r="Q24" s="51"/>
      <c r="R24" s="58" t="str">
        <f t="shared" si="7"/>
        <v/>
      </c>
      <c r="S24" s="53"/>
      <c r="T24" s="58" t="str">
        <f t="shared" si="8"/>
        <v/>
      </c>
      <c r="U24" s="51"/>
      <c r="V24" s="58" t="str">
        <f t="shared" si="9"/>
        <v/>
      </c>
      <c r="W24" s="51"/>
      <c r="X24" s="58" t="str">
        <f t="shared" si="10"/>
        <v/>
      </c>
    </row>
    <row r="25" spans="1:24" x14ac:dyDescent="0.35">
      <c r="A25" s="20">
        <v>15</v>
      </c>
      <c r="B25" s="10">
        <v>46631</v>
      </c>
      <c r="C25" s="62">
        <f t="shared" si="0"/>
        <v>0.16</v>
      </c>
      <c r="D25" s="48"/>
      <c r="E25" s="20"/>
      <c r="F25" s="20"/>
      <c r="G25" s="49" t="str">
        <f t="shared" si="1"/>
        <v/>
      </c>
      <c r="H25" s="50" t="str">
        <f t="shared" si="2"/>
        <v/>
      </c>
      <c r="I25" s="53"/>
      <c r="J25" s="52" t="str">
        <f t="shared" si="3"/>
        <v/>
      </c>
      <c r="K25" s="53"/>
      <c r="L25" s="52" t="str">
        <f t="shared" si="4"/>
        <v/>
      </c>
      <c r="M25" s="53"/>
      <c r="N25" s="52" t="str">
        <f t="shared" si="5"/>
        <v/>
      </c>
      <c r="O25" s="51"/>
      <c r="P25" s="52" t="str">
        <f t="shared" si="6"/>
        <v/>
      </c>
      <c r="Q25" s="51"/>
      <c r="R25" s="52" t="str">
        <f t="shared" si="7"/>
        <v/>
      </c>
      <c r="S25" s="53"/>
      <c r="T25" s="52" t="str">
        <f t="shared" si="8"/>
        <v/>
      </c>
      <c r="U25" s="51"/>
      <c r="V25" s="52" t="str">
        <f t="shared" si="9"/>
        <v/>
      </c>
      <c r="W25" s="51"/>
      <c r="X25" s="52" t="str">
        <f t="shared" si="10"/>
        <v/>
      </c>
    </row>
    <row r="26" spans="1:24" x14ac:dyDescent="0.35">
      <c r="A26" s="27">
        <v>16</v>
      </c>
      <c r="B26" s="15">
        <v>46661</v>
      </c>
      <c r="C26" s="63">
        <f t="shared" si="0"/>
        <v>0.16</v>
      </c>
      <c r="D26" s="48"/>
      <c r="E26" s="27"/>
      <c r="F26" s="27"/>
      <c r="G26" s="56" t="str">
        <f t="shared" si="1"/>
        <v/>
      </c>
      <c r="H26" s="57" t="str">
        <f t="shared" si="2"/>
        <v/>
      </c>
      <c r="I26" s="53"/>
      <c r="J26" s="58" t="str">
        <f t="shared" si="3"/>
        <v/>
      </c>
      <c r="K26" s="53"/>
      <c r="L26" s="58" t="str">
        <f t="shared" si="4"/>
        <v/>
      </c>
      <c r="M26" s="53"/>
      <c r="N26" s="58" t="str">
        <f t="shared" si="5"/>
        <v/>
      </c>
      <c r="O26" s="51"/>
      <c r="P26" s="58" t="str">
        <f t="shared" si="6"/>
        <v/>
      </c>
      <c r="Q26" s="51"/>
      <c r="R26" s="58" t="str">
        <f t="shared" si="7"/>
        <v/>
      </c>
      <c r="S26" s="53"/>
      <c r="T26" s="58" t="str">
        <f t="shared" si="8"/>
        <v/>
      </c>
      <c r="U26" s="51"/>
      <c r="V26" s="58" t="str">
        <f t="shared" si="9"/>
        <v/>
      </c>
      <c r="W26" s="51"/>
      <c r="X26" s="58" t="str">
        <f t="shared" si="10"/>
        <v/>
      </c>
    </row>
    <row r="27" spans="1:24" x14ac:dyDescent="0.35">
      <c r="A27" s="20">
        <v>17</v>
      </c>
      <c r="B27" s="10">
        <v>46692</v>
      </c>
      <c r="C27" s="62">
        <f t="shared" si="0"/>
        <v>0.16</v>
      </c>
      <c r="D27" s="48"/>
      <c r="E27" s="20"/>
      <c r="F27" s="20"/>
      <c r="G27" s="49" t="str">
        <f t="shared" si="1"/>
        <v/>
      </c>
      <c r="H27" s="50" t="str">
        <f t="shared" si="2"/>
        <v/>
      </c>
      <c r="I27" s="53"/>
      <c r="J27" s="52" t="str">
        <f t="shared" si="3"/>
        <v/>
      </c>
      <c r="K27" s="53"/>
      <c r="L27" s="52" t="str">
        <f t="shared" si="4"/>
        <v/>
      </c>
      <c r="M27" s="53"/>
      <c r="N27" s="52" t="str">
        <f t="shared" si="5"/>
        <v/>
      </c>
      <c r="O27" s="51"/>
      <c r="P27" s="52" t="str">
        <f t="shared" si="6"/>
        <v/>
      </c>
      <c r="Q27" s="51"/>
      <c r="R27" s="52" t="str">
        <f t="shared" si="7"/>
        <v/>
      </c>
      <c r="S27" s="53"/>
      <c r="T27" s="52" t="str">
        <f t="shared" si="8"/>
        <v/>
      </c>
      <c r="U27" s="51"/>
      <c r="V27" s="52" t="str">
        <f t="shared" si="9"/>
        <v/>
      </c>
      <c r="W27" s="51"/>
      <c r="X27" s="52" t="str">
        <f t="shared" si="10"/>
        <v/>
      </c>
    </row>
    <row r="28" spans="1:24" x14ac:dyDescent="0.35">
      <c r="A28" s="27">
        <v>18</v>
      </c>
      <c r="B28" s="15">
        <v>46722</v>
      </c>
      <c r="C28" s="63">
        <f t="shared" si="0"/>
        <v>0.16</v>
      </c>
      <c r="D28" s="48"/>
      <c r="E28" s="27"/>
      <c r="F28" s="27"/>
      <c r="G28" s="56" t="str">
        <f t="shared" si="1"/>
        <v/>
      </c>
      <c r="H28" s="57" t="str">
        <f t="shared" si="2"/>
        <v/>
      </c>
      <c r="I28" s="53"/>
      <c r="J28" s="58" t="str">
        <f t="shared" si="3"/>
        <v/>
      </c>
      <c r="K28" s="53"/>
      <c r="L28" s="58" t="str">
        <f t="shared" si="4"/>
        <v/>
      </c>
      <c r="M28" s="53"/>
      <c r="N28" s="58" t="str">
        <f t="shared" si="5"/>
        <v/>
      </c>
      <c r="O28" s="51"/>
      <c r="P28" s="58" t="str">
        <f t="shared" si="6"/>
        <v/>
      </c>
      <c r="Q28" s="51"/>
      <c r="R28" s="58" t="str">
        <f t="shared" si="7"/>
        <v/>
      </c>
      <c r="S28" s="53"/>
      <c r="T28" s="58" t="str">
        <f t="shared" si="8"/>
        <v/>
      </c>
      <c r="U28" s="51"/>
      <c r="V28" s="58" t="str">
        <f t="shared" si="9"/>
        <v/>
      </c>
      <c r="W28" s="51"/>
      <c r="X28" s="58" t="str">
        <f t="shared" si="10"/>
        <v/>
      </c>
    </row>
  </sheetData>
  <mergeCells count="17">
    <mergeCell ref="S9:T9"/>
    <mergeCell ref="U9:V9"/>
    <mergeCell ref="W9:X9"/>
    <mergeCell ref="I9:J9"/>
    <mergeCell ref="K9:L9"/>
    <mergeCell ref="M9:N9"/>
    <mergeCell ref="O9:P9"/>
    <mergeCell ref="Q9:R9"/>
    <mergeCell ref="A1:X1"/>
    <mergeCell ref="I8:J8"/>
    <mergeCell ref="K8:L8"/>
    <mergeCell ref="M8:N8"/>
    <mergeCell ref="O8:P8"/>
    <mergeCell ref="Q8:R8"/>
    <mergeCell ref="S8:T8"/>
    <mergeCell ref="U8:V8"/>
    <mergeCell ref="W8:X8"/>
  </mergeCells>
  <conditionalFormatting sqref="H11:H28">
    <cfRule type="containsText" dxfId="5" priority="2" operator="containsText" text="En meta">
      <formula>NOT(ISERROR(SEARCH("En meta",H11)))</formula>
    </cfRule>
    <cfRule type="containsText" dxfId="4" priority="3" operator="containsText" text="Riesgo">
      <formula>NOT(ISERROR(SEARCH("Riesgo",H11)))</formula>
    </cfRule>
    <cfRule type="containsText" dxfId="3" priority="4" operator="containsText" text="Atrasado">
      <formula>NOT(ISERROR(SEARCH("Atrasado",H11)))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8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ColWidth="8.6328125" defaultRowHeight="14.5" x14ac:dyDescent="0.35"/>
  <cols>
    <col min="1" max="1" width="5" customWidth="1"/>
    <col min="2" max="2" width="11" customWidth="1"/>
    <col min="3" max="3" width="12" customWidth="1"/>
    <col min="4" max="4" width="11" customWidth="1"/>
    <col min="5" max="6" width="12" customWidth="1"/>
    <col min="7" max="7" width="13" customWidth="1"/>
    <col min="8" max="9" width="11" customWidth="1"/>
    <col min="10" max="10" width="7" customWidth="1"/>
    <col min="11" max="11" width="11" customWidth="1"/>
    <col min="12" max="12" width="7" customWidth="1"/>
    <col min="13" max="13" width="11" customWidth="1"/>
    <col min="14" max="14" width="7" customWidth="1"/>
    <col min="15" max="15" width="11" customWidth="1"/>
    <col min="16" max="16" width="7" customWidth="1"/>
    <col min="17" max="17" width="11" customWidth="1"/>
    <col min="18" max="18" width="7" customWidth="1"/>
    <col min="19" max="19" width="11" customWidth="1"/>
    <col min="20" max="20" width="7" customWidth="1"/>
    <col min="21" max="21" width="11" customWidth="1"/>
    <col min="22" max="22" width="7" customWidth="1"/>
    <col min="23" max="23" width="11" customWidth="1"/>
    <col min="24" max="24" width="7" customWidth="1"/>
  </cols>
  <sheetData>
    <row r="1" spans="1:24" ht="18" x14ac:dyDescent="0.4">
      <c r="A1" s="4" t="s">
        <v>141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7" t="s">
        <v>46</v>
      </c>
      <c r="B2" s="38" t="s">
        <v>142</v>
      </c>
    </row>
    <row r="3" spans="1:24" x14ac:dyDescent="0.35">
      <c r="A3" s="7" t="s">
        <v>48</v>
      </c>
      <c r="B3" s="38" t="s">
        <v>143</v>
      </c>
    </row>
    <row r="4" spans="1:24" x14ac:dyDescent="0.35">
      <c r="A4" s="7" t="s">
        <v>50</v>
      </c>
      <c r="B4" s="39" t="s">
        <v>51</v>
      </c>
      <c r="D4" s="7" t="s">
        <v>52</v>
      </c>
      <c r="E4" s="38" t="s">
        <v>43</v>
      </c>
    </row>
    <row r="5" spans="1:24" x14ac:dyDescent="0.35">
      <c r="A5" s="7" t="s">
        <v>53</v>
      </c>
      <c r="B5" s="67">
        <v>4.5</v>
      </c>
      <c r="D5" s="7" t="s">
        <v>54</v>
      </c>
      <c r="E5" s="41">
        <v>46204</v>
      </c>
      <c r="G5" s="7" t="s">
        <v>55</v>
      </c>
      <c r="H5" s="41">
        <v>46722</v>
      </c>
    </row>
    <row r="6" spans="1:24" x14ac:dyDescent="0.35">
      <c r="A6" s="7" t="s">
        <v>56</v>
      </c>
      <c r="B6" s="38" t="s">
        <v>134</v>
      </c>
    </row>
    <row r="8" spans="1:24" ht="42" customHeight="1" x14ac:dyDescent="0.35">
      <c r="A8" s="7" t="s">
        <v>58</v>
      </c>
      <c r="B8" s="42">
        <f>COUNT(A11:A28)</f>
        <v>18</v>
      </c>
      <c r="H8" s="43" t="s">
        <v>59</v>
      </c>
      <c r="I8" s="3" t="s">
        <v>144</v>
      </c>
      <c r="J8" s="3"/>
      <c r="K8" s="3" t="s">
        <v>145</v>
      </c>
      <c r="L8" s="3"/>
      <c r="M8" s="3" t="s">
        <v>146</v>
      </c>
      <c r="N8" s="3"/>
      <c r="O8" s="3" t="s">
        <v>147</v>
      </c>
      <c r="P8" s="3"/>
      <c r="Q8" s="3" t="s">
        <v>148</v>
      </c>
      <c r="R8" s="3"/>
      <c r="S8" s="3" t="s">
        <v>149</v>
      </c>
      <c r="T8" s="3"/>
      <c r="U8" s="3" t="s">
        <v>67</v>
      </c>
      <c r="V8" s="3"/>
      <c r="W8" s="3" t="s">
        <v>67</v>
      </c>
      <c r="X8" s="3"/>
    </row>
    <row r="9" spans="1:24" x14ac:dyDescent="0.35">
      <c r="A9" s="44" t="s">
        <v>68</v>
      </c>
      <c r="H9" s="43" t="s">
        <v>69</v>
      </c>
      <c r="I9" s="1">
        <v>0.6</v>
      </c>
      <c r="J9" s="1"/>
      <c r="K9" s="2">
        <v>8</v>
      </c>
      <c r="L9" s="2"/>
      <c r="M9" s="1">
        <v>1</v>
      </c>
      <c r="N9" s="1"/>
      <c r="O9" s="1">
        <v>0.95</v>
      </c>
      <c r="P9" s="1"/>
      <c r="Q9" s="2">
        <v>12</v>
      </c>
      <c r="R9" s="2"/>
      <c r="S9" s="2">
        <v>3</v>
      </c>
      <c r="T9" s="2"/>
      <c r="U9" s="2"/>
      <c r="V9" s="2"/>
      <c r="W9" s="2"/>
      <c r="X9" s="2"/>
    </row>
    <row r="10" spans="1:24" x14ac:dyDescent="0.35">
      <c r="A10" s="9" t="s">
        <v>11</v>
      </c>
      <c r="B10" s="9" t="s">
        <v>3</v>
      </c>
      <c r="C10" s="9" t="s">
        <v>15</v>
      </c>
      <c r="D10" s="9" t="s">
        <v>72</v>
      </c>
      <c r="E10" s="9"/>
      <c r="F10" s="9"/>
      <c r="G10" s="9" t="s">
        <v>103</v>
      </c>
      <c r="H10" s="9" t="s">
        <v>9</v>
      </c>
      <c r="I10" s="45" t="s">
        <v>72</v>
      </c>
      <c r="J10" s="45" t="s">
        <v>73</v>
      </c>
      <c r="K10" s="45" t="s">
        <v>72</v>
      </c>
      <c r="L10" s="45" t="s">
        <v>73</v>
      </c>
      <c r="M10" s="45" t="s">
        <v>72</v>
      </c>
      <c r="N10" s="45" t="s">
        <v>73</v>
      </c>
      <c r="O10" s="45" t="s">
        <v>72</v>
      </c>
      <c r="P10" s="45" t="s">
        <v>73</v>
      </c>
      <c r="Q10" s="45" t="s">
        <v>72</v>
      </c>
      <c r="R10" s="45" t="s">
        <v>73</v>
      </c>
      <c r="S10" s="45" t="s">
        <v>72</v>
      </c>
      <c r="T10" s="45" t="s">
        <v>73</v>
      </c>
      <c r="U10" s="45" t="s">
        <v>72</v>
      </c>
      <c r="V10" s="45" t="s">
        <v>73</v>
      </c>
      <c r="W10" s="45" t="s">
        <v>72</v>
      </c>
      <c r="X10" s="45" t="s">
        <v>73</v>
      </c>
    </row>
    <row r="11" spans="1:24" x14ac:dyDescent="0.35">
      <c r="A11" s="20">
        <v>1</v>
      </c>
      <c r="B11" s="10">
        <v>46204</v>
      </c>
      <c r="C11" s="68">
        <f t="shared" ref="C11:C28" si="0">$B$5</f>
        <v>4.5</v>
      </c>
      <c r="D11" s="48"/>
      <c r="E11" s="20"/>
      <c r="F11" s="20"/>
      <c r="G11" s="69" t="str">
        <f t="shared" ref="G11:G28" si="1">IF(D11="","",D11-C11)</f>
        <v/>
      </c>
      <c r="H11" s="50" t="str">
        <f t="shared" ref="H11:H28" si="2">IF(D11="","",IF(D11&gt;=C11,"En meta",IF(D11&gt;=C11-0.3,"Riesgo","Atrasado")))</f>
        <v/>
      </c>
      <c r="I11" s="53"/>
      <c r="J11" s="52" t="str">
        <f t="shared" ref="J11:J28" si="3">IF(I11="","",IF($I$9="","",IF($I$9=0,"",I11/$I$9)))</f>
        <v/>
      </c>
      <c r="K11" s="51"/>
      <c r="L11" s="52" t="str">
        <f t="shared" ref="L11:L28" si="4">IF(K11="","",IF($K$9="","",IF($K$9=0,"",K11/$K$9)))</f>
        <v/>
      </c>
      <c r="M11" s="53"/>
      <c r="N11" s="52" t="str">
        <f t="shared" ref="N11:N28" si="5">IF(M11="","",IF($M$9="","",IF($M$9=0,"",M11/$M$9)))</f>
        <v/>
      </c>
      <c r="O11" s="53"/>
      <c r="P11" s="52" t="str">
        <f t="shared" ref="P11:P28" si="6">IF(O11="","",IF($O$9="","",IF($O$9=0,"",O11/$O$9)))</f>
        <v/>
      </c>
      <c r="Q11" s="51"/>
      <c r="R11" s="52" t="str">
        <f t="shared" ref="R11:R28" si="7">IF(Q11="","",IF($Q$9="","",IF($Q$9=0,"",Q11/$Q$9)))</f>
        <v/>
      </c>
      <c r="S11" s="51"/>
      <c r="T11" s="52" t="str">
        <f t="shared" ref="T11:T28" si="8">IF(S11="","",IF($S$9="","",IF($S$9=0,"",S11/$S$9)))</f>
        <v/>
      </c>
      <c r="U11" s="51"/>
      <c r="V11" s="52" t="str">
        <f t="shared" ref="V11:V28" si="9">IF(U11="","",IF($U$9="","",IF($U$9=0,"",U11/$U$9)))</f>
        <v/>
      </c>
      <c r="W11" s="51"/>
      <c r="X11" s="52" t="str">
        <f t="shared" ref="X11:X28" si="10">IF(W11="","",IF($W$9="","",IF($W$9=0,"",W11/$W$9)))</f>
        <v/>
      </c>
    </row>
    <row r="12" spans="1:24" x14ac:dyDescent="0.35">
      <c r="A12" s="27">
        <v>2</v>
      </c>
      <c r="B12" s="15">
        <v>46235</v>
      </c>
      <c r="C12" s="70">
        <f t="shared" si="0"/>
        <v>4.5</v>
      </c>
      <c r="D12" s="48"/>
      <c r="E12" s="27"/>
      <c r="F12" s="27"/>
      <c r="G12" s="71" t="str">
        <f t="shared" si="1"/>
        <v/>
      </c>
      <c r="H12" s="57" t="str">
        <f t="shared" si="2"/>
        <v/>
      </c>
      <c r="I12" s="53"/>
      <c r="J12" s="58" t="str">
        <f t="shared" si="3"/>
        <v/>
      </c>
      <c r="K12" s="51"/>
      <c r="L12" s="58" t="str">
        <f t="shared" si="4"/>
        <v/>
      </c>
      <c r="M12" s="53"/>
      <c r="N12" s="58" t="str">
        <f t="shared" si="5"/>
        <v/>
      </c>
      <c r="O12" s="53"/>
      <c r="P12" s="58" t="str">
        <f t="shared" si="6"/>
        <v/>
      </c>
      <c r="Q12" s="51"/>
      <c r="R12" s="58" t="str">
        <f t="shared" si="7"/>
        <v/>
      </c>
      <c r="S12" s="51"/>
      <c r="T12" s="58" t="str">
        <f t="shared" si="8"/>
        <v/>
      </c>
      <c r="U12" s="51"/>
      <c r="V12" s="58" t="str">
        <f t="shared" si="9"/>
        <v/>
      </c>
      <c r="W12" s="51"/>
      <c r="X12" s="58" t="str">
        <f t="shared" si="10"/>
        <v/>
      </c>
    </row>
    <row r="13" spans="1:24" x14ac:dyDescent="0.35">
      <c r="A13" s="20">
        <v>3</v>
      </c>
      <c r="B13" s="10">
        <v>46266</v>
      </c>
      <c r="C13" s="68">
        <f t="shared" si="0"/>
        <v>4.5</v>
      </c>
      <c r="D13" s="48"/>
      <c r="E13" s="20"/>
      <c r="F13" s="20"/>
      <c r="G13" s="69" t="str">
        <f t="shared" si="1"/>
        <v/>
      </c>
      <c r="H13" s="50" t="str">
        <f t="shared" si="2"/>
        <v/>
      </c>
      <c r="I13" s="53"/>
      <c r="J13" s="52" t="str">
        <f t="shared" si="3"/>
        <v/>
      </c>
      <c r="K13" s="51"/>
      <c r="L13" s="52" t="str">
        <f t="shared" si="4"/>
        <v/>
      </c>
      <c r="M13" s="53"/>
      <c r="N13" s="52" t="str">
        <f t="shared" si="5"/>
        <v/>
      </c>
      <c r="O13" s="53"/>
      <c r="P13" s="52" t="str">
        <f t="shared" si="6"/>
        <v/>
      </c>
      <c r="Q13" s="51"/>
      <c r="R13" s="52" t="str">
        <f t="shared" si="7"/>
        <v/>
      </c>
      <c r="S13" s="51"/>
      <c r="T13" s="52" t="str">
        <f t="shared" si="8"/>
        <v/>
      </c>
      <c r="U13" s="51"/>
      <c r="V13" s="52" t="str">
        <f t="shared" si="9"/>
        <v/>
      </c>
      <c r="W13" s="51"/>
      <c r="X13" s="52" t="str">
        <f t="shared" si="10"/>
        <v/>
      </c>
    </row>
    <row r="14" spans="1:24" x14ac:dyDescent="0.35">
      <c r="A14" s="27">
        <v>4</v>
      </c>
      <c r="B14" s="15">
        <v>46296</v>
      </c>
      <c r="C14" s="70">
        <f t="shared" si="0"/>
        <v>4.5</v>
      </c>
      <c r="D14" s="48"/>
      <c r="E14" s="27"/>
      <c r="F14" s="27"/>
      <c r="G14" s="71" t="str">
        <f t="shared" si="1"/>
        <v/>
      </c>
      <c r="H14" s="57" t="str">
        <f t="shared" si="2"/>
        <v/>
      </c>
      <c r="I14" s="53"/>
      <c r="J14" s="58" t="str">
        <f t="shared" si="3"/>
        <v/>
      </c>
      <c r="K14" s="51"/>
      <c r="L14" s="58" t="str">
        <f t="shared" si="4"/>
        <v/>
      </c>
      <c r="M14" s="53"/>
      <c r="N14" s="58" t="str">
        <f t="shared" si="5"/>
        <v/>
      </c>
      <c r="O14" s="53"/>
      <c r="P14" s="58" t="str">
        <f t="shared" si="6"/>
        <v/>
      </c>
      <c r="Q14" s="51"/>
      <c r="R14" s="58" t="str">
        <f t="shared" si="7"/>
        <v/>
      </c>
      <c r="S14" s="51"/>
      <c r="T14" s="58" t="str">
        <f t="shared" si="8"/>
        <v/>
      </c>
      <c r="U14" s="51"/>
      <c r="V14" s="58" t="str">
        <f t="shared" si="9"/>
        <v/>
      </c>
      <c r="W14" s="51"/>
      <c r="X14" s="58" t="str">
        <f t="shared" si="10"/>
        <v/>
      </c>
    </row>
    <row r="15" spans="1:24" x14ac:dyDescent="0.35">
      <c r="A15" s="20">
        <v>5</v>
      </c>
      <c r="B15" s="10">
        <v>46327</v>
      </c>
      <c r="C15" s="68">
        <f t="shared" si="0"/>
        <v>4.5</v>
      </c>
      <c r="D15" s="48"/>
      <c r="E15" s="20"/>
      <c r="F15" s="20"/>
      <c r="G15" s="69" t="str">
        <f t="shared" si="1"/>
        <v/>
      </c>
      <c r="H15" s="50" t="str">
        <f t="shared" si="2"/>
        <v/>
      </c>
      <c r="I15" s="53"/>
      <c r="J15" s="52" t="str">
        <f t="shared" si="3"/>
        <v/>
      </c>
      <c r="K15" s="51"/>
      <c r="L15" s="52" t="str">
        <f t="shared" si="4"/>
        <v/>
      </c>
      <c r="M15" s="53"/>
      <c r="N15" s="52" t="str">
        <f t="shared" si="5"/>
        <v/>
      </c>
      <c r="O15" s="53"/>
      <c r="P15" s="52" t="str">
        <f t="shared" si="6"/>
        <v/>
      </c>
      <c r="Q15" s="51"/>
      <c r="R15" s="52" t="str">
        <f t="shared" si="7"/>
        <v/>
      </c>
      <c r="S15" s="51"/>
      <c r="T15" s="52" t="str">
        <f t="shared" si="8"/>
        <v/>
      </c>
      <c r="U15" s="51"/>
      <c r="V15" s="52" t="str">
        <f t="shared" si="9"/>
        <v/>
      </c>
      <c r="W15" s="51"/>
      <c r="X15" s="52" t="str">
        <f t="shared" si="10"/>
        <v/>
      </c>
    </row>
    <row r="16" spans="1:24" x14ac:dyDescent="0.35">
      <c r="A16" s="27">
        <v>6</v>
      </c>
      <c r="B16" s="15">
        <v>46357</v>
      </c>
      <c r="C16" s="70">
        <f t="shared" si="0"/>
        <v>4.5</v>
      </c>
      <c r="D16" s="48"/>
      <c r="E16" s="27"/>
      <c r="F16" s="27"/>
      <c r="G16" s="71" t="str">
        <f t="shared" si="1"/>
        <v/>
      </c>
      <c r="H16" s="57" t="str">
        <f t="shared" si="2"/>
        <v/>
      </c>
      <c r="I16" s="53"/>
      <c r="J16" s="58" t="str">
        <f t="shared" si="3"/>
        <v/>
      </c>
      <c r="K16" s="51"/>
      <c r="L16" s="58" t="str">
        <f t="shared" si="4"/>
        <v/>
      </c>
      <c r="M16" s="53"/>
      <c r="N16" s="58" t="str">
        <f t="shared" si="5"/>
        <v/>
      </c>
      <c r="O16" s="53"/>
      <c r="P16" s="58" t="str">
        <f t="shared" si="6"/>
        <v/>
      </c>
      <c r="Q16" s="51"/>
      <c r="R16" s="58" t="str">
        <f t="shared" si="7"/>
        <v/>
      </c>
      <c r="S16" s="51"/>
      <c r="T16" s="58" t="str">
        <f t="shared" si="8"/>
        <v/>
      </c>
      <c r="U16" s="51"/>
      <c r="V16" s="58" t="str">
        <f t="shared" si="9"/>
        <v/>
      </c>
      <c r="W16" s="51"/>
      <c r="X16" s="58" t="str">
        <f t="shared" si="10"/>
        <v/>
      </c>
    </row>
    <row r="17" spans="1:24" x14ac:dyDescent="0.35">
      <c r="A17" s="20">
        <v>7</v>
      </c>
      <c r="B17" s="10">
        <v>46388</v>
      </c>
      <c r="C17" s="68">
        <f t="shared" si="0"/>
        <v>4.5</v>
      </c>
      <c r="D17" s="48"/>
      <c r="E17" s="20"/>
      <c r="F17" s="20"/>
      <c r="G17" s="69" t="str">
        <f t="shared" si="1"/>
        <v/>
      </c>
      <c r="H17" s="50" t="str">
        <f t="shared" si="2"/>
        <v/>
      </c>
      <c r="I17" s="53"/>
      <c r="J17" s="52" t="str">
        <f t="shared" si="3"/>
        <v/>
      </c>
      <c r="K17" s="51"/>
      <c r="L17" s="52" t="str">
        <f t="shared" si="4"/>
        <v/>
      </c>
      <c r="M17" s="53"/>
      <c r="N17" s="52" t="str">
        <f t="shared" si="5"/>
        <v/>
      </c>
      <c r="O17" s="53"/>
      <c r="P17" s="52" t="str">
        <f t="shared" si="6"/>
        <v/>
      </c>
      <c r="Q17" s="51"/>
      <c r="R17" s="52" t="str">
        <f t="shared" si="7"/>
        <v/>
      </c>
      <c r="S17" s="51"/>
      <c r="T17" s="52" t="str">
        <f t="shared" si="8"/>
        <v/>
      </c>
      <c r="U17" s="51"/>
      <c r="V17" s="52" t="str">
        <f t="shared" si="9"/>
        <v/>
      </c>
      <c r="W17" s="51"/>
      <c r="X17" s="52" t="str">
        <f t="shared" si="10"/>
        <v/>
      </c>
    </row>
    <row r="18" spans="1:24" x14ac:dyDescent="0.35">
      <c r="A18" s="27">
        <v>8</v>
      </c>
      <c r="B18" s="15">
        <v>46419</v>
      </c>
      <c r="C18" s="70">
        <f t="shared" si="0"/>
        <v>4.5</v>
      </c>
      <c r="D18" s="48"/>
      <c r="E18" s="27"/>
      <c r="F18" s="27"/>
      <c r="G18" s="71" t="str">
        <f t="shared" si="1"/>
        <v/>
      </c>
      <c r="H18" s="57" t="str">
        <f t="shared" si="2"/>
        <v/>
      </c>
      <c r="I18" s="53"/>
      <c r="J18" s="58" t="str">
        <f t="shared" si="3"/>
        <v/>
      </c>
      <c r="K18" s="51"/>
      <c r="L18" s="58" t="str">
        <f t="shared" si="4"/>
        <v/>
      </c>
      <c r="M18" s="53"/>
      <c r="N18" s="58" t="str">
        <f t="shared" si="5"/>
        <v/>
      </c>
      <c r="O18" s="53"/>
      <c r="P18" s="58" t="str">
        <f t="shared" si="6"/>
        <v/>
      </c>
      <c r="Q18" s="51"/>
      <c r="R18" s="58" t="str">
        <f t="shared" si="7"/>
        <v/>
      </c>
      <c r="S18" s="51"/>
      <c r="T18" s="58" t="str">
        <f t="shared" si="8"/>
        <v/>
      </c>
      <c r="U18" s="51"/>
      <c r="V18" s="58" t="str">
        <f t="shared" si="9"/>
        <v/>
      </c>
      <c r="W18" s="51"/>
      <c r="X18" s="58" t="str">
        <f t="shared" si="10"/>
        <v/>
      </c>
    </row>
    <row r="19" spans="1:24" x14ac:dyDescent="0.35">
      <c r="A19" s="20">
        <v>9</v>
      </c>
      <c r="B19" s="10">
        <v>46447</v>
      </c>
      <c r="C19" s="68">
        <f t="shared" si="0"/>
        <v>4.5</v>
      </c>
      <c r="D19" s="48"/>
      <c r="E19" s="20"/>
      <c r="F19" s="20"/>
      <c r="G19" s="69" t="str">
        <f t="shared" si="1"/>
        <v/>
      </c>
      <c r="H19" s="50" t="str">
        <f t="shared" si="2"/>
        <v/>
      </c>
      <c r="I19" s="53"/>
      <c r="J19" s="52" t="str">
        <f t="shared" si="3"/>
        <v/>
      </c>
      <c r="K19" s="51"/>
      <c r="L19" s="52" t="str">
        <f t="shared" si="4"/>
        <v/>
      </c>
      <c r="M19" s="53"/>
      <c r="N19" s="52" t="str">
        <f t="shared" si="5"/>
        <v/>
      </c>
      <c r="O19" s="53"/>
      <c r="P19" s="52" t="str">
        <f t="shared" si="6"/>
        <v/>
      </c>
      <c r="Q19" s="51"/>
      <c r="R19" s="52" t="str">
        <f t="shared" si="7"/>
        <v/>
      </c>
      <c r="S19" s="51"/>
      <c r="T19" s="52" t="str">
        <f t="shared" si="8"/>
        <v/>
      </c>
      <c r="U19" s="51"/>
      <c r="V19" s="52" t="str">
        <f t="shared" si="9"/>
        <v/>
      </c>
      <c r="W19" s="51"/>
      <c r="X19" s="52" t="str">
        <f t="shared" si="10"/>
        <v/>
      </c>
    </row>
    <row r="20" spans="1:24" x14ac:dyDescent="0.35">
      <c r="A20" s="27">
        <v>10</v>
      </c>
      <c r="B20" s="15">
        <v>46478</v>
      </c>
      <c r="C20" s="70">
        <f t="shared" si="0"/>
        <v>4.5</v>
      </c>
      <c r="D20" s="48"/>
      <c r="E20" s="27"/>
      <c r="F20" s="27"/>
      <c r="G20" s="71" t="str">
        <f t="shared" si="1"/>
        <v/>
      </c>
      <c r="H20" s="57" t="str">
        <f t="shared" si="2"/>
        <v/>
      </c>
      <c r="I20" s="53"/>
      <c r="J20" s="58" t="str">
        <f t="shared" si="3"/>
        <v/>
      </c>
      <c r="K20" s="51"/>
      <c r="L20" s="58" t="str">
        <f t="shared" si="4"/>
        <v/>
      </c>
      <c r="M20" s="53"/>
      <c r="N20" s="58" t="str">
        <f t="shared" si="5"/>
        <v/>
      </c>
      <c r="O20" s="53"/>
      <c r="P20" s="58" t="str">
        <f t="shared" si="6"/>
        <v/>
      </c>
      <c r="Q20" s="51"/>
      <c r="R20" s="58" t="str">
        <f t="shared" si="7"/>
        <v/>
      </c>
      <c r="S20" s="51"/>
      <c r="T20" s="58" t="str">
        <f t="shared" si="8"/>
        <v/>
      </c>
      <c r="U20" s="51"/>
      <c r="V20" s="58" t="str">
        <f t="shared" si="9"/>
        <v/>
      </c>
      <c r="W20" s="51"/>
      <c r="X20" s="58" t="str">
        <f t="shared" si="10"/>
        <v/>
      </c>
    </row>
    <row r="21" spans="1:24" x14ac:dyDescent="0.35">
      <c r="A21" s="20">
        <v>11</v>
      </c>
      <c r="B21" s="10">
        <v>46508</v>
      </c>
      <c r="C21" s="68">
        <f t="shared" si="0"/>
        <v>4.5</v>
      </c>
      <c r="D21" s="48"/>
      <c r="E21" s="20"/>
      <c r="F21" s="20"/>
      <c r="G21" s="69" t="str">
        <f t="shared" si="1"/>
        <v/>
      </c>
      <c r="H21" s="50" t="str">
        <f t="shared" si="2"/>
        <v/>
      </c>
      <c r="I21" s="53"/>
      <c r="J21" s="52" t="str">
        <f t="shared" si="3"/>
        <v/>
      </c>
      <c r="K21" s="51"/>
      <c r="L21" s="52" t="str">
        <f t="shared" si="4"/>
        <v/>
      </c>
      <c r="M21" s="53"/>
      <c r="N21" s="52" t="str">
        <f t="shared" si="5"/>
        <v/>
      </c>
      <c r="O21" s="53"/>
      <c r="P21" s="52" t="str">
        <f t="shared" si="6"/>
        <v/>
      </c>
      <c r="Q21" s="51"/>
      <c r="R21" s="52" t="str">
        <f t="shared" si="7"/>
        <v/>
      </c>
      <c r="S21" s="51"/>
      <c r="T21" s="52" t="str">
        <f t="shared" si="8"/>
        <v/>
      </c>
      <c r="U21" s="51"/>
      <c r="V21" s="52" t="str">
        <f t="shared" si="9"/>
        <v/>
      </c>
      <c r="W21" s="51"/>
      <c r="X21" s="52" t="str">
        <f t="shared" si="10"/>
        <v/>
      </c>
    </row>
    <row r="22" spans="1:24" x14ac:dyDescent="0.35">
      <c r="A22" s="27">
        <v>12</v>
      </c>
      <c r="B22" s="15">
        <v>46539</v>
      </c>
      <c r="C22" s="70">
        <f t="shared" si="0"/>
        <v>4.5</v>
      </c>
      <c r="D22" s="48"/>
      <c r="E22" s="27"/>
      <c r="F22" s="27"/>
      <c r="G22" s="71" t="str">
        <f t="shared" si="1"/>
        <v/>
      </c>
      <c r="H22" s="57" t="str">
        <f t="shared" si="2"/>
        <v/>
      </c>
      <c r="I22" s="53"/>
      <c r="J22" s="58" t="str">
        <f t="shared" si="3"/>
        <v/>
      </c>
      <c r="K22" s="51"/>
      <c r="L22" s="58" t="str">
        <f t="shared" si="4"/>
        <v/>
      </c>
      <c r="M22" s="53"/>
      <c r="N22" s="58" t="str">
        <f t="shared" si="5"/>
        <v/>
      </c>
      <c r="O22" s="53"/>
      <c r="P22" s="58" t="str">
        <f t="shared" si="6"/>
        <v/>
      </c>
      <c r="Q22" s="51"/>
      <c r="R22" s="58" t="str">
        <f t="shared" si="7"/>
        <v/>
      </c>
      <c r="S22" s="51"/>
      <c r="T22" s="58" t="str">
        <f t="shared" si="8"/>
        <v/>
      </c>
      <c r="U22" s="51"/>
      <c r="V22" s="58" t="str">
        <f t="shared" si="9"/>
        <v/>
      </c>
      <c r="W22" s="51"/>
      <c r="X22" s="58" t="str">
        <f t="shared" si="10"/>
        <v/>
      </c>
    </row>
    <row r="23" spans="1:24" x14ac:dyDescent="0.35">
      <c r="A23" s="20">
        <v>13</v>
      </c>
      <c r="B23" s="10">
        <v>46569</v>
      </c>
      <c r="C23" s="68">
        <f t="shared" si="0"/>
        <v>4.5</v>
      </c>
      <c r="D23" s="48"/>
      <c r="E23" s="20"/>
      <c r="F23" s="20"/>
      <c r="G23" s="69" t="str">
        <f t="shared" si="1"/>
        <v/>
      </c>
      <c r="H23" s="50" t="str">
        <f t="shared" si="2"/>
        <v/>
      </c>
      <c r="I23" s="53"/>
      <c r="J23" s="52" t="str">
        <f t="shared" si="3"/>
        <v/>
      </c>
      <c r="K23" s="51"/>
      <c r="L23" s="52" t="str">
        <f t="shared" si="4"/>
        <v/>
      </c>
      <c r="M23" s="53"/>
      <c r="N23" s="52" t="str">
        <f t="shared" si="5"/>
        <v/>
      </c>
      <c r="O23" s="53"/>
      <c r="P23" s="52" t="str">
        <f t="shared" si="6"/>
        <v/>
      </c>
      <c r="Q23" s="51"/>
      <c r="R23" s="52" t="str">
        <f t="shared" si="7"/>
        <v/>
      </c>
      <c r="S23" s="51"/>
      <c r="T23" s="52" t="str">
        <f t="shared" si="8"/>
        <v/>
      </c>
      <c r="U23" s="51"/>
      <c r="V23" s="52" t="str">
        <f t="shared" si="9"/>
        <v/>
      </c>
      <c r="W23" s="51"/>
      <c r="X23" s="52" t="str">
        <f t="shared" si="10"/>
        <v/>
      </c>
    </row>
    <row r="24" spans="1:24" x14ac:dyDescent="0.35">
      <c r="A24" s="27">
        <v>14</v>
      </c>
      <c r="B24" s="15">
        <v>46600</v>
      </c>
      <c r="C24" s="70">
        <f t="shared" si="0"/>
        <v>4.5</v>
      </c>
      <c r="D24" s="48"/>
      <c r="E24" s="27"/>
      <c r="F24" s="27"/>
      <c r="G24" s="71" t="str">
        <f t="shared" si="1"/>
        <v/>
      </c>
      <c r="H24" s="57" t="str">
        <f t="shared" si="2"/>
        <v/>
      </c>
      <c r="I24" s="53"/>
      <c r="J24" s="58" t="str">
        <f t="shared" si="3"/>
        <v/>
      </c>
      <c r="K24" s="51"/>
      <c r="L24" s="58" t="str">
        <f t="shared" si="4"/>
        <v/>
      </c>
      <c r="M24" s="53"/>
      <c r="N24" s="58" t="str">
        <f t="shared" si="5"/>
        <v/>
      </c>
      <c r="O24" s="53"/>
      <c r="P24" s="58" t="str">
        <f t="shared" si="6"/>
        <v/>
      </c>
      <c r="Q24" s="51"/>
      <c r="R24" s="58" t="str">
        <f t="shared" si="7"/>
        <v/>
      </c>
      <c r="S24" s="51"/>
      <c r="T24" s="58" t="str">
        <f t="shared" si="8"/>
        <v/>
      </c>
      <c r="U24" s="51"/>
      <c r="V24" s="58" t="str">
        <f t="shared" si="9"/>
        <v/>
      </c>
      <c r="W24" s="51"/>
      <c r="X24" s="58" t="str">
        <f t="shared" si="10"/>
        <v/>
      </c>
    </row>
    <row r="25" spans="1:24" x14ac:dyDescent="0.35">
      <c r="A25" s="20">
        <v>15</v>
      </c>
      <c r="B25" s="10">
        <v>46631</v>
      </c>
      <c r="C25" s="68">
        <f t="shared" si="0"/>
        <v>4.5</v>
      </c>
      <c r="D25" s="48"/>
      <c r="E25" s="20"/>
      <c r="F25" s="20"/>
      <c r="G25" s="69" t="str">
        <f t="shared" si="1"/>
        <v/>
      </c>
      <c r="H25" s="50" t="str">
        <f t="shared" si="2"/>
        <v/>
      </c>
      <c r="I25" s="53"/>
      <c r="J25" s="52" t="str">
        <f t="shared" si="3"/>
        <v/>
      </c>
      <c r="K25" s="51"/>
      <c r="L25" s="52" t="str">
        <f t="shared" si="4"/>
        <v/>
      </c>
      <c r="M25" s="53"/>
      <c r="N25" s="52" t="str">
        <f t="shared" si="5"/>
        <v/>
      </c>
      <c r="O25" s="53"/>
      <c r="P25" s="52" t="str">
        <f t="shared" si="6"/>
        <v/>
      </c>
      <c r="Q25" s="51"/>
      <c r="R25" s="52" t="str">
        <f t="shared" si="7"/>
        <v/>
      </c>
      <c r="S25" s="51"/>
      <c r="T25" s="52" t="str">
        <f t="shared" si="8"/>
        <v/>
      </c>
      <c r="U25" s="51"/>
      <c r="V25" s="52" t="str">
        <f t="shared" si="9"/>
        <v/>
      </c>
      <c r="W25" s="51"/>
      <c r="X25" s="52" t="str">
        <f t="shared" si="10"/>
        <v/>
      </c>
    </row>
    <row r="26" spans="1:24" x14ac:dyDescent="0.35">
      <c r="A26" s="27">
        <v>16</v>
      </c>
      <c r="B26" s="15">
        <v>46661</v>
      </c>
      <c r="C26" s="70">
        <f t="shared" si="0"/>
        <v>4.5</v>
      </c>
      <c r="D26" s="48"/>
      <c r="E26" s="27"/>
      <c r="F26" s="27"/>
      <c r="G26" s="71" t="str">
        <f t="shared" si="1"/>
        <v/>
      </c>
      <c r="H26" s="57" t="str">
        <f t="shared" si="2"/>
        <v/>
      </c>
      <c r="I26" s="53"/>
      <c r="J26" s="58" t="str">
        <f t="shared" si="3"/>
        <v/>
      </c>
      <c r="K26" s="51"/>
      <c r="L26" s="58" t="str">
        <f t="shared" si="4"/>
        <v/>
      </c>
      <c r="M26" s="53"/>
      <c r="N26" s="58" t="str">
        <f t="shared" si="5"/>
        <v/>
      </c>
      <c r="O26" s="53"/>
      <c r="P26" s="58" t="str">
        <f t="shared" si="6"/>
        <v/>
      </c>
      <c r="Q26" s="51"/>
      <c r="R26" s="58" t="str">
        <f t="shared" si="7"/>
        <v/>
      </c>
      <c r="S26" s="51"/>
      <c r="T26" s="58" t="str">
        <f t="shared" si="8"/>
        <v/>
      </c>
      <c r="U26" s="51"/>
      <c r="V26" s="58" t="str">
        <f t="shared" si="9"/>
        <v/>
      </c>
      <c r="W26" s="51"/>
      <c r="X26" s="58" t="str">
        <f t="shared" si="10"/>
        <v/>
      </c>
    </row>
    <row r="27" spans="1:24" x14ac:dyDescent="0.35">
      <c r="A27" s="20">
        <v>17</v>
      </c>
      <c r="B27" s="10">
        <v>46692</v>
      </c>
      <c r="C27" s="68">
        <f t="shared" si="0"/>
        <v>4.5</v>
      </c>
      <c r="D27" s="48"/>
      <c r="E27" s="20"/>
      <c r="F27" s="20"/>
      <c r="G27" s="69" t="str">
        <f t="shared" si="1"/>
        <v/>
      </c>
      <c r="H27" s="50" t="str">
        <f t="shared" si="2"/>
        <v/>
      </c>
      <c r="I27" s="53"/>
      <c r="J27" s="52" t="str">
        <f t="shared" si="3"/>
        <v/>
      </c>
      <c r="K27" s="51"/>
      <c r="L27" s="52" t="str">
        <f t="shared" si="4"/>
        <v/>
      </c>
      <c r="M27" s="53"/>
      <c r="N27" s="52" t="str">
        <f t="shared" si="5"/>
        <v/>
      </c>
      <c r="O27" s="53"/>
      <c r="P27" s="52" t="str">
        <f t="shared" si="6"/>
        <v/>
      </c>
      <c r="Q27" s="51"/>
      <c r="R27" s="52" t="str">
        <f t="shared" si="7"/>
        <v/>
      </c>
      <c r="S27" s="51"/>
      <c r="T27" s="52" t="str">
        <f t="shared" si="8"/>
        <v/>
      </c>
      <c r="U27" s="51"/>
      <c r="V27" s="52" t="str">
        <f t="shared" si="9"/>
        <v/>
      </c>
      <c r="W27" s="51"/>
      <c r="X27" s="52" t="str">
        <f t="shared" si="10"/>
        <v/>
      </c>
    </row>
    <row r="28" spans="1:24" x14ac:dyDescent="0.35">
      <c r="A28" s="27">
        <v>18</v>
      </c>
      <c r="B28" s="15">
        <v>46722</v>
      </c>
      <c r="C28" s="70">
        <f t="shared" si="0"/>
        <v>4.5</v>
      </c>
      <c r="D28" s="48"/>
      <c r="E28" s="27"/>
      <c r="F28" s="27"/>
      <c r="G28" s="71" t="str">
        <f t="shared" si="1"/>
        <v/>
      </c>
      <c r="H28" s="57" t="str">
        <f t="shared" si="2"/>
        <v/>
      </c>
      <c r="I28" s="53"/>
      <c r="J28" s="58" t="str">
        <f t="shared" si="3"/>
        <v/>
      </c>
      <c r="K28" s="51"/>
      <c r="L28" s="58" t="str">
        <f t="shared" si="4"/>
        <v/>
      </c>
      <c r="M28" s="53"/>
      <c r="N28" s="58" t="str">
        <f t="shared" si="5"/>
        <v/>
      </c>
      <c r="O28" s="53"/>
      <c r="P28" s="58" t="str">
        <f t="shared" si="6"/>
        <v/>
      </c>
      <c r="Q28" s="51"/>
      <c r="R28" s="58" t="str">
        <f t="shared" si="7"/>
        <v/>
      </c>
      <c r="S28" s="51"/>
      <c r="T28" s="58" t="str">
        <f t="shared" si="8"/>
        <v/>
      </c>
      <c r="U28" s="51"/>
      <c r="V28" s="58" t="str">
        <f t="shared" si="9"/>
        <v/>
      </c>
      <c r="W28" s="51"/>
      <c r="X28" s="58" t="str">
        <f t="shared" si="10"/>
        <v/>
      </c>
    </row>
  </sheetData>
  <mergeCells count="17">
    <mergeCell ref="S9:T9"/>
    <mergeCell ref="U9:V9"/>
    <mergeCell ref="W9:X9"/>
    <mergeCell ref="I9:J9"/>
    <mergeCell ref="K9:L9"/>
    <mergeCell ref="M9:N9"/>
    <mergeCell ref="O9:P9"/>
    <mergeCell ref="Q9:R9"/>
    <mergeCell ref="A1:X1"/>
    <mergeCell ref="I8:J8"/>
    <mergeCell ref="K8:L8"/>
    <mergeCell ref="M8:N8"/>
    <mergeCell ref="O8:P8"/>
    <mergeCell ref="Q8:R8"/>
    <mergeCell ref="S8:T8"/>
    <mergeCell ref="U8:V8"/>
    <mergeCell ref="W8:X8"/>
  </mergeCells>
  <conditionalFormatting sqref="H11:H28">
    <cfRule type="containsText" dxfId="2" priority="2" operator="containsText" text="En meta">
      <formula>NOT(ISERROR(SEARCH("En meta",H11)))</formula>
    </cfRule>
    <cfRule type="containsText" dxfId="1" priority="3" operator="containsText" text="Riesgo">
      <formula>NOT(ISERROR(SEARCH("Riesgo",H11)))</formula>
    </cfRule>
    <cfRule type="containsText" dxfId="0" priority="4" operator="containsText" text="Atrasado">
      <formula>NOT(ISERROR(SEARCH("Atrasado",H11)))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1"/>
  <sheetViews>
    <sheetView showGridLines="0" zoomScaleNormal="100" workbookViewId="0"/>
  </sheetViews>
  <sheetFormatPr defaultColWidth="8.6328125" defaultRowHeight="14.5" x14ac:dyDescent="0.35"/>
  <cols>
    <col min="1" max="1" width="110" customWidth="1"/>
  </cols>
  <sheetData>
    <row r="1" spans="1:1" ht="18" x14ac:dyDescent="0.35">
      <c r="A1" s="72" t="s">
        <v>150</v>
      </c>
    </row>
    <row r="3" spans="1:1" x14ac:dyDescent="0.35">
      <c r="A3" s="73" t="s">
        <v>151</v>
      </c>
    </row>
    <row r="4" spans="1:1" ht="25" x14ac:dyDescent="0.35">
      <c r="A4" s="74" t="s">
        <v>152</v>
      </c>
    </row>
    <row r="5" spans="1:1" x14ac:dyDescent="0.35">
      <c r="A5" s="74" t="s">
        <v>153</v>
      </c>
    </row>
    <row r="6" spans="1:1" x14ac:dyDescent="0.35">
      <c r="A6" s="74" t="s">
        <v>154</v>
      </c>
    </row>
    <row r="7" spans="1:1" x14ac:dyDescent="0.35">
      <c r="A7" s="74" t="s">
        <v>155</v>
      </c>
    </row>
    <row r="9" spans="1:1" x14ac:dyDescent="0.35">
      <c r="A9" s="73" t="s">
        <v>156</v>
      </c>
    </row>
    <row r="10" spans="1:1" ht="25" x14ac:dyDescent="0.35">
      <c r="A10" s="74" t="s">
        <v>157</v>
      </c>
    </row>
    <row r="11" spans="1:1" ht="25" x14ac:dyDescent="0.35">
      <c r="A11" s="74" t="s">
        <v>158</v>
      </c>
    </row>
    <row r="12" spans="1:1" x14ac:dyDescent="0.35">
      <c r="A12" s="74" t="s">
        <v>159</v>
      </c>
    </row>
    <row r="13" spans="1:1" x14ac:dyDescent="0.35">
      <c r="A13" s="74" t="s">
        <v>160</v>
      </c>
    </row>
    <row r="15" spans="1:1" x14ac:dyDescent="0.35">
      <c r="A15" s="73" t="s">
        <v>161</v>
      </c>
    </row>
    <row r="16" spans="1:1" x14ac:dyDescent="0.35">
      <c r="A16" s="74" t="s">
        <v>162</v>
      </c>
    </row>
    <row r="17" spans="1:1" x14ac:dyDescent="0.35">
      <c r="A17" s="74" t="s">
        <v>163</v>
      </c>
    </row>
    <row r="18" spans="1:1" x14ac:dyDescent="0.35">
      <c r="A18" s="74" t="s">
        <v>164</v>
      </c>
    </row>
    <row r="20" spans="1:1" x14ac:dyDescent="0.35">
      <c r="A20" s="73" t="s">
        <v>165</v>
      </c>
    </row>
    <row r="21" spans="1:1" ht="25" x14ac:dyDescent="0.35">
      <c r="A21" s="74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1. Smart User 500</vt:lpstr>
      <vt:lpstr>2. MV Advisory</vt:lpstr>
      <vt:lpstr>3. Negocios +30K GP</vt:lpstr>
      <vt:lpstr>4. Entregas 100%</vt:lpstr>
      <vt:lpstr>5. MV Datacenter</vt:lpstr>
      <vt:lpstr>6. Cero Expired</vt:lpstr>
      <vt:lpstr>7. MV Digital Sol</vt:lpstr>
      <vt:lpstr>8. GP 16%</vt:lpstr>
      <vt:lpstr>9. CSAT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Jesus Vidaurre</cp:lastModifiedBy>
  <cp:revision>1</cp:revision>
  <dcterms:created xsi:type="dcterms:W3CDTF">2026-06-12T12:38:17Z</dcterms:created>
  <dcterms:modified xsi:type="dcterms:W3CDTF">2026-06-12T13:22:38Z</dcterms:modified>
  <dc:language>en-US</dc:language>
</cp:coreProperties>
</file>